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timelines/timeline1.xml" ContentType="application/vnd.ms-excel.timelin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ythili\Downloads\Maven Analytics\Moving Average\"/>
    </mc:Choice>
  </mc:AlternateContent>
  <xr:revisionPtr revIDLastSave="0" documentId="13_ncr:1_{5FE98282-4611-458D-BC77-C6464FCD1BAE}" xr6:coauthVersionLast="47" xr6:coauthVersionMax="47" xr10:uidLastSave="{00000000-0000-0000-0000-000000000000}"/>
  <bookViews>
    <workbookView xWindow="-108" yWindow="-108" windowWidth="23256" windowHeight="12456" activeTab="4" xr2:uid="{91655C8C-72AB-44B6-BCDA-8CCB5AAAC49D}"/>
  </bookViews>
  <sheets>
    <sheet name="SPY_close_price_PQ" sheetId="16" r:id="rId1"/>
    <sheet name="SPY_close_price" sheetId="19" state="hidden" r:id="rId2"/>
    <sheet name="Data Analysis Addin" sheetId="8" state="hidden" r:id="rId3"/>
    <sheet name="Close_Moving_Averages" sheetId="11" r:id="rId4"/>
    <sheet name="Golden Cross" sheetId="17" r:id="rId5"/>
    <sheet name="M Language code" sheetId="20" r:id="rId6"/>
  </sheets>
  <definedNames>
    <definedName name="_xlnm._FilterDatabase" localSheetId="2" hidden="1">'Data Analysis Addin'!$A$2:$J$1258</definedName>
    <definedName name="_xlnm._FilterDatabase" localSheetId="1" hidden="1">SPY_close_price!$A$2:$B$1258</definedName>
    <definedName name="_xlnm._FilterDatabase" localSheetId="0" hidden="1">SPY_close_price_PQ!$A$2:$B$1258</definedName>
    <definedName name="ExternalData_2" localSheetId="3" hidden="1">'Close_Moving_Averages'!$A$1:$D$1257</definedName>
    <definedName name="n_200" localSheetId="2">'Data Analysis Addin'!$J$1</definedName>
    <definedName name="n_200" localSheetId="1">SPY_close_price!#REF!</definedName>
    <definedName name="n_200" localSheetId="0">SPY_close_price_PQ!#REF!</definedName>
    <definedName name="n_200">#REF!</definedName>
    <definedName name="n_50" localSheetId="2">'Data Analysis Addin'!$I$1</definedName>
    <definedName name="n_50" localSheetId="1">SPY_close_price!#REF!</definedName>
    <definedName name="n_50" localSheetId="0">SPY_close_price_PQ!#REF!</definedName>
    <definedName name="n_50">#REF!</definedName>
    <definedName name="NativeTimeline_Date">#N/A</definedName>
    <definedName name="_xlnm.Print_Area" localSheetId="4">'Golden Cross'!$A$1:$Q$24</definedName>
    <definedName name="_xlnm.Print_Area" localSheetId="5">'M Language code'!$A$1:$J$36</definedName>
  </definedNames>
  <calcPr calcId="191029" concurrentCalc="0"/>
  <pivotCaches>
    <pivotCache cacheId="0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2" i="11"/>
  <c r="C1257" i="19"/>
  <c r="D1257" i="19"/>
  <c r="C1258" i="19"/>
  <c r="D1258" i="19"/>
  <c r="E1258" i="19"/>
  <c r="C1256" i="19"/>
  <c r="D1256" i="19"/>
  <c r="E1257" i="19"/>
  <c r="C1255" i="19"/>
  <c r="D1255" i="19"/>
  <c r="E1256" i="19"/>
  <c r="C1254" i="19"/>
  <c r="D1254" i="19"/>
  <c r="E1255" i="19"/>
  <c r="C1253" i="19"/>
  <c r="D1253" i="19"/>
  <c r="E1254" i="19"/>
  <c r="C1252" i="19"/>
  <c r="D1252" i="19"/>
  <c r="E1253" i="19"/>
  <c r="C1251" i="19"/>
  <c r="D1251" i="19"/>
  <c r="E1252" i="19"/>
  <c r="C1250" i="19"/>
  <c r="D1250" i="19"/>
  <c r="E1251" i="19"/>
  <c r="C1249" i="19"/>
  <c r="D1249" i="19"/>
  <c r="E1250" i="19"/>
  <c r="C1248" i="19"/>
  <c r="D1248" i="19"/>
  <c r="E1249" i="19"/>
  <c r="C1247" i="19"/>
  <c r="D1247" i="19"/>
  <c r="E1248" i="19"/>
  <c r="C1246" i="19"/>
  <c r="D1246" i="19"/>
  <c r="E1247" i="19"/>
  <c r="C1245" i="19"/>
  <c r="D1245" i="19"/>
  <c r="E1246" i="19"/>
  <c r="C1244" i="19"/>
  <c r="D1244" i="19"/>
  <c r="E1245" i="19"/>
  <c r="C1243" i="19"/>
  <c r="D1243" i="19"/>
  <c r="E1244" i="19"/>
  <c r="C1242" i="19"/>
  <c r="D1242" i="19"/>
  <c r="E1243" i="19"/>
  <c r="C1241" i="19"/>
  <c r="D1241" i="19"/>
  <c r="E1242" i="19"/>
  <c r="C1240" i="19"/>
  <c r="D1240" i="19"/>
  <c r="E1241" i="19"/>
  <c r="C1239" i="19"/>
  <c r="D1239" i="19"/>
  <c r="E1240" i="19"/>
  <c r="C1238" i="19"/>
  <c r="D1238" i="19"/>
  <c r="E1239" i="19"/>
  <c r="C1237" i="19"/>
  <c r="D1237" i="19"/>
  <c r="E1238" i="19"/>
  <c r="C1236" i="19"/>
  <c r="D1236" i="19"/>
  <c r="E1237" i="19"/>
  <c r="C1235" i="19"/>
  <c r="D1235" i="19"/>
  <c r="E1236" i="19"/>
  <c r="C1234" i="19"/>
  <c r="D1234" i="19"/>
  <c r="E1235" i="19"/>
  <c r="C1233" i="19"/>
  <c r="D1233" i="19"/>
  <c r="E1234" i="19"/>
  <c r="C1232" i="19"/>
  <c r="D1232" i="19"/>
  <c r="E1233" i="19"/>
  <c r="C1231" i="19"/>
  <c r="D1231" i="19"/>
  <c r="E1232" i="19"/>
  <c r="C1230" i="19"/>
  <c r="D1230" i="19"/>
  <c r="E1231" i="19"/>
  <c r="C1229" i="19"/>
  <c r="D1229" i="19"/>
  <c r="E1230" i="19"/>
  <c r="C1228" i="19"/>
  <c r="D1228" i="19"/>
  <c r="E1229" i="19"/>
  <c r="C1227" i="19"/>
  <c r="D1227" i="19"/>
  <c r="E1228" i="19"/>
  <c r="C1226" i="19"/>
  <c r="D1226" i="19"/>
  <c r="E1227" i="19"/>
  <c r="C1225" i="19"/>
  <c r="D1225" i="19"/>
  <c r="E1226" i="19"/>
  <c r="C1224" i="19"/>
  <c r="D1224" i="19"/>
  <c r="E1225" i="19"/>
  <c r="C1223" i="19"/>
  <c r="D1223" i="19"/>
  <c r="E1224" i="19"/>
  <c r="C1222" i="19"/>
  <c r="D1222" i="19"/>
  <c r="E1223" i="19"/>
  <c r="C1221" i="19"/>
  <c r="D1221" i="19"/>
  <c r="E1222" i="19"/>
  <c r="C1220" i="19"/>
  <c r="D1220" i="19"/>
  <c r="E1221" i="19"/>
  <c r="C1219" i="19"/>
  <c r="D1219" i="19"/>
  <c r="E1220" i="19"/>
  <c r="C1218" i="19"/>
  <c r="D1218" i="19"/>
  <c r="E1219" i="19"/>
  <c r="C1217" i="19"/>
  <c r="D1217" i="19"/>
  <c r="E1218" i="19"/>
  <c r="C1216" i="19"/>
  <c r="D1216" i="19"/>
  <c r="E1217" i="19"/>
  <c r="C1215" i="19"/>
  <c r="D1215" i="19"/>
  <c r="E1216" i="19"/>
  <c r="C1214" i="19"/>
  <c r="D1214" i="19"/>
  <c r="E1215" i="19"/>
  <c r="C1213" i="19"/>
  <c r="D1213" i="19"/>
  <c r="E1214" i="19"/>
  <c r="C1212" i="19"/>
  <c r="D1212" i="19"/>
  <c r="E1213" i="19"/>
  <c r="C1211" i="19"/>
  <c r="D1211" i="19"/>
  <c r="E1212" i="19"/>
  <c r="C1210" i="19"/>
  <c r="D1210" i="19"/>
  <c r="E1211" i="19"/>
  <c r="C1209" i="19"/>
  <c r="D1209" i="19"/>
  <c r="E1210" i="19"/>
  <c r="C1208" i="19"/>
  <c r="D1208" i="19"/>
  <c r="E1209" i="19"/>
  <c r="C1207" i="19"/>
  <c r="D1207" i="19"/>
  <c r="E1208" i="19"/>
  <c r="C1206" i="19"/>
  <c r="D1206" i="19"/>
  <c r="E1207" i="19"/>
  <c r="C1205" i="19"/>
  <c r="D1205" i="19"/>
  <c r="E1206" i="19"/>
  <c r="C1204" i="19"/>
  <c r="D1204" i="19"/>
  <c r="E1205" i="19"/>
  <c r="C1203" i="19"/>
  <c r="D1203" i="19"/>
  <c r="E1204" i="19"/>
  <c r="C1202" i="19"/>
  <c r="D1202" i="19"/>
  <c r="E1203" i="19"/>
  <c r="C1201" i="19"/>
  <c r="D1201" i="19"/>
  <c r="E1202" i="19"/>
  <c r="C1200" i="19"/>
  <c r="D1200" i="19"/>
  <c r="E1201" i="19"/>
  <c r="C1199" i="19"/>
  <c r="D1199" i="19"/>
  <c r="E1200" i="19"/>
  <c r="C1198" i="19"/>
  <c r="D1198" i="19"/>
  <c r="E1199" i="19"/>
  <c r="C1197" i="19"/>
  <c r="D1197" i="19"/>
  <c r="E1198" i="19"/>
  <c r="C1196" i="19"/>
  <c r="D1196" i="19"/>
  <c r="E1197" i="19"/>
  <c r="C1195" i="19"/>
  <c r="D1195" i="19"/>
  <c r="E1196" i="19"/>
  <c r="C1194" i="19"/>
  <c r="D1194" i="19"/>
  <c r="E1195" i="19"/>
  <c r="C1193" i="19"/>
  <c r="D1193" i="19"/>
  <c r="E1194" i="19"/>
  <c r="C1192" i="19"/>
  <c r="D1192" i="19"/>
  <c r="E1193" i="19"/>
  <c r="C1191" i="19"/>
  <c r="D1191" i="19"/>
  <c r="E1192" i="19"/>
  <c r="C1190" i="19"/>
  <c r="D1190" i="19"/>
  <c r="E1191" i="19"/>
  <c r="C1189" i="19"/>
  <c r="D1189" i="19"/>
  <c r="E1190" i="19"/>
  <c r="C1188" i="19"/>
  <c r="D1188" i="19"/>
  <c r="E1189" i="19"/>
  <c r="C1187" i="19"/>
  <c r="D1187" i="19"/>
  <c r="E1188" i="19"/>
  <c r="C1186" i="19"/>
  <c r="D1186" i="19"/>
  <c r="E1187" i="19"/>
  <c r="C1185" i="19"/>
  <c r="D1185" i="19"/>
  <c r="E1186" i="19"/>
  <c r="C1184" i="19"/>
  <c r="D1184" i="19"/>
  <c r="E1185" i="19"/>
  <c r="C1183" i="19"/>
  <c r="D1183" i="19"/>
  <c r="E1184" i="19"/>
  <c r="C1182" i="19"/>
  <c r="D1182" i="19"/>
  <c r="E1183" i="19"/>
  <c r="C1181" i="19"/>
  <c r="D1181" i="19"/>
  <c r="E1182" i="19"/>
  <c r="C1180" i="19"/>
  <c r="D1180" i="19"/>
  <c r="E1181" i="19"/>
  <c r="C1179" i="19"/>
  <c r="D1179" i="19"/>
  <c r="E1180" i="19"/>
  <c r="C1178" i="19"/>
  <c r="D1178" i="19"/>
  <c r="E1179" i="19"/>
  <c r="C1177" i="19"/>
  <c r="D1177" i="19"/>
  <c r="E1178" i="19"/>
  <c r="C1176" i="19"/>
  <c r="D1176" i="19"/>
  <c r="E1177" i="19"/>
  <c r="C1175" i="19"/>
  <c r="D1175" i="19"/>
  <c r="E1176" i="19"/>
  <c r="C1174" i="19"/>
  <c r="D1174" i="19"/>
  <c r="E1175" i="19"/>
  <c r="C1173" i="19"/>
  <c r="D1173" i="19"/>
  <c r="E1174" i="19"/>
  <c r="C1172" i="19"/>
  <c r="D1172" i="19"/>
  <c r="E1173" i="19"/>
  <c r="C1171" i="19"/>
  <c r="D1171" i="19"/>
  <c r="E1172" i="19"/>
  <c r="C1170" i="19"/>
  <c r="D1170" i="19"/>
  <c r="E1171" i="19"/>
  <c r="C1169" i="19"/>
  <c r="D1169" i="19"/>
  <c r="E1170" i="19"/>
  <c r="C1168" i="19"/>
  <c r="D1168" i="19"/>
  <c r="E1169" i="19"/>
  <c r="C1167" i="19"/>
  <c r="D1167" i="19"/>
  <c r="E1168" i="19"/>
  <c r="C1166" i="19"/>
  <c r="D1166" i="19"/>
  <c r="E1167" i="19"/>
  <c r="C1165" i="19"/>
  <c r="D1165" i="19"/>
  <c r="E1166" i="19"/>
  <c r="C1164" i="19"/>
  <c r="D1164" i="19"/>
  <c r="E1165" i="19"/>
  <c r="C1163" i="19"/>
  <c r="D1163" i="19"/>
  <c r="E1164" i="19"/>
  <c r="C1162" i="19"/>
  <c r="D1162" i="19"/>
  <c r="E1163" i="19"/>
  <c r="C1161" i="19"/>
  <c r="D1161" i="19"/>
  <c r="E1162" i="19"/>
  <c r="C1160" i="19"/>
  <c r="D1160" i="19"/>
  <c r="E1161" i="19"/>
  <c r="C1159" i="19"/>
  <c r="D1159" i="19"/>
  <c r="E1160" i="19"/>
  <c r="C1158" i="19"/>
  <c r="D1158" i="19"/>
  <c r="E1159" i="19"/>
  <c r="C1157" i="19"/>
  <c r="D1157" i="19"/>
  <c r="E1158" i="19"/>
  <c r="C1156" i="19"/>
  <c r="D1156" i="19"/>
  <c r="E1157" i="19"/>
  <c r="C1155" i="19"/>
  <c r="D1155" i="19"/>
  <c r="E1156" i="19"/>
  <c r="C1154" i="19"/>
  <c r="D1154" i="19"/>
  <c r="E1155" i="19"/>
  <c r="C1153" i="19"/>
  <c r="D1153" i="19"/>
  <c r="E1154" i="19"/>
  <c r="C1152" i="19"/>
  <c r="D1152" i="19"/>
  <c r="E1153" i="19"/>
  <c r="C1151" i="19"/>
  <c r="D1151" i="19"/>
  <c r="E1152" i="19"/>
  <c r="C1150" i="19"/>
  <c r="D1150" i="19"/>
  <c r="E1151" i="19"/>
  <c r="C1149" i="19"/>
  <c r="D1149" i="19"/>
  <c r="E1150" i="19"/>
  <c r="C1148" i="19"/>
  <c r="D1148" i="19"/>
  <c r="E1149" i="19"/>
  <c r="C1147" i="19"/>
  <c r="D1147" i="19"/>
  <c r="E1148" i="19"/>
  <c r="C1146" i="19"/>
  <c r="D1146" i="19"/>
  <c r="E1147" i="19"/>
  <c r="C1145" i="19"/>
  <c r="D1145" i="19"/>
  <c r="E1146" i="19"/>
  <c r="C1144" i="19"/>
  <c r="D1144" i="19"/>
  <c r="E1145" i="19"/>
  <c r="C1143" i="19"/>
  <c r="D1143" i="19"/>
  <c r="E1144" i="19"/>
  <c r="C1142" i="19"/>
  <c r="D1142" i="19"/>
  <c r="E1143" i="19"/>
  <c r="C1141" i="19"/>
  <c r="D1141" i="19"/>
  <c r="E1142" i="19"/>
  <c r="C1140" i="19"/>
  <c r="D1140" i="19"/>
  <c r="E1141" i="19"/>
  <c r="C1139" i="19"/>
  <c r="D1139" i="19"/>
  <c r="E1140" i="19"/>
  <c r="C1138" i="19"/>
  <c r="D1138" i="19"/>
  <c r="E1139" i="19"/>
  <c r="C1137" i="19"/>
  <c r="D1137" i="19"/>
  <c r="E1138" i="19"/>
  <c r="C1136" i="19"/>
  <c r="D1136" i="19"/>
  <c r="E1137" i="19"/>
  <c r="C1135" i="19"/>
  <c r="D1135" i="19"/>
  <c r="E1136" i="19"/>
  <c r="C1134" i="19"/>
  <c r="D1134" i="19"/>
  <c r="E1135" i="19"/>
  <c r="C1133" i="19"/>
  <c r="D1133" i="19"/>
  <c r="E1134" i="19"/>
  <c r="C1132" i="19"/>
  <c r="D1132" i="19"/>
  <c r="E1133" i="19"/>
  <c r="C1131" i="19"/>
  <c r="D1131" i="19"/>
  <c r="E1132" i="19"/>
  <c r="C1130" i="19"/>
  <c r="D1130" i="19"/>
  <c r="E1131" i="19"/>
  <c r="C1129" i="19"/>
  <c r="D1129" i="19"/>
  <c r="E1130" i="19"/>
  <c r="C1128" i="19"/>
  <c r="D1128" i="19"/>
  <c r="E1129" i="19"/>
  <c r="C1127" i="19"/>
  <c r="D1127" i="19"/>
  <c r="E1128" i="19"/>
  <c r="C1126" i="19"/>
  <c r="D1126" i="19"/>
  <c r="E1127" i="19"/>
  <c r="C1125" i="19"/>
  <c r="D1125" i="19"/>
  <c r="E1126" i="19"/>
  <c r="C1124" i="19"/>
  <c r="D1124" i="19"/>
  <c r="E1125" i="19"/>
  <c r="C1123" i="19"/>
  <c r="D1123" i="19"/>
  <c r="E1124" i="19"/>
  <c r="C1122" i="19"/>
  <c r="D1122" i="19"/>
  <c r="E1123" i="19"/>
  <c r="C1121" i="19"/>
  <c r="D1121" i="19"/>
  <c r="E1122" i="19"/>
  <c r="C1120" i="19"/>
  <c r="D1120" i="19"/>
  <c r="E1121" i="19"/>
  <c r="C1119" i="19"/>
  <c r="D1119" i="19"/>
  <c r="E1120" i="19"/>
  <c r="C1118" i="19"/>
  <c r="D1118" i="19"/>
  <c r="E1119" i="19"/>
  <c r="C1117" i="19"/>
  <c r="D1117" i="19"/>
  <c r="E1118" i="19"/>
  <c r="C1116" i="19"/>
  <c r="D1116" i="19"/>
  <c r="E1117" i="19"/>
  <c r="C1115" i="19"/>
  <c r="D1115" i="19"/>
  <c r="E1116" i="19"/>
  <c r="C1114" i="19"/>
  <c r="D1114" i="19"/>
  <c r="E1115" i="19"/>
  <c r="C1113" i="19"/>
  <c r="D1113" i="19"/>
  <c r="E1114" i="19"/>
  <c r="C1112" i="19"/>
  <c r="D1112" i="19"/>
  <c r="E1113" i="19"/>
  <c r="C1111" i="19"/>
  <c r="D1111" i="19"/>
  <c r="E1112" i="19"/>
  <c r="C1110" i="19"/>
  <c r="D1110" i="19"/>
  <c r="E1111" i="19"/>
  <c r="C1109" i="19"/>
  <c r="D1109" i="19"/>
  <c r="E1110" i="19"/>
  <c r="C1108" i="19"/>
  <c r="D1108" i="19"/>
  <c r="E1109" i="19"/>
  <c r="C1107" i="19"/>
  <c r="D1107" i="19"/>
  <c r="E1108" i="19"/>
  <c r="C1106" i="19"/>
  <c r="D1106" i="19"/>
  <c r="E1107" i="19"/>
  <c r="C1105" i="19"/>
  <c r="D1105" i="19"/>
  <c r="E1106" i="19"/>
  <c r="C1104" i="19"/>
  <c r="D1104" i="19"/>
  <c r="E1105" i="19"/>
  <c r="C1103" i="19"/>
  <c r="D1103" i="19"/>
  <c r="E1104" i="19"/>
  <c r="C1102" i="19"/>
  <c r="D1102" i="19"/>
  <c r="E1103" i="19"/>
  <c r="C1101" i="19"/>
  <c r="D1101" i="19"/>
  <c r="E1102" i="19"/>
  <c r="C1100" i="19"/>
  <c r="D1100" i="19"/>
  <c r="E1101" i="19"/>
  <c r="C1099" i="19"/>
  <c r="D1099" i="19"/>
  <c r="E1100" i="19"/>
  <c r="C1098" i="19"/>
  <c r="D1098" i="19"/>
  <c r="E1099" i="19"/>
  <c r="C1097" i="19"/>
  <c r="D1097" i="19"/>
  <c r="E1098" i="19"/>
  <c r="C1096" i="19"/>
  <c r="D1096" i="19"/>
  <c r="E1097" i="19"/>
  <c r="C1095" i="19"/>
  <c r="D1095" i="19"/>
  <c r="E1096" i="19"/>
  <c r="C1094" i="19"/>
  <c r="D1094" i="19"/>
  <c r="E1095" i="19"/>
  <c r="C1093" i="19"/>
  <c r="D1093" i="19"/>
  <c r="E1094" i="19"/>
  <c r="C1092" i="19"/>
  <c r="D1092" i="19"/>
  <c r="E1093" i="19"/>
  <c r="C1091" i="19"/>
  <c r="D1091" i="19"/>
  <c r="E1092" i="19"/>
  <c r="C1090" i="19"/>
  <c r="D1090" i="19"/>
  <c r="E1091" i="19"/>
  <c r="C1089" i="19"/>
  <c r="D1089" i="19"/>
  <c r="E1090" i="19"/>
  <c r="C1088" i="19"/>
  <c r="D1088" i="19"/>
  <c r="E1089" i="19"/>
  <c r="C1087" i="19"/>
  <c r="D1087" i="19"/>
  <c r="E1088" i="19"/>
  <c r="C1086" i="19"/>
  <c r="D1086" i="19"/>
  <c r="E1087" i="19"/>
  <c r="C1085" i="19"/>
  <c r="D1085" i="19"/>
  <c r="E1086" i="19"/>
  <c r="C1084" i="19"/>
  <c r="D1084" i="19"/>
  <c r="E1085" i="19"/>
  <c r="C1083" i="19"/>
  <c r="D1083" i="19"/>
  <c r="E1084" i="19"/>
  <c r="C1082" i="19"/>
  <c r="D1082" i="19"/>
  <c r="E1083" i="19"/>
  <c r="C1081" i="19"/>
  <c r="D1081" i="19"/>
  <c r="E1082" i="19"/>
  <c r="C1080" i="19"/>
  <c r="D1080" i="19"/>
  <c r="E1081" i="19"/>
  <c r="C1079" i="19"/>
  <c r="D1079" i="19"/>
  <c r="E1080" i="19"/>
  <c r="C1078" i="19"/>
  <c r="D1078" i="19"/>
  <c r="E1079" i="19"/>
  <c r="C1077" i="19"/>
  <c r="D1077" i="19"/>
  <c r="E1078" i="19"/>
  <c r="C1076" i="19"/>
  <c r="D1076" i="19"/>
  <c r="E1077" i="19"/>
  <c r="C1075" i="19"/>
  <c r="D1075" i="19"/>
  <c r="E1076" i="19"/>
  <c r="C1074" i="19"/>
  <c r="D1074" i="19"/>
  <c r="E1075" i="19"/>
  <c r="C1073" i="19"/>
  <c r="D1073" i="19"/>
  <c r="E1074" i="19"/>
  <c r="C1072" i="19"/>
  <c r="D1072" i="19"/>
  <c r="E1073" i="19"/>
  <c r="C1071" i="19"/>
  <c r="D1071" i="19"/>
  <c r="E1072" i="19"/>
  <c r="C1070" i="19"/>
  <c r="D1070" i="19"/>
  <c r="E1071" i="19"/>
  <c r="C1069" i="19"/>
  <c r="D1069" i="19"/>
  <c r="E1070" i="19"/>
  <c r="C1068" i="19"/>
  <c r="D1068" i="19"/>
  <c r="E1069" i="19"/>
  <c r="C1067" i="19"/>
  <c r="D1067" i="19"/>
  <c r="E1068" i="19"/>
  <c r="C1066" i="19"/>
  <c r="D1066" i="19"/>
  <c r="E1067" i="19"/>
  <c r="C1065" i="19"/>
  <c r="D1065" i="19"/>
  <c r="E1066" i="19"/>
  <c r="C1064" i="19"/>
  <c r="D1064" i="19"/>
  <c r="E1065" i="19"/>
  <c r="C1063" i="19"/>
  <c r="D1063" i="19"/>
  <c r="E1064" i="19"/>
  <c r="C1062" i="19"/>
  <c r="D1062" i="19"/>
  <c r="E1063" i="19"/>
  <c r="C1061" i="19"/>
  <c r="D1061" i="19"/>
  <c r="E1062" i="19"/>
  <c r="C1060" i="19"/>
  <c r="D1060" i="19"/>
  <c r="E1061" i="19"/>
  <c r="C1059" i="19"/>
  <c r="D1059" i="19"/>
  <c r="E1060" i="19"/>
  <c r="C1058" i="19"/>
  <c r="D1058" i="19"/>
  <c r="E1059" i="19"/>
  <c r="C1057" i="19"/>
  <c r="D1057" i="19"/>
  <c r="E1058" i="19"/>
  <c r="C1056" i="19"/>
  <c r="D1056" i="19"/>
  <c r="E1057" i="19"/>
  <c r="C1055" i="19"/>
  <c r="D1055" i="19"/>
  <c r="E1056" i="19"/>
  <c r="C1054" i="19"/>
  <c r="D1054" i="19"/>
  <c r="E1055" i="19"/>
  <c r="C1053" i="19"/>
  <c r="D1053" i="19"/>
  <c r="E1054" i="19"/>
  <c r="C1052" i="19"/>
  <c r="D1052" i="19"/>
  <c r="E1053" i="19"/>
  <c r="C1051" i="19"/>
  <c r="D1051" i="19"/>
  <c r="E1052" i="19"/>
  <c r="C1050" i="19"/>
  <c r="D1050" i="19"/>
  <c r="E1051" i="19"/>
  <c r="C1049" i="19"/>
  <c r="D1049" i="19"/>
  <c r="E1050" i="19"/>
  <c r="C1048" i="19"/>
  <c r="D1048" i="19"/>
  <c r="E1049" i="19"/>
  <c r="C1047" i="19"/>
  <c r="D1047" i="19"/>
  <c r="E1048" i="19"/>
  <c r="C1046" i="19"/>
  <c r="D1046" i="19"/>
  <c r="E1047" i="19"/>
  <c r="C1045" i="19"/>
  <c r="D1045" i="19"/>
  <c r="E1046" i="19"/>
  <c r="C1044" i="19"/>
  <c r="D1044" i="19"/>
  <c r="E1045" i="19"/>
  <c r="C1043" i="19"/>
  <c r="D1043" i="19"/>
  <c r="E1044" i="19"/>
  <c r="C1042" i="19"/>
  <c r="D1042" i="19"/>
  <c r="E1043" i="19"/>
  <c r="C1041" i="19"/>
  <c r="D1041" i="19"/>
  <c r="E1042" i="19"/>
  <c r="C1040" i="19"/>
  <c r="D1040" i="19"/>
  <c r="E1041" i="19"/>
  <c r="C1039" i="19"/>
  <c r="D1039" i="19"/>
  <c r="E1040" i="19"/>
  <c r="C1038" i="19"/>
  <c r="D1038" i="19"/>
  <c r="E1039" i="19"/>
  <c r="C1037" i="19"/>
  <c r="D1037" i="19"/>
  <c r="E1038" i="19"/>
  <c r="C1036" i="19"/>
  <c r="D1036" i="19"/>
  <c r="E1037" i="19"/>
  <c r="C1035" i="19"/>
  <c r="D1035" i="19"/>
  <c r="E1036" i="19"/>
  <c r="C1034" i="19"/>
  <c r="D1034" i="19"/>
  <c r="E1035" i="19"/>
  <c r="C1033" i="19"/>
  <c r="D1033" i="19"/>
  <c r="E1034" i="19"/>
  <c r="C1032" i="19"/>
  <c r="D1032" i="19"/>
  <c r="E1033" i="19"/>
  <c r="C1031" i="19"/>
  <c r="D1031" i="19"/>
  <c r="E1032" i="19"/>
  <c r="C1030" i="19"/>
  <c r="D1030" i="19"/>
  <c r="E1031" i="19"/>
  <c r="C1029" i="19"/>
  <c r="D1029" i="19"/>
  <c r="E1030" i="19"/>
  <c r="C1028" i="19"/>
  <c r="D1028" i="19"/>
  <c r="E1029" i="19"/>
  <c r="C1027" i="19"/>
  <c r="D1027" i="19"/>
  <c r="E1028" i="19"/>
  <c r="C1026" i="19"/>
  <c r="D1026" i="19"/>
  <c r="E1027" i="19"/>
  <c r="C1025" i="19"/>
  <c r="D1025" i="19"/>
  <c r="E1026" i="19"/>
  <c r="C1024" i="19"/>
  <c r="D1024" i="19"/>
  <c r="E1025" i="19"/>
  <c r="C1023" i="19"/>
  <c r="D1023" i="19"/>
  <c r="E1024" i="19"/>
  <c r="C1022" i="19"/>
  <c r="D1022" i="19"/>
  <c r="E1023" i="19"/>
  <c r="C1021" i="19"/>
  <c r="D1021" i="19"/>
  <c r="E1022" i="19"/>
  <c r="C1020" i="19"/>
  <c r="D1020" i="19"/>
  <c r="E1021" i="19"/>
  <c r="C1019" i="19"/>
  <c r="D1019" i="19"/>
  <c r="E1020" i="19"/>
  <c r="C1018" i="19"/>
  <c r="D1018" i="19"/>
  <c r="E1019" i="19"/>
  <c r="C1017" i="19"/>
  <c r="D1017" i="19"/>
  <c r="E1018" i="19"/>
  <c r="C1016" i="19"/>
  <c r="D1016" i="19"/>
  <c r="E1017" i="19"/>
  <c r="C1015" i="19"/>
  <c r="D1015" i="19"/>
  <c r="E1016" i="19"/>
  <c r="C1014" i="19"/>
  <c r="D1014" i="19"/>
  <c r="E1015" i="19"/>
  <c r="C1013" i="19"/>
  <c r="D1013" i="19"/>
  <c r="E1014" i="19"/>
  <c r="C1012" i="19"/>
  <c r="D1012" i="19"/>
  <c r="E1013" i="19"/>
  <c r="C1011" i="19"/>
  <c r="D1011" i="19"/>
  <c r="E1012" i="19"/>
  <c r="C1010" i="19"/>
  <c r="D1010" i="19"/>
  <c r="E1011" i="19"/>
  <c r="C1009" i="19"/>
  <c r="D1009" i="19"/>
  <c r="E1010" i="19"/>
  <c r="C1008" i="19"/>
  <c r="D1008" i="19"/>
  <c r="E1009" i="19"/>
  <c r="C1007" i="19"/>
  <c r="D1007" i="19"/>
  <c r="E1008" i="19"/>
  <c r="C1006" i="19"/>
  <c r="D1006" i="19"/>
  <c r="E1007" i="19"/>
  <c r="C1005" i="19"/>
  <c r="D1005" i="19"/>
  <c r="E1006" i="19"/>
  <c r="C1004" i="19"/>
  <c r="D1004" i="19"/>
  <c r="E1005" i="19"/>
  <c r="C1003" i="19"/>
  <c r="D1003" i="19"/>
  <c r="E1004" i="19"/>
  <c r="C1002" i="19"/>
  <c r="D1002" i="19"/>
  <c r="E1003" i="19"/>
  <c r="C1001" i="19"/>
  <c r="D1001" i="19"/>
  <c r="E1002" i="19"/>
  <c r="C1000" i="19"/>
  <c r="D1000" i="19"/>
  <c r="E1001" i="19"/>
  <c r="C999" i="19"/>
  <c r="D999" i="19"/>
  <c r="E1000" i="19"/>
  <c r="C998" i="19"/>
  <c r="D998" i="19"/>
  <c r="E999" i="19"/>
  <c r="C997" i="19"/>
  <c r="D997" i="19"/>
  <c r="E998" i="19"/>
  <c r="C996" i="19"/>
  <c r="D996" i="19"/>
  <c r="E997" i="19"/>
  <c r="C995" i="19"/>
  <c r="D995" i="19"/>
  <c r="E996" i="19"/>
  <c r="C994" i="19"/>
  <c r="D994" i="19"/>
  <c r="E995" i="19"/>
  <c r="C993" i="19"/>
  <c r="D993" i="19"/>
  <c r="E994" i="19"/>
  <c r="C992" i="19"/>
  <c r="D992" i="19"/>
  <c r="E993" i="19"/>
  <c r="C991" i="19"/>
  <c r="D991" i="19"/>
  <c r="E992" i="19"/>
  <c r="C990" i="19"/>
  <c r="D990" i="19"/>
  <c r="E991" i="19"/>
  <c r="C989" i="19"/>
  <c r="D989" i="19"/>
  <c r="E990" i="19"/>
  <c r="C988" i="19"/>
  <c r="D988" i="19"/>
  <c r="E989" i="19"/>
  <c r="C987" i="19"/>
  <c r="D987" i="19"/>
  <c r="E988" i="19"/>
  <c r="C986" i="19"/>
  <c r="D986" i="19"/>
  <c r="E987" i="19"/>
  <c r="C985" i="19"/>
  <c r="D985" i="19"/>
  <c r="E986" i="19"/>
  <c r="C984" i="19"/>
  <c r="D984" i="19"/>
  <c r="E985" i="19"/>
  <c r="C983" i="19"/>
  <c r="D983" i="19"/>
  <c r="E984" i="19"/>
  <c r="C982" i="19"/>
  <c r="D982" i="19"/>
  <c r="E983" i="19"/>
  <c r="C981" i="19"/>
  <c r="D981" i="19"/>
  <c r="E982" i="19"/>
  <c r="C980" i="19"/>
  <c r="D980" i="19"/>
  <c r="E981" i="19"/>
  <c r="C979" i="19"/>
  <c r="D979" i="19"/>
  <c r="E980" i="19"/>
  <c r="C978" i="19"/>
  <c r="D978" i="19"/>
  <c r="E979" i="19"/>
  <c r="C977" i="19"/>
  <c r="D977" i="19"/>
  <c r="E978" i="19"/>
  <c r="C976" i="19"/>
  <c r="D976" i="19"/>
  <c r="E977" i="19"/>
  <c r="C975" i="19"/>
  <c r="D975" i="19"/>
  <c r="E976" i="19"/>
  <c r="C974" i="19"/>
  <c r="D974" i="19"/>
  <c r="E975" i="19"/>
  <c r="C973" i="19"/>
  <c r="D973" i="19"/>
  <c r="E974" i="19"/>
  <c r="C972" i="19"/>
  <c r="D972" i="19"/>
  <c r="E973" i="19"/>
  <c r="C971" i="19"/>
  <c r="D971" i="19"/>
  <c r="E972" i="19"/>
  <c r="C970" i="19"/>
  <c r="D970" i="19"/>
  <c r="E971" i="19"/>
  <c r="C969" i="19"/>
  <c r="D969" i="19"/>
  <c r="E970" i="19"/>
  <c r="C968" i="19"/>
  <c r="D968" i="19"/>
  <c r="E969" i="19"/>
  <c r="C967" i="19"/>
  <c r="D967" i="19"/>
  <c r="E968" i="19"/>
  <c r="C966" i="19"/>
  <c r="D966" i="19"/>
  <c r="E967" i="19"/>
  <c r="C965" i="19"/>
  <c r="D965" i="19"/>
  <c r="E966" i="19"/>
  <c r="C964" i="19"/>
  <c r="D964" i="19"/>
  <c r="E965" i="19"/>
  <c r="C963" i="19"/>
  <c r="D963" i="19"/>
  <c r="E964" i="19"/>
  <c r="C962" i="19"/>
  <c r="D962" i="19"/>
  <c r="E963" i="19"/>
  <c r="C961" i="19"/>
  <c r="D961" i="19"/>
  <c r="E962" i="19"/>
  <c r="C960" i="19"/>
  <c r="D960" i="19"/>
  <c r="E961" i="19"/>
  <c r="C959" i="19"/>
  <c r="D959" i="19"/>
  <c r="E960" i="19"/>
  <c r="C958" i="19"/>
  <c r="D958" i="19"/>
  <c r="E959" i="19"/>
  <c r="C957" i="19"/>
  <c r="D957" i="19"/>
  <c r="E958" i="19"/>
  <c r="C956" i="19"/>
  <c r="D956" i="19"/>
  <c r="E957" i="19"/>
  <c r="C955" i="19"/>
  <c r="D955" i="19"/>
  <c r="E956" i="19"/>
  <c r="C954" i="19"/>
  <c r="D954" i="19"/>
  <c r="E955" i="19"/>
  <c r="C953" i="19"/>
  <c r="D953" i="19"/>
  <c r="E954" i="19"/>
  <c r="C952" i="19"/>
  <c r="D952" i="19"/>
  <c r="E953" i="19"/>
  <c r="C951" i="19"/>
  <c r="D951" i="19"/>
  <c r="E952" i="19"/>
  <c r="C950" i="19"/>
  <c r="D950" i="19"/>
  <c r="E951" i="19"/>
  <c r="C949" i="19"/>
  <c r="D949" i="19"/>
  <c r="E950" i="19"/>
  <c r="C948" i="19"/>
  <c r="D948" i="19"/>
  <c r="E949" i="19"/>
  <c r="C947" i="19"/>
  <c r="D947" i="19"/>
  <c r="E948" i="19"/>
  <c r="C946" i="19"/>
  <c r="D946" i="19"/>
  <c r="E947" i="19"/>
  <c r="C945" i="19"/>
  <c r="D945" i="19"/>
  <c r="E946" i="19"/>
  <c r="C944" i="19"/>
  <c r="D944" i="19"/>
  <c r="E945" i="19"/>
  <c r="C943" i="19"/>
  <c r="D943" i="19"/>
  <c r="E944" i="19"/>
  <c r="C942" i="19"/>
  <c r="D942" i="19"/>
  <c r="E943" i="19"/>
  <c r="C941" i="19"/>
  <c r="D941" i="19"/>
  <c r="E942" i="19"/>
  <c r="C940" i="19"/>
  <c r="D940" i="19"/>
  <c r="E941" i="19"/>
  <c r="C939" i="19"/>
  <c r="D939" i="19"/>
  <c r="E940" i="19"/>
  <c r="C938" i="19"/>
  <c r="D938" i="19"/>
  <c r="E939" i="19"/>
  <c r="C937" i="19"/>
  <c r="D937" i="19"/>
  <c r="E938" i="19"/>
  <c r="C936" i="19"/>
  <c r="D936" i="19"/>
  <c r="E937" i="19"/>
  <c r="C935" i="19"/>
  <c r="D935" i="19"/>
  <c r="E936" i="19"/>
  <c r="C934" i="19"/>
  <c r="D934" i="19"/>
  <c r="E935" i="19"/>
  <c r="C933" i="19"/>
  <c r="D933" i="19"/>
  <c r="E934" i="19"/>
  <c r="C932" i="19"/>
  <c r="D932" i="19"/>
  <c r="E933" i="19"/>
  <c r="C931" i="19"/>
  <c r="D931" i="19"/>
  <c r="E932" i="19"/>
  <c r="C930" i="19"/>
  <c r="D930" i="19"/>
  <c r="E931" i="19"/>
  <c r="C929" i="19"/>
  <c r="D929" i="19"/>
  <c r="E930" i="19"/>
  <c r="C928" i="19"/>
  <c r="D928" i="19"/>
  <c r="E929" i="19"/>
  <c r="C927" i="19"/>
  <c r="D927" i="19"/>
  <c r="E928" i="19"/>
  <c r="C926" i="19"/>
  <c r="D926" i="19"/>
  <c r="E927" i="19"/>
  <c r="C925" i="19"/>
  <c r="D925" i="19"/>
  <c r="E926" i="19"/>
  <c r="C924" i="19"/>
  <c r="D924" i="19"/>
  <c r="E925" i="19"/>
  <c r="C923" i="19"/>
  <c r="D923" i="19"/>
  <c r="E924" i="19"/>
  <c r="C922" i="19"/>
  <c r="D922" i="19"/>
  <c r="E923" i="19"/>
  <c r="C921" i="19"/>
  <c r="D921" i="19"/>
  <c r="E922" i="19"/>
  <c r="C920" i="19"/>
  <c r="D920" i="19"/>
  <c r="E921" i="19"/>
  <c r="C919" i="19"/>
  <c r="D919" i="19"/>
  <c r="E920" i="19"/>
  <c r="C918" i="19"/>
  <c r="D918" i="19"/>
  <c r="E919" i="19"/>
  <c r="C917" i="19"/>
  <c r="D917" i="19"/>
  <c r="E918" i="19"/>
  <c r="C916" i="19"/>
  <c r="D916" i="19"/>
  <c r="E917" i="19"/>
  <c r="C915" i="19"/>
  <c r="D915" i="19"/>
  <c r="E916" i="19"/>
  <c r="C914" i="19"/>
  <c r="D914" i="19"/>
  <c r="E915" i="19"/>
  <c r="C913" i="19"/>
  <c r="D913" i="19"/>
  <c r="E914" i="19"/>
  <c r="C912" i="19"/>
  <c r="D912" i="19"/>
  <c r="E913" i="19"/>
  <c r="C911" i="19"/>
  <c r="D911" i="19"/>
  <c r="E912" i="19"/>
  <c r="C910" i="19"/>
  <c r="D910" i="19"/>
  <c r="E911" i="19"/>
  <c r="C909" i="19"/>
  <c r="D909" i="19"/>
  <c r="E910" i="19"/>
  <c r="C908" i="19"/>
  <c r="D908" i="19"/>
  <c r="E909" i="19"/>
  <c r="C907" i="19"/>
  <c r="D907" i="19"/>
  <c r="E908" i="19"/>
  <c r="C906" i="19"/>
  <c r="D906" i="19"/>
  <c r="E907" i="19"/>
  <c r="C905" i="19"/>
  <c r="D905" i="19"/>
  <c r="E906" i="19"/>
  <c r="C904" i="19"/>
  <c r="D904" i="19"/>
  <c r="E905" i="19"/>
  <c r="C903" i="19"/>
  <c r="D903" i="19"/>
  <c r="E904" i="19"/>
  <c r="C902" i="19"/>
  <c r="D902" i="19"/>
  <c r="E903" i="19"/>
  <c r="C901" i="19"/>
  <c r="D901" i="19"/>
  <c r="E902" i="19"/>
  <c r="C900" i="19"/>
  <c r="D900" i="19"/>
  <c r="E901" i="19"/>
  <c r="C899" i="19"/>
  <c r="D899" i="19"/>
  <c r="E900" i="19"/>
  <c r="C898" i="19"/>
  <c r="D898" i="19"/>
  <c r="E899" i="19"/>
  <c r="C897" i="19"/>
  <c r="D897" i="19"/>
  <c r="E898" i="19"/>
  <c r="C896" i="19"/>
  <c r="D896" i="19"/>
  <c r="E897" i="19"/>
  <c r="C895" i="19"/>
  <c r="D895" i="19"/>
  <c r="E896" i="19"/>
  <c r="C894" i="19"/>
  <c r="D894" i="19"/>
  <c r="E895" i="19"/>
  <c r="C893" i="19"/>
  <c r="D893" i="19"/>
  <c r="E894" i="19"/>
  <c r="C892" i="19"/>
  <c r="D892" i="19"/>
  <c r="E893" i="19"/>
  <c r="C891" i="19"/>
  <c r="D891" i="19"/>
  <c r="E892" i="19"/>
  <c r="C890" i="19"/>
  <c r="D890" i="19"/>
  <c r="E891" i="19"/>
  <c r="C889" i="19"/>
  <c r="D889" i="19"/>
  <c r="E890" i="19"/>
  <c r="C888" i="19"/>
  <c r="D888" i="19"/>
  <c r="E889" i="19"/>
  <c r="C887" i="19"/>
  <c r="D887" i="19"/>
  <c r="E888" i="19"/>
  <c r="C886" i="19"/>
  <c r="D886" i="19"/>
  <c r="E887" i="19"/>
  <c r="C885" i="19"/>
  <c r="D885" i="19"/>
  <c r="E886" i="19"/>
  <c r="C884" i="19"/>
  <c r="D884" i="19"/>
  <c r="E885" i="19"/>
  <c r="C883" i="19"/>
  <c r="D883" i="19"/>
  <c r="E884" i="19"/>
  <c r="C882" i="19"/>
  <c r="D882" i="19"/>
  <c r="E883" i="19"/>
  <c r="C881" i="19"/>
  <c r="D881" i="19"/>
  <c r="E882" i="19"/>
  <c r="C880" i="19"/>
  <c r="D880" i="19"/>
  <c r="E881" i="19"/>
  <c r="C879" i="19"/>
  <c r="D879" i="19"/>
  <c r="E880" i="19"/>
  <c r="C878" i="19"/>
  <c r="D878" i="19"/>
  <c r="E879" i="19"/>
  <c r="C877" i="19"/>
  <c r="D877" i="19"/>
  <c r="E878" i="19"/>
  <c r="C876" i="19"/>
  <c r="D876" i="19"/>
  <c r="E877" i="19"/>
  <c r="C875" i="19"/>
  <c r="D875" i="19"/>
  <c r="E876" i="19"/>
  <c r="C874" i="19"/>
  <c r="D874" i="19"/>
  <c r="E875" i="19"/>
  <c r="C873" i="19"/>
  <c r="D873" i="19"/>
  <c r="E874" i="19"/>
  <c r="C872" i="19"/>
  <c r="D872" i="19"/>
  <c r="E873" i="19"/>
  <c r="C871" i="19"/>
  <c r="D871" i="19"/>
  <c r="E872" i="19"/>
  <c r="C870" i="19"/>
  <c r="D870" i="19"/>
  <c r="E871" i="19"/>
  <c r="C869" i="19"/>
  <c r="D869" i="19"/>
  <c r="E870" i="19"/>
  <c r="C868" i="19"/>
  <c r="D868" i="19"/>
  <c r="E869" i="19"/>
  <c r="C867" i="19"/>
  <c r="D867" i="19"/>
  <c r="E868" i="19"/>
  <c r="C866" i="19"/>
  <c r="D866" i="19"/>
  <c r="E867" i="19"/>
  <c r="C865" i="19"/>
  <c r="D865" i="19"/>
  <c r="E866" i="19"/>
  <c r="C864" i="19"/>
  <c r="D864" i="19"/>
  <c r="E865" i="19"/>
  <c r="C863" i="19"/>
  <c r="D863" i="19"/>
  <c r="E864" i="19"/>
  <c r="C862" i="19"/>
  <c r="D862" i="19"/>
  <c r="E863" i="19"/>
  <c r="C861" i="19"/>
  <c r="D861" i="19"/>
  <c r="E862" i="19"/>
  <c r="C860" i="19"/>
  <c r="D860" i="19"/>
  <c r="E861" i="19"/>
  <c r="C859" i="19"/>
  <c r="D859" i="19"/>
  <c r="E860" i="19"/>
  <c r="C858" i="19"/>
  <c r="D858" i="19"/>
  <c r="E859" i="19"/>
  <c r="C857" i="19"/>
  <c r="D857" i="19"/>
  <c r="E858" i="19"/>
  <c r="C856" i="19"/>
  <c r="D856" i="19"/>
  <c r="E857" i="19"/>
  <c r="C855" i="19"/>
  <c r="D855" i="19"/>
  <c r="E856" i="19"/>
  <c r="C854" i="19"/>
  <c r="D854" i="19"/>
  <c r="E855" i="19"/>
  <c r="C853" i="19"/>
  <c r="D853" i="19"/>
  <c r="E854" i="19"/>
  <c r="C852" i="19"/>
  <c r="D852" i="19"/>
  <c r="E853" i="19"/>
  <c r="C851" i="19"/>
  <c r="D851" i="19"/>
  <c r="E852" i="19"/>
  <c r="C850" i="19"/>
  <c r="D850" i="19"/>
  <c r="E851" i="19"/>
  <c r="C849" i="19"/>
  <c r="D849" i="19"/>
  <c r="E850" i="19"/>
  <c r="C848" i="19"/>
  <c r="D848" i="19"/>
  <c r="E849" i="19"/>
  <c r="C847" i="19"/>
  <c r="D847" i="19"/>
  <c r="E848" i="19"/>
  <c r="C846" i="19"/>
  <c r="D846" i="19"/>
  <c r="E847" i="19"/>
  <c r="C845" i="19"/>
  <c r="D845" i="19"/>
  <c r="E846" i="19"/>
  <c r="C844" i="19"/>
  <c r="D844" i="19"/>
  <c r="E845" i="19"/>
  <c r="C843" i="19"/>
  <c r="D843" i="19"/>
  <c r="E844" i="19"/>
  <c r="C842" i="19"/>
  <c r="D842" i="19"/>
  <c r="E843" i="19"/>
  <c r="C841" i="19"/>
  <c r="D841" i="19"/>
  <c r="E842" i="19"/>
  <c r="C840" i="19"/>
  <c r="D840" i="19"/>
  <c r="E841" i="19"/>
  <c r="C839" i="19"/>
  <c r="D839" i="19"/>
  <c r="E840" i="19"/>
  <c r="C838" i="19"/>
  <c r="D838" i="19"/>
  <c r="E839" i="19"/>
  <c r="C837" i="19"/>
  <c r="D837" i="19"/>
  <c r="E838" i="19"/>
  <c r="C836" i="19"/>
  <c r="D836" i="19"/>
  <c r="E837" i="19"/>
  <c r="C835" i="19"/>
  <c r="D835" i="19"/>
  <c r="E836" i="19"/>
  <c r="C834" i="19"/>
  <c r="D834" i="19"/>
  <c r="E835" i="19"/>
  <c r="C833" i="19"/>
  <c r="D833" i="19"/>
  <c r="E834" i="19"/>
  <c r="C832" i="19"/>
  <c r="D832" i="19"/>
  <c r="E833" i="19"/>
  <c r="C831" i="19"/>
  <c r="D831" i="19"/>
  <c r="E832" i="19"/>
  <c r="C830" i="19"/>
  <c r="D830" i="19"/>
  <c r="E831" i="19"/>
  <c r="C829" i="19"/>
  <c r="D829" i="19"/>
  <c r="E830" i="19"/>
  <c r="C828" i="19"/>
  <c r="D828" i="19"/>
  <c r="E829" i="19"/>
  <c r="C827" i="19"/>
  <c r="D827" i="19"/>
  <c r="E828" i="19"/>
  <c r="C826" i="19"/>
  <c r="D826" i="19"/>
  <c r="E827" i="19"/>
  <c r="C825" i="19"/>
  <c r="D825" i="19"/>
  <c r="E826" i="19"/>
  <c r="C824" i="19"/>
  <c r="D824" i="19"/>
  <c r="E825" i="19"/>
  <c r="C823" i="19"/>
  <c r="D823" i="19"/>
  <c r="E824" i="19"/>
  <c r="C822" i="19"/>
  <c r="D822" i="19"/>
  <c r="E823" i="19"/>
  <c r="C821" i="19"/>
  <c r="D821" i="19"/>
  <c r="E822" i="19"/>
  <c r="C820" i="19"/>
  <c r="D820" i="19"/>
  <c r="E821" i="19"/>
  <c r="C819" i="19"/>
  <c r="D819" i="19"/>
  <c r="E820" i="19"/>
  <c r="C818" i="19"/>
  <c r="D818" i="19"/>
  <c r="E819" i="19"/>
  <c r="C817" i="19"/>
  <c r="D817" i="19"/>
  <c r="E818" i="19"/>
  <c r="C816" i="19"/>
  <c r="D816" i="19"/>
  <c r="E817" i="19"/>
  <c r="C815" i="19"/>
  <c r="D815" i="19"/>
  <c r="E816" i="19"/>
  <c r="C814" i="19"/>
  <c r="D814" i="19"/>
  <c r="E815" i="19"/>
  <c r="C813" i="19"/>
  <c r="D813" i="19"/>
  <c r="E814" i="19"/>
  <c r="C812" i="19"/>
  <c r="D812" i="19"/>
  <c r="E813" i="19"/>
  <c r="C811" i="19"/>
  <c r="D811" i="19"/>
  <c r="E812" i="19"/>
  <c r="C810" i="19"/>
  <c r="D810" i="19"/>
  <c r="E811" i="19"/>
  <c r="C809" i="19"/>
  <c r="D809" i="19"/>
  <c r="E810" i="19"/>
  <c r="C808" i="19"/>
  <c r="D808" i="19"/>
  <c r="E809" i="19"/>
  <c r="C807" i="19"/>
  <c r="D807" i="19"/>
  <c r="E808" i="19"/>
  <c r="C806" i="19"/>
  <c r="D806" i="19"/>
  <c r="E807" i="19"/>
  <c r="C805" i="19"/>
  <c r="D805" i="19"/>
  <c r="E806" i="19"/>
  <c r="C804" i="19"/>
  <c r="D804" i="19"/>
  <c r="E805" i="19"/>
  <c r="C803" i="19"/>
  <c r="D803" i="19"/>
  <c r="E804" i="19"/>
  <c r="C802" i="19"/>
  <c r="D802" i="19"/>
  <c r="E803" i="19"/>
  <c r="C801" i="19"/>
  <c r="D801" i="19"/>
  <c r="E802" i="19"/>
  <c r="C800" i="19"/>
  <c r="D800" i="19"/>
  <c r="E801" i="19"/>
  <c r="C799" i="19"/>
  <c r="D799" i="19"/>
  <c r="E800" i="19"/>
  <c r="C798" i="19"/>
  <c r="D798" i="19"/>
  <c r="E799" i="19"/>
  <c r="C797" i="19"/>
  <c r="D797" i="19"/>
  <c r="E798" i="19"/>
  <c r="C796" i="19"/>
  <c r="D796" i="19"/>
  <c r="E797" i="19"/>
  <c r="C795" i="19"/>
  <c r="D795" i="19"/>
  <c r="E796" i="19"/>
  <c r="C794" i="19"/>
  <c r="D794" i="19"/>
  <c r="E795" i="19"/>
  <c r="C793" i="19"/>
  <c r="D793" i="19"/>
  <c r="E794" i="19"/>
  <c r="C792" i="19"/>
  <c r="D792" i="19"/>
  <c r="E793" i="19"/>
  <c r="C791" i="19"/>
  <c r="D791" i="19"/>
  <c r="E792" i="19"/>
  <c r="C790" i="19"/>
  <c r="D790" i="19"/>
  <c r="E791" i="19"/>
  <c r="C789" i="19"/>
  <c r="D789" i="19"/>
  <c r="E790" i="19"/>
  <c r="C788" i="19"/>
  <c r="D788" i="19"/>
  <c r="E789" i="19"/>
  <c r="C787" i="19"/>
  <c r="D787" i="19"/>
  <c r="E788" i="19"/>
  <c r="C786" i="19"/>
  <c r="D786" i="19"/>
  <c r="E787" i="19"/>
  <c r="C785" i="19"/>
  <c r="D785" i="19"/>
  <c r="E786" i="19"/>
  <c r="C784" i="19"/>
  <c r="D784" i="19"/>
  <c r="E785" i="19"/>
  <c r="C783" i="19"/>
  <c r="D783" i="19"/>
  <c r="E784" i="19"/>
  <c r="C782" i="19"/>
  <c r="D782" i="19"/>
  <c r="E783" i="19"/>
  <c r="C781" i="19"/>
  <c r="D781" i="19"/>
  <c r="E782" i="19"/>
  <c r="C780" i="19"/>
  <c r="D780" i="19"/>
  <c r="E781" i="19"/>
  <c r="C779" i="19"/>
  <c r="D779" i="19"/>
  <c r="E780" i="19"/>
  <c r="C778" i="19"/>
  <c r="D778" i="19"/>
  <c r="E779" i="19"/>
  <c r="C777" i="19"/>
  <c r="D777" i="19"/>
  <c r="E778" i="19"/>
  <c r="C776" i="19"/>
  <c r="D776" i="19"/>
  <c r="E777" i="19"/>
  <c r="C775" i="19"/>
  <c r="D775" i="19"/>
  <c r="E776" i="19"/>
  <c r="C774" i="19"/>
  <c r="D774" i="19"/>
  <c r="E775" i="19"/>
  <c r="C773" i="19"/>
  <c r="D773" i="19"/>
  <c r="E774" i="19"/>
  <c r="C772" i="19"/>
  <c r="D772" i="19"/>
  <c r="E773" i="19"/>
  <c r="C771" i="19"/>
  <c r="D771" i="19"/>
  <c r="E772" i="19"/>
  <c r="C770" i="19"/>
  <c r="D770" i="19"/>
  <c r="E771" i="19"/>
  <c r="C769" i="19"/>
  <c r="D769" i="19"/>
  <c r="E770" i="19"/>
  <c r="C768" i="19"/>
  <c r="D768" i="19"/>
  <c r="E769" i="19"/>
  <c r="C767" i="19"/>
  <c r="D767" i="19"/>
  <c r="E768" i="19"/>
  <c r="C766" i="19"/>
  <c r="D766" i="19"/>
  <c r="E767" i="19"/>
  <c r="C765" i="19"/>
  <c r="D765" i="19"/>
  <c r="E766" i="19"/>
  <c r="C764" i="19"/>
  <c r="D764" i="19"/>
  <c r="E765" i="19"/>
  <c r="C763" i="19"/>
  <c r="D763" i="19"/>
  <c r="E764" i="19"/>
  <c r="C762" i="19"/>
  <c r="D762" i="19"/>
  <c r="E763" i="19"/>
  <c r="C761" i="19"/>
  <c r="D761" i="19"/>
  <c r="E762" i="19"/>
  <c r="C760" i="19"/>
  <c r="D760" i="19"/>
  <c r="E761" i="19"/>
  <c r="C759" i="19"/>
  <c r="D759" i="19"/>
  <c r="E760" i="19"/>
  <c r="C758" i="19"/>
  <c r="D758" i="19"/>
  <c r="E759" i="19"/>
  <c r="C757" i="19"/>
  <c r="D757" i="19"/>
  <c r="E758" i="19"/>
  <c r="C756" i="19"/>
  <c r="D756" i="19"/>
  <c r="E757" i="19"/>
  <c r="C755" i="19"/>
  <c r="D755" i="19"/>
  <c r="E756" i="19"/>
  <c r="C754" i="19"/>
  <c r="D754" i="19"/>
  <c r="E755" i="19"/>
  <c r="C753" i="19"/>
  <c r="D753" i="19"/>
  <c r="E754" i="19"/>
  <c r="C752" i="19"/>
  <c r="D752" i="19"/>
  <c r="E753" i="19"/>
  <c r="C751" i="19"/>
  <c r="D751" i="19"/>
  <c r="E752" i="19"/>
  <c r="C750" i="19"/>
  <c r="D750" i="19"/>
  <c r="E751" i="19"/>
  <c r="C749" i="19"/>
  <c r="D749" i="19"/>
  <c r="E750" i="19"/>
  <c r="C748" i="19"/>
  <c r="D748" i="19"/>
  <c r="E749" i="19"/>
  <c r="C747" i="19"/>
  <c r="D747" i="19"/>
  <c r="E748" i="19"/>
  <c r="C746" i="19"/>
  <c r="D746" i="19"/>
  <c r="E747" i="19"/>
  <c r="C745" i="19"/>
  <c r="D745" i="19"/>
  <c r="E746" i="19"/>
  <c r="C744" i="19"/>
  <c r="D744" i="19"/>
  <c r="E745" i="19"/>
  <c r="C743" i="19"/>
  <c r="D743" i="19"/>
  <c r="E744" i="19"/>
  <c r="C742" i="19"/>
  <c r="D742" i="19"/>
  <c r="E743" i="19"/>
  <c r="C741" i="19"/>
  <c r="D741" i="19"/>
  <c r="E742" i="19"/>
  <c r="C740" i="19"/>
  <c r="D740" i="19"/>
  <c r="E741" i="19"/>
  <c r="C739" i="19"/>
  <c r="D739" i="19"/>
  <c r="E740" i="19"/>
  <c r="C738" i="19"/>
  <c r="D738" i="19"/>
  <c r="E739" i="19"/>
  <c r="C737" i="19"/>
  <c r="D737" i="19"/>
  <c r="E738" i="19"/>
  <c r="C736" i="19"/>
  <c r="D736" i="19"/>
  <c r="E737" i="19"/>
  <c r="C735" i="19"/>
  <c r="D735" i="19"/>
  <c r="E736" i="19"/>
  <c r="C734" i="19"/>
  <c r="D734" i="19"/>
  <c r="E735" i="19"/>
  <c r="C733" i="19"/>
  <c r="D733" i="19"/>
  <c r="E734" i="19"/>
  <c r="C732" i="19"/>
  <c r="D732" i="19"/>
  <c r="E733" i="19"/>
  <c r="C731" i="19"/>
  <c r="D731" i="19"/>
  <c r="E732" i="19"/>
  <c r="C730" i="19"/>
  <c r="D730" i="19"/>
  <c r="E731" i="19"/>
  <c r="C729" i="19"/>
  <c r="D729" i="19"/>
  <c r="E730" i="19"/>
  <c r="C728" i="19"/>
  <c r="D728" i="19"/>
  <c r="E729" i="19"/>
  <c r="C727" i="19"/>
  <c r="D727" i="19"/>
  <c r="E728" i="19"/>
  <c r="C726" i="19"/>
  <c r="D726" i="19"/>
  <c r="E727" i="19"/>
  <c r="C725" i="19"/>
  <c r="D725" i="19"/>
  <c r="E726" i="19"/>
  <c r="C724" i="19"/>
  <c r="D724" i="19"/>
  <c r="E725" i="19"/>
  <c r="C723" i="19"/>
  <c r="D723" i="19"/>
  <c r="E724" i="19"/>
  <c r="C722" i="19"/>
  <c r="D722" i="19"/>
  <c r="E723" i="19"/>
  <c r="C721" i="19"/>
  <c r="D721" i="19"/>
  <c r="E722" i="19"/>
  <c r="C720" i="19"/>
  <c r="D720" i="19"/>
  <c r="E721" i="19"/>
  <c r="C719" i="19"/>
  <c r="D719" i="19"/>
  <c r="E720" i="19"/>
  <c r="C718" i="19"/>
  <c r="D718" i="19"/>
  <c r="E719" i="19"/>
  <c r="C717" i="19"/>
  <c r="D717" i="19"/>
  <c r="E718" i="19"/>
  <c r="C716" i="19"/>
  <c r="D716" i="19"/>
  <c r="E717" i="19"/>
  <c r="C715" i="19"/>
  <c r="D715" i="19"/>
  <c r="E716" i="19"/>
  <c r="C714" i="19"/>
  <c r="D714" i="19"/>
  <c r="E715" i="19"/>
  <c r="C713" i="19"/>
  <c r="D713" i="19"/>
  <c r="E714" i="19"/>
  <c r="C712" i="19"/>
  <c r="D712" i="19"/>
  <c r="E713" i="19"/>
  <c r="C711" i="19"/>
  <c r="D711" i="19"/>
  <c r="E712" i="19"/>
  <c r="C710" i="19"/>
  <c r="D710" i="19"/>
  <c r="E711" i="19"/>
  <c r="C709" i="19"/>
  <c r="D709" i="19"/>
  <c r="E710" i="19"/>
  <c r="C708" i="19"/>
  <c r="D708" i="19"/>
  <c r="E709" i="19"/>
  <c r="C707" i="19"/>
  <c r="D707" i="19"/>
  <c r="E708" i="19"/>
  <c r="C706" i="19"/>
  <c r="D706" i="19"/>
  <c r="E707" i="19"/>
  <c r="C705" i="19"/>
  <c r="D705" i="19"/>
  <c r="E706" i="19"/>
  <c r="C704" i="19"/>
  <c r="D704" i="19"/>
  <c r="E705" i="19"/>
  <c r="C703" i="19"/>
  <c r="D703" i="19"/>
  <c r="E704" i="19"/>
  <c r="C702" i="19"/>
  <c r="D702" i="19"/>
  <c r="E703" i="19"/>
  <c r="C701" i="19"/>
  <c r="D701" i="19"/>
  <c r="E702" i="19"/>
  <c r="C700" i="19"/>
  <c r="D700" i="19"/>
  <c r="E701" i="19"/>
  <c r="C699" i="19"/>
  <c r="D699" i="19"/>
  <c r="E700" i="19"/>
  <c r="C698" i="19"/>
  <c r="D698" i="19"/>
  <c r="E699" i="19"/>
  <c r="C697" i="19"/>
  <c r="D697" i="19"/>
  <c r="E698" i="19"/>
  <c r="C696" i="19"/>
  <c r="D696" i="19"/>
  <c r="E697" i="19"/>
  <c r="C695" i="19"/>
  <c r="D695" i="19"/>
  <c r="E696" i="19"/>
  <c r="C694" i="19"/>
  <c r="D694" i="19"/>
  <c r="E695" i="19"/>
  <c r="C693" i="19"/>
  <c r="D693" i="19"/>
  <c r="E694" i="19"/>
  <c r="C692" i="19"/>
  <c r="D692" i="19"/>
  <c r="E693" i="19"/>
  <c r="C691" i="19"/>
  <c r="D691" i="19"/>
  <c r="E692" i="19"/>
  <c r="C690" i="19"/>
  <c r="D690" i="19"/>
  <c r="E691" i="19"/>
  <c r="C689" i="19"/>
  <c r="D689" i="19"/>
  <c r="E690" i="19"/>
  <c r="C688" i="19"/>
  <c r="D688" i="19"/>
  <c r="E689" i="19"/>
  <c r="C687" i="19"/>
  <c r="D687" i="19"/>
  <c r="E688" i="19"/>
  <c r="C686" i="19"/>
  <c r="D686" i="19"/>
  <c r="E687" i="19"/>
  <c r="C685" i="19"/>
  <c r="D685" i="19"/>
  <c r="E686" i="19"/>
  <c r="C684" i="19"/>
  <c r="D684" i="19"/>
  <c r="E685" i="19"/>
  <c r="C683" i="19"/>
  <c r="D683" i="19"/>
  <c r="E684" i="19"/>
  <c r="C682" i="19"/>
  <c r="D682" i="19"/>
  <c r="E683" i="19"/>
  <c r="C681" i="19"/>
  <c r="D681" i="19"/>
  <c r="E682" i="19"/>
  <c r="C680" i="19"/>
  <c r="D680" i="19"/>
  <c r="E681" i="19"/>
  <c r="C679" i="19"/>
  <c r="D679" i="19"/>
  <c r="E680" i="19"/>
  <c r="C678" i="19"/>
  <c r="D678" i="19"/>
  <c r="E679" i="19"/>
  <c r="C677" i="19"/>
  <c r="D677" i="19"/>
  <c r="E678" i="19"/>
  <c r="C676" i="19"/>
  <c r="D676" i="19"/>
  <c r="E677" i="19"/>
  <c r="C675" i="19"/>
  <c r="D675" i="19"/>
  <c r="E676" i="19"/>
  <c r="C674" i="19"/>
  <c r="D674" i="19"/>
  <c r="E675" i="19"/>
  <c r="C673" i="19"/>
  <c r="D673" i="19"/>
  <c r="E674" i="19"/>
  <c r="C672" i="19"/>
  <c r="D672" i="19"/>
  <c r="E673" i="19"/>
  <c r="C671" i="19"/>
  <c r="D671" i="19"/>
  <c r="E672" i="19"/>
  <c r="C670" i="19"/>
  <c r="D670" i="19"/>
  <c r="E671" i="19"/>
  <c r="C669" i="19"/>
  <c r="D669" i="19"/>
  <c r="E670" i="19"/>
  <c r="C668" i="19"/>
  <c r="D668" i="19"/>
  <c r="E669" i="19"/>
  <c r="C667" i="19"/>
  <c r="D667" i="19"/>
  <c r="E668" i="19"/>
  <c r="C666" i="19"/>
  <c r="D666" i="19"/>
  <c r="E667" i="19"/>
  <c r="C665" i="19"/>
  <c r="D665" i="19"/>
  <c r="E666" i="19"/>
  <c r="C664" i="19"/>
  <c r="D664" i="19"/>
  <c r="E665" i="19"/>
  <c r="C663" i="19"/>
  <c r="D663" i="19"/>
  <c r="E664" i="19"/>
  <c r="C662" i="19"/>
  <c r="D662" i="19"/>
  <c r="E663" i="19"/>
  <c r="C661" i="19"/>
  <c r="D661" i="19"/>
  <c r="E662" i="19"/>
  <c r="C660" i="19"/>
  <c r="D660" i="19"/>
  <c r="E661" i="19"/>
  <c r="C659" i="19"/>
  <c r="D659" i="19"/>
  <c r="E660" i="19"/>
  <c r="C658" i="19"/>
  <c r="D658" i="19"/>
  <c r="E659" i="19"/>
  <c r="C657" i="19"/>
  <c r="D657" i="19"/>
  <c r="E658" i="19"/>
  <c r="C656" i="19"/>
  <c r="D656" i="19"/>
  <c r="E657" i="19"/>
  <c r="C655" i="19"/>
  <c r="D655" i="19"/>
  <c r="E656" i="19"/>
  <c r="C654" i="19"/>
  <c r="D654" i="19"/>
  <c r="E655" i="19"/>
  <c r="C653" i="19"/>
  <c r="D653" i="19"/>
  <c r="E654" i="19"/>
  <c r="C652" i="19"/>
  <c r="D652" i="19"/>
  <c r="E653" i="19"/>
  <c r="C651" i="19"/>
  <c r="D651" i="19"/>
  <c r="E652" i="19"/>
  <c r="C650" i="19"/>
  <c r="D650" i="19"/>
  <c r="E651" i="19"/>
  <c r="C649" i="19"/>
  <c r="D649" i="19"/>
  <c r="E650" i="19"/>
  <c r="C648" i="19"/>
  <c r="D648" i="19"/>
  <c r="E649" i="19"/>
  <c r="C647" i="19"/>
  <c r="D647" i="19"/>
  <c r="E648" i="19"/>
  <c r="C646" i="19"/>
  <c r="D646" i="19"/>
  <c r="E647" i="19"/>
  <c r="C645" i="19"/>
  <c r="D645" i="19"/>
  <c r="E646" i="19"/>
  <c r="C644" i="19"/>
  <c r="D644" i="19"/>
  <c r="E645" i="19"/>
  <c r="C643" i="19"/>
  <c r="D643" i="19"/>
  <c r="E644" i="19"/>
  <c r="C642" i="19"/>
  <c r="D642" i="19"/>
  <c r="E643" i="19"/>
  <c r="C641" i="19"/>
  <c r="D641" i="19"/>
  <c r="E642" i="19"/>
  <c r="C640" i="19"/>
  <c r="D640" i="19"/>
  <c r="E641" i="19"/>
  <c r="C639" i="19"/>
  <c r="D639" i="19"/>
  <c r="E640" i="19"/>
  <c r="C638" i="19"/>
  <c r="D638" i="19"/>
  <c r="E639" i="19"/>
  <c r="C637" i="19"/>
  <c r="D637" i="19"/>
  <c r="E638" i="19"/>
  <c r="C636" i="19"/>
  <c r="D636" i="19"/>
  <c r="E637" i="19"/>
  <c r="C635" i="19"/>
  <c r="D635" i="19"/>
  <c r="E636" i="19"/>
  <c r="C634" i="19"/>
  <c r="D634" i="19"/>
  <c r="E635" i="19"/>
  <c r="C633" i="19"/>
  <c r="D633" i="19"/>
  <c r="E634" i="19"/>
  <c r="C632" i="19"/>
  <c r="D632" i="19"/>
  <c r="E633" i="19"/>
  <c r="C631" i="19"/>
  <c r="D631" i="19"/>
  <c r="E632" i="19"/>
  <c r="C630" i="19"/>
  <c r="D630" i="19"/>
  <c r="E631" i="19"/>
  <c r="C629" i="19"/>
  <c r="D629" i="19"/>
  <c r="E630" i="19"/>
  <c r="C628" i="19"/>
  <c r="D628" i="19"/>
  <c r="E629" i="19"/>
  <c r="C627" i="19"/>
  <c r="D627" i="19"/>
  <c r="E628" i="19"/>
  <c r="C626" i="19"/>
  <c r="D626" i="19"/>
  <c r="E627" i="19"/>
  <c r="C625" i="19"/>
  <c r="D625" i="19"/>
  <c r="E626" i="19"/>
  <c r="C624" i="19"/>
  <c r="D624" i="19"/>
  <c r="E625" i="19"/>
  <c r="C623" i="19"/>
  <c r="D623" i="19"/>
  <c r="E624" i="19"/>
  <c r="C622" i="19"/>
  <c r="D622" i="19"/>
  <c r="E623" i="19"/>
  <c r="C621" i="19"/>
  <c r="D621" i="19"/>
  <c r="E622" i="19"/>
  <c r="C620" i="19"/>
  <c r="D620" i="19"/>
  <c r="E621" i="19"/>
  <c r="C619" i="19"/>
  <c r="D619" i="19"/>
  <c r="E620" i="19"/>
  <c r="C618" i="19"/>
  <c r="D618" i="19"/>
  <c r="E619" i="19"/>
  <c r="C617" i="19"/>
  <c r="D617" i="19"/>
  <c r="E618" i="19"/>
  <c r="C616" i="19"/>
  <c r="D616" i="19"/>
  <c r="E617" i="19"/>
  <c r="C615" i="19"/>
  <c r="D615" i="19"/>
  <c r="E616" i="19"/>
  <c r="C614" i="19"/>
  <c r="D614" i="19"/>
  <c r="E615" i="19"/>
  <c r="C613" i="19"/>
  <c r="D613" i="19"/>
  <c r="E614" i="19"/>
  <c r="C612" i="19"/>
  <c r="D612" i="19"/>
  <c r="E613" i="19"/>
  <c r="C611" i="19"/>
  <c r="D611" i="19"/>
  <c r="E612" i="19"/>
  <c r="C610" i="19"/>
  <c r="D610" i="19"/>
  <c r="E611" i="19"/>
  <c r="C609" i="19"/>
  <c r="D609" i="19"/>
  <c r="E610" i="19"/>
  <c r="C608" i="19"/>
  <c r="D608" i="19"/>
  <c r="E609" i="19"/>
  <c r="C607" i="19"/>
  <c r="D607" i="19"/>
  <c r="E608" i="19"/>
  <c r="C606" i="19"/>
  <c r="D606" i="19"/>
  <c r="E607" i="19"/>
  <c r="C605" i="19"/>
  <c r="D605" i="19"/>
  <c r="E606" i="19"/>
  <c r="C604" i="19"/>
  <c r="D604" i="19"/>
  <c r="E605" i="19"/>
  <c r="C603" i="19"/>
  <c r="D603" i="19"/>
  <c r="E604" i="19"/>
  <c r="C602" i="19"/>
  <c r="D602" i="19"/>
  <c r="E603" i="19"/>
  <c r="C601" i="19"/>
  <c r="D601" i="19"/>
  <c r="E602" i="19"/>
  <c r="C600" i="19"/>
  <c r="D600" i="19"/>
  <c r="E601" i="19"/>
  <c r="C599" i="19"/>
  <c r="D599" i="19"/>
  <c r="E600" i="19"/>
  <c r="C598" i="19"/>
  <c r="D598" i="19"/>
  <c r="E599" i="19"/>
  <c r="C597" i="19"/>
  <c r="D597" i="19"/>
  <c r="E598" i="19"/>
  <c r="C596" i="19"/>
  <c r="D596" i="19"/>
  <c r="E597" i="19"/>
  <c r="C595" i="19"/>
  <c r="D595" i="19"/>
  <c r="E596" i="19"/>
  <c r="C594" i="19"/>
  <c r="D594" i="19"/>
  <c r="E595" i="19"/>
  <c r="C593" i="19"/>
  <c r="D593" i="19"/>
  <c r="E594" i="19"/>
  <c r="C592" i="19"/>
  <c r="D592" i="19"/>
  <c r="E593" i="19"/>
  <c r="C591" i="19"/>
  <c r="D591" i="19"/>
  <c r="E592" i="19"/>
  <c r="C590" i="19"/>
  <c r="D590" i="19"/>
  <c r="E591" i="19"/>
  <c r="C589" i="19"/>
  <c r="D589" i="19"/>
  <c r="E590" i="19"/>
  <c r="C588" i="19"/>
  <c r="D588" i="19"/>
  <c r="E589" i="19"/>
  <c r="C587" i="19"/>
  <c r="D587" i="19"/>
  <c r="E588" i="19"/>
  <c r="C586" i="19"/>
  <c r="D586" i="19"/>
  <c r="E587" i="19"/>
  <c r="C585" i="19"/>
  <c r="D585" i="19"/>
  <c r="E586" i="19"/>
  <c r="C584" i="19"/>
  <c r="D584" i="19"/>
  <c r="E585" i="19"/>
  <c r="C583" i="19"/>
  <c r="D583" i="19"/>
  <c r="E584" i="19"/>
  <c r="C582" i="19"/>
  <c r="D582" i="19"/>
  <c r="E583" i="19"/>
  <c r="C581" i="19"/>
  <c r="D581" i="19"/>
  <c r="E582" i="19"/>
  <c r="C580" i="19"/>
  <c r="D580" i="19"/>
  <c r="E581" i="19"/>
  <c r="C579" i="19"/>
  <c r="D579" i="19"/>
  <c r="E580" i="19"/>
  <c r="C578" i="19"/>
  <c r="D578" i="19"/>
  <c r="E579" i="19"/>
  <c r="C577" i="19"/>
  <c r="D577" i="19"/>
  <c r="E578" i="19"/>
  <c r="C576" i="19"/>
  <c r="D576" i="19"/>
  <c r="E577" i="19"/>
  <c r="C575" i="19"/>
  <c r="D575" i="19"/>
  <c r="E576" i="19"/>
  <c r="C574" i="19"/>
  <c r="D574" i="19"/>
  <c r="E575" i="19"/>
  <c r="C573" i="19"/>
  <c r="D573" i="19"/>
  <c r="E574" i="19"/>
  <c r="C572" i="19"/>
  <c r="D572" i="19"/>
  <c r="E573" i="19"/>
  <c r="C571" i="19"/>
  <c r="D571" i="19"/>
  <c r="E572" i="19"/>
  <c r="C570" i="19"/>
  <c r="D570" i="19"/>
  <c r="E571" i="19"/>
  <c r="C569" i="19"/>
  <c r="D569" i="19"/>
  <c r="E570" i="19"/>
  <c r="C568" i="19"/>
  <c r="D568" i="19"/>
  <c r="E569" i="19"/>
  <c r="C567" i="19"/>
  <c r="D567" i="19"/>
  <c r="E568" i="19"/>
  <c r="C566" i="19"/>
  <c r="D566" i="19"/>
  <c r="E567" i="19"/>
  <c r="C565" i="19"/>
  <c r="D565" i="19"/>
  <c r="E566" i="19"/>
  <c r="C564" i="19"/>
  <c r="D564" i="19"/>
  <c r="E565" i="19"/>
  <c r="C563" i="19"/>
  <c r="D563" i="19"/>
  <c r="E564" i="19"/>
  <c r="C562" i="19"/>
  <c r="D562" i="19"/>
  <c r="E563" i="19"/>
  <c r="C561" i="19"/>
  <c r="D561" i="19"/>
  <c r="E562" i="19"/>
  <c r="C560" i="19"/>
  <c r="D560" i="19"/>
  <c r="E561" i="19"/>
  <c r="C559" i="19"/>
  <c r="D559" i="19"/>
  <c r="E560" i="19"/>
  <c r="C558" i="19"/>
  <c r="D558" i="19"/>
  <c r="E559" i="19"/>
  <c r="C557" i="19"/>
  <c r="D557" i="19"/>
  <c r="E558" i="19"/>
  <c r="C556" i="19"/>
  <c r="D556" i="19"/>
  <c r="E557" i="19"/>
  <c r="C555" i="19"/>
  <c r="D555" i="19"/>
  <c r="E556" i="19"/>
  <c r="C554" i="19"/>
  <c r="D554" i="19"/>
  <c r="E555" i="19"/>
  <c r="C553" i="19"/>
  <c r="D553" i="19"/>
  <c r="E554" i="19"/>
  <c r="C552" i="19"/>
  <c r="D552" i="19"/>
  <c r="E553" i="19"/>
  <c r="C551" i="19"/>
  <c r="D551" i="19"/>
  <c r="E552" i="19"/>
  <c r="C550" i="19"/>
  <c r="D550" i="19"/>
  <c r="E551" i="19"/>
  <c r="C549" i="19"/>
  <c r="D549" i="19"/>
  <c r="E550" i="19"/>
  <c r="C548" i="19"/>
  <c r="D548" i="19"/>
  <c r="E549" i="19"/>
  <c r="C547" i="19"/>
  <c r="D547" i="19"/>
  <c r="E548" i="19"/>
  <c r="C546" i="19"/>
  <c r="D546" i="19"/>
  <c r="E547" i="19"/>
  <c r="C545" i="19"/>
  <c r="D545" i="19"/>
  <c r="E546" i="19"/>
  <c r="C544" i="19"/>
  <c r="D544" i="19"/>
  <c r="E545" i="19"/>
  <c r="C543" i="19"/>
  <c r="D543" i="19"/>
  <c r="E544" i="19"/>
  <c r="C542" i="19"/>
  <c r="D542" i="19"/>
  <c r="E543" i="19"/>
  <c r="C541" i="19"/>
  <c r="D541" i="19"/>
  <c r="E542" i="19"/>
  <c r="C540" i="19"/>
  <c r="D540" i="19"/>
  <c r="E541" i="19"/>
  <c r="C539" i="19"/>
  <c r="D539" i="19"/>
  <c r="E540" i="19"/>
  <c r="C538" i="19"/>
  <c r="D538" i="19"/>
  <c r="E539" i="19"/>
  <c r="C537" i="19"/>
  <c r="D537" i="19"/>
  <c r="E538" i="19"/>
  <c r="C536" i="19"/>
  <c r="D536" i="19"/>
  <c r="E537" i="19"/>
  <c r="C535" i="19"/>
  <c r="D535" i="19"/>
  <c r="E536" i="19"/>
  <c r="C534" i="19"/>
  <c r="D534" i="19"/>
  <c r="E535" i="19"/>
  <c r="C533" i="19"/>
  <c r="D533" i="19"/>
  <c r="E534" i="19"/>
  <c r="C532" i="19"/>
  <c r="D532" i="19"/>
  <c r="E533" i="19"/>
  <c r="C531" i="19"/>
  <c r="D531" i="19"/>
  <c r="E532" i="19"/>
  <c r="C530" i="19"/>
  <c r="D530" i="19"/>
  <c r="E531" i="19"/>
  <c r="C529" i="19"/>
  <c r="D529" i="19"/>
  <c r="E530" i="19"/>
  <c r="C528" i="19"/>
  <c r="D528" i="19"/>
  <c r="E529" i="19"/>
  <c r="C527" i="19"/>
  <c r="D527" i="19"/>
  <c r="E528" i="19"/>
  <c r="C526" i="19"/>
  <c r="D526" i="19"/>
  <c r="E527" i="19"/>
  <c r="C525" i="19"/>
  <c r="D525" i="19"/>
  <c r="E526" i="19"/>
  <c r="C524" i="19"/>
  <c r="D524" i="19"/>
  <c r="E525" i="19"/>
  <c r="C523" i="19"/>
  <c r="D523" i="19"/>
  <c r="E524" i="19"/>
  <c r="C522" i="19"/>
  <c r="D522" i="19"/>
  <c r="E523" i="19"/>
  <c r="C521" i="19"/>
  <c r="D521" i="19"/>
  <c r="E522" i="19"/>
  <c r="C520" i="19"/>
  <c r="D520" i="19"/>
  <c r="E521" i="19"/>
  <c r="C519" i="19"/>
  <c r="D519" i="19"/>
  <c r="E520" i="19"/>
  <c r="C518" i="19"/>
  <c r="D518" i="19"/>
  <c r="E519" i="19"/>
  <c r="C517" i="19"/>
  <c r="D517" i="19"/>
  <c r="E518" i="19"/>
  <c r="C516" i="19"/>
  <c r="D516" i="19"/>
  <c r="E517" i="19"/>
  <c r="C515" i="19"/>
  <c r="D515" i="19"/>
  <c r="E516" i="19"/>
  <c r="C514" i="19"/>
  <c r="D514" i="19"/>
  <c r="E515" i="19"/>
  <c r="C513" i="19"/>
  <c r="D513" i="19"/>
  <c r="E514" i="19"/>
  <c r="C512" i="19"/>
  <c r="D512" i="19"/>
  <c r="E513" i="19"/>
  <c r="C511" i="19"/>
  <c r="D511" i="19"/>
  <c r="E512" i="19"/>
  <c r="C510" i="19"/>
  <c r="D510" i="19"/>
  <c r="E511" i="19"/>
  <c r="C509" i="19"/>
  <c r="D509" i="19"/>
  <c r="E510" i="19"/>
  <c r="C508" i="19"/>
  <c r="D508" i="19"/>
  <c r="E509" i="19"/>
  <c r="C507" i="19"/>
  <c r="D507" i="19"/>
  <c r="E508" i="19"/>
  <c r="C506" i="19"/>
  <c r="D506" i="19"/>
  <c r="E507" i="19"/>
  <c r="C505" i="19"/>
  <c r="D505" i="19"/>
  <c r="E506" i="19"/>
  <c r="C504" i="19"/>
  <c r="D504" i="19"/>
  <c r="E505" i="19"/>
  <c r="C503" i="19"/>
  <c r="D503" i="19"/>
  <c r="E504" i="19"/>
  <c r="C502" i="19"/>
  <c r="D502" i="19"/>
  <c r="E503" i="19"/>
  <c r="C501" i="19"/>
  <c r="D501" i="19"/>
  <c r="E502" i="19"/>
  <c r="C500" i="19"/>
  <c r="D500" i="19"/>
  <c r="E501" i="19"/>
  <c r="C499" i="19"/>
  <c r="D499" i="19"/>
  <c r="E500" i="19"/>
  <c r="C498" i="19"/>
  <c r="D498" i="19"/>
  <c r="E499" i="19"/>
  <c r="C497" i="19"/>
  <c r="D497" i="19"/>
  <c r="E498" i="19"/>
  <c r="C496" i="19"/>
  <c r="D496" i="19"/>
  <c r="E497" i="19"/>
  <c r="C495" i="19"/>
  <c r="D495" i="19"/>
  <c r="E496" i="19"/>
  <c r="C494" i="19"/>
  <c r="D494" i="19"/>
  <c r="E495" i="19"/>
  <c r="C493" i="19"/>
  <c r="D493" i="19"/>
  <c r="E494" i="19"/>
  <c r="C492" i="19"/>
  <c r="D492" i="19"/>
  <c r="E493" i="19"/>
  <c r="C491" i="19"/>
  <c r="D491" i="19"/>
  <c r="E492" i="19"/>
  <c r="C490" i="19"/>
  <c r="D490" i="19"/>
  <c r="E491" i="19"/>
  <c r="C489" i="19"/>
  <c r="D489" i="19"/>
  <c r="E490" i="19"/>
  <c r="C488" i="19"/>
  <c r="D488" i="19"/>
  <c r="E489" i="19"/>
  <c r="C487" i="19"/>
  <c r="D487" i="19"/>
  <c r="E488" i="19"/>
  <c r="C486" i="19"/>
  <c r="D486" i="19"/>
  <c r="E487" i="19"/>
  <c r="C485" i="19"/>
  <c r="D485" i="19"/>
  <c r="E486" i="19"/>
  <c r="C484" i="19"/>
  <c r="D484" i="19"/>
  <c r="E485" i="19"/>
  <c r="C483" i="19"/>
  <c r="D483" i="19"/>
  <c r="E484" i="19"/>
  <c r="C482" i="19"/>
  <c r="D482" i="19"/>
  <c r="E483" i="19"/>
  <c r="C481" i="19"/>
  <c r="D481" i="19"/>
  <c r="E482" i="19"/>
  <c r="C480" i="19"/>
  <c r="D480" i="19"/>
  <c r="E481" i="19"/>
  <c r="C479" i="19"/>
  <c r="D479" i="19"/>
  <c r="E480" i="19"/>
  <c r="C478" i="19"/>
  <c r="D478" i="19"/>
  <c r="E479" i="19"/>
  <c r="C477" i="19"/>
  <c r="D477" i="19"/>
  <c r="E478" i="19"/>
  <c r="C476" i="19"/>
  <c r="D476" i="19"/>
  <c r="E477" i="19"/>
  <c r="C475" i="19"/>
  <c r="D475" i="19"/>
  <c r="E476" i="19"/>
  <c r="C474" i="19"/>
  <c r="D474" i="19"/>
  <c r="E475" i="19"/>
  <c r="C473" i="19"/>
  <c r="D473" i="19"/>
  <c r="E474" i="19"/>
  <c r="C472" i="19"/>
  <c r="D472" i="19"/>
  <c r="E473" i="19"/>
  <c r="C471" i="19"/>
  <c r="D471" i="19"/>
  <c r="E472" i="19"/>
  <c r="C470" i="19"/>
  <c r="D470" i="19"/>
  <c r="E471" i="19"/>
  <c r="C469" i="19"/>
  <c r="D469" i="19"/>
  <c r="E470" i="19"/>
  <c r="C468" i="19"/>
  <c r="D468" i="19"/>
  <c r="E469" i="19"/>
  <c r="C467" i="19"/>
  <c r="D467" i="19"/>
  <c r="E468" i="19"/>
  <c r="C466" i="19"/>
  <c r="D466" i="19"/>
  <c r="E467" i="19"/>
  <c r="C465" i="19"/>
  <c r="D465" i="19"/>
  <c r="E466" i="19"/>
  <c r="C464" i="19"/>
  <c r="D464" i="19"/>
  <c r="E465" i="19"/>
  <c r="C463" i="19"/>
  <c r="D463" i="19"/>
  <c r="E464" i="19"/>
  <c r="C462" i="19"/>
  <c r="D462" i="19"/>
  <c r="E463" i="19"/>
  <c r="C461" i="19"/>
  <c r="D461" i="19"/>
  <c r="E462" i="19"/>
  <c r="C460" i="19"/>
  <c r="D460" i="19"/>
  <c r="E461" i="19"/>
  <c r="C459" i="19"/>
  <c r="D459" i="19"/>
  <c r="E460" i="19"/>
  <c r="C458" i="19"/>
  <c r="D458" i="19"/>
  <c r="E459" i="19"/>
  <c r="C457" i="19"/>
  <c r="D457" i="19"/>
  <c r="E458" i="19"/>
  <c r="C456" i="19"/>
  <c r="D456" i="19"/>
  <c r="E457" i="19"/>
  <c r="C455" i="19"/>
  <c r="D455" i="19"/>
  <c r="E456" i="19"/>
  <c r="C454" i="19"/>
  <c r="D454" i="19"/>
  <c r="E455" i="19"/>
  <c r="C453" i="19"/>
  <c r="D453" i="19"/>
  <c r="E454" i="19"/>
  <c r="C452" i="19"/>
  <c r="D452" i="19"/>
  <c r="E453" i="19"/>
  <c r="C451" i="19"/>
  <c r="D451" i="19"/>
  <c r="E452" i="19"/>
  <c r="C450" i="19"/>
  <c r="D450" i="19"/>
  <c r="E451" i="19"/>
  <c r="C449" i="19"/>
  <c r="D449" i="19"/>
  <c r="E450" i="19"/>
  <c r="C448" i="19"/>
  <c r="D448" i="19"/>
  <c r="E449" i="19"/>
  <c r="C447" i="19"/>
  <c r="D447" i="19"/>
  <c r="E448" i="19"/>
  <c r="C446" i="19"/>
  <c r="D446" i="19"/>
  <c r="E447" i="19"/>
  <c r="C445" i="19"/>
  <c r="D445" i="19"/>
  <c r="E446" i="19"/>
  <c r="C444" i="19"/>
  <c r="D444" i="19"/>
  <c r="E445" i="19"/>
  <c r="C443" i="19"/>
  <c r="D443" i="19"/>
  <c r="E444" i="19"/>
  <c r="C442" i="19"/>
  <c r="D442" i="19"/>
  <c r="E443" i="19"/>
  <c r="C441" i="19"/>
  <c r="D441" i="19"/>
  <c r="E442" i="19"/>
  <c r="C440" i="19"/>
  <c r="D440" i="19"/>
  <c r="E441" i="19"/>
  <c r="C439" i="19"/>
  <c r="D439" i="19"/>
  <c r="E440" i="19"/>
  <c r="C438" i="19"/>
  <c r="D438" i="19"/>
  <c r="E439" i="19"/>
  <c r="C437" i="19"/>
  <c r="D437" i="19"/>
  <c r="E438" i="19"/>
  <c r="C436" i="19"/>
  <c r="D436" i="19"/>
  <c r="E437" i="19"/>
  <c r="C435" i="19"/>
  <c r="D435" i="19"/>
  <c r="E436" i="19"/>
  <c r="C434" i="19"/>
  <c r="D434" i="19"/>
  <c r="E435" i="19"/>
  <c r="C433" i="19"/>
  <c r="D433" i="19"/>
  <c r="E434" i="19"/>
  <c r="C432" i="19"/>
  <c r="D432" i="19"/>
  <c r="E433" i="19"/>
  <c r="C431" i="19"/>
  <c r="D431" i="19"/>
  <c r="E432" i="19"/>
  <c r="C430" i="19"/>
  <c r="D430" i="19"/>
  <c r="E431" i="19"/>
  <c r="C429" i="19"/>
  <c r="D429" i="19"/>
  <c r="E430" i="19"/>
  <c r="C428" i="19"/>
  <c r="D428" i="19"/>
  <c r="E429" i="19"/>
  <c r="C427" i="19"/>
  <c r="D427" i="19"/>
  <c r="E428" i="19"/>
  <c r="C426" i="19"/>
  <c r="D426" i="19"/>
  <c r="E427" i="19"/>
  <c r="C425" i="19"/>
  <c r="D425" i="19"/>
  <c r="E426" i="19"/>
  <c r="C424" i="19"/>
  <c r="D424" i="19"/>
  <c r="E425" i="19"/>
  <c r="C423" i="19"/>
  <c r="D423" i="19"/>
  <c r="E424" i="19"/>
  <c r="C422" i="19"/>
  <c r="D422" i="19"/>
  <c r="E423" i="19"/>
  <c r="C421" i="19"/>
  <c r="D421" i="19"/>
  <c r="E422" i="19"/>
  <c r="C420" i="19"/>
  <c r="D420" i="19"/>
  <c r="E421" i="19"/>
  <c r="C419" i="19"/>
  <c r="D419" i="19"/>
  <c r="E420" i="19"/>
  <c r="C418" i="19"/>
  <c r="D418" i="19"/>
  <c r="E419" i="19"/>
  <c r="C417" i="19"/>
  <c r="D417" i="19"/>
  <c r="E418" i="19"/>
  <c r="C416" i="19"/>
  <c r="D416" i="19"/>
  <c r="E417" i="19"/>
  <c r="C415" i="19"/>
  <c r="D415" i="19"/>
  <c r="E416" i="19"/>
  <c r="C414" i="19"/>
  <c r="D414" i="19"/>
  <c r="E415" i="19"/>
  <c r="C413" i="19"/>
  <c r="D413" i="19"/>
  <c r="E414" i="19"/>
  <c r="C412" i="19"/>
  <c r="D412" i="19"/>
  <c r="E413" i="19"/>
  <c r="C411" i="19"/>
  <c r="D411" i="19"/>
  <c r="E412" i="19"/>
  <c r="C410" i="19"/>
  <c r="D410" i="19"/>
  <c r="E411" i="19"/>
  <c r="C409" i="19"/>
  <c r="D409" i="19"/>
  <c r="E410" i="19"/>
  <c r="C408" i="19"/>
  <c r="D408" i="19"/>
  <c r="E409" i="19"/>
  <c r="C407" i="19"/>
  <c r="D407" i="19"/>
  <c r="E408" i="19"/>
  <c r="C406" i="19"/>
  <c r="D406" i="19"/>
  <c r="E407" i="19"/>
  <c r="C405" i="19"/>
  <c r="D405" i="19"/>
  <c r="E406" i="19"/>
  <c r="C404" i="19"/>
  <c r="D404" i="19"/>
  <c r="E405" i="19"/>
  <c r="C403" i="19"/>
  <c r="D403" i="19"/>
  <c r="E404" i="19"/>
  <c r="C402" i="19"/>
  <c r="D402" i="19"/>
  <c r="E403" i="19"/>
  <c r="C401" i="19"/>
  <c r="D401" i="19"/>
  <c r="E402" i="19"/>
  <c r="C400" i="19"/>
  <c r="D400" i="19"/>
  <c r="E401" i="19"/>
  <c r="C399" i="19"/>
  <c r="D399" i="19"/>
  <c r="E400" i="19"/>
  <c r="C398" i="19"/>
  <c r="D398" i="19"/>
  <c r="E399" i="19"/>
  <c r="C397" i="19"/>
  <c r="D397" i="19"/>
  <c r="E398" i="19"/>
  <c r="C396" i="19"/>
  <c r="D396" i="19"/>
  <c r="E397" i="19"/>
  <c r="C395" i="19"/>
  <c r="D395" i="19"/>
  <c r="E396" i="19"/>
  <c r="C394" i="19"/>
  <c r="D394" i="19"/>
  <c r="E395" i="19"/>
  <c r="C393" i="19"/>
  <c r="D393" i="19"/>
  <c r="E394" i="19"/>
  <c r="C392" i="19"/>
  <c r="D392" i="19"/>
  <c r="E393" i="19"/>
  <c r="C391" i="19"/>
  <c r="D391" i="19"/>
  <c r="E392" i="19"/>
  <c r="C390" i="19"/>
  <c r="D390" i="19"/>
  <c r="E391" i="19"/>
  <c r="C389" i="19"/>
  <c r="D389" i="19"/>
  <c r="E390" i="19"/>
  <c r="C388" i="19"/>
  <c r="D388" i="19"/>
  <c r="E389" i="19"/>
  <c r="C387" i="19"/>
  <c r="D387" i="19"/>
  <c r="E388" i="19"/>
  <c r="C386" i="19"/>
  <c r="D386" i="19"/>
  <c r="E387" i="19"/>
  <c r="C385" i="19"/>
  <c r="D385" i="19"/>
  <c r="E386" i="19"/>
  <c r="C384" i="19"/>
  <c r="D384" i="19"/>
  <c r="E385" i="19"/>
  <c r="C383" i="19"/>
  <c r="D383" i="19"/>
  <c r="E384" i="19"/>
  <c r="C382" i="19"/>
  <c r="D382" i="19"/>
  <c r="E383" i="19"/>
  <c r="C381" i="19"/>
  <c r="D381" i="19"/>
  <c r="E382" i="19"/>
  <c r="C380" i="19"/>
  <c r="D380" i="19"/>
  <c r="E381" i="19"/>
  <c r="C379" i="19"/>
  <c r="D379" i="19"/>
  <c r="E380" i="19"/>
  <c r="C378" i="19"/>
  <c r="D378" i="19"/>
  <c r="E379" i="19"/>
  <c r="C377" i="19"/>
  <c r="D377" i="19"/>
  <c r="E378" i="19"/>
  <c r="C376" i="19"/>
  <c r="D376" i="19"/>
  <c r="E377" i="19"/>
  <c r="C375" i="19"/>
  <c r="D375" i="19"/>
  <c r="E376" i="19"/>
  <c r="C374" i="19"/>
  <c r="D374" i="19"/>
  <c r="E375" i="19"/>
  <c r="C373" i="19"/>
  <c r="D373" i="19"/>
  <c r="E374" i="19"/>
  <c r="C372" i="19"/>
  <c r="D372" i="19"/>
  <c r="E373" i="19"/>
  <c r="C371" i="19"/>
  <c r="D371" i="19"/>
  <c r="E372" i="19"/>
  <c r="C370" i="19"/>
  <c r="D370" i="19"/>
  <c r="E371" i="19"/>
  <c r="C369" i="19"/>
  <c r="D369" i="19"/>
  <c r="E370" i="19"/>
  <c r="C368" i="19"/>
  <c r="D368" i="19"/>
  <c r="E369" i="19"/>
  <c r="C367" i="19"/>
  <c r="D367" i="19"/>
  <c r="E368" i="19"/>
  <c r="C366" i="19"/>
  <c r="D366" i="19"/>
  <c r="E367" i="19"/>
  <c r="C365" i="19"/>
  <c r="D365" i="19"/>
  <c r="E366" i="19"/>
  <c r="C364" i="19"/>
  <c r="D364" i="19"/>
  <c r="E365" i="19"/>
  <c r="C363" i="19"/>
  <c r="D363" i="19"/>
  <c r="E364" i="19"/>
  <c r="C362" i="19"/>
  <c r="D362" i="19"/>
  <c r="E363" i="19"/>
  <c r="C361" i="19"/>
  <c r="D361" i="19"/>
  <c r="E362" i="19"/>
  <c r="C360" i="19"/>
  <c r="D360" i="19"/>
  <c r="E361" i="19"/>
  <c r="C359" i="19"/>
  <c r="D359" i="19"/>
  <c r="E360" i="19"/>
  <c r="C358" i="19"/>
  <c r="D358" i="19"/>
  <c r="E359" i="19"/>
  <c r="C357" i="19"/>
  <c r="D357" i="19"/>
  <c r="E358" i="19"/>
  <c r="C356" i="19"/>
  <c r="D356" i="19"/>
  <c r="E357" i="19"/>
  <c r="C355" i="19"/>
  <c r="D355" i="19"/>
  <c r="E356" i="19"/>
  <c r="C354" i="19"/>
  <c r="D354" i="19"/>
  <c r="E355" i="19"/>
  <c r="C353" i="19"/>
  <c r="D353" i="19"/>
  <c r="E354" i="19"/>
  <c r="C352" i="19"/>
  <c r="D352" i="19"/>
  <c r="E353" i="19"/>
  <c r="C351" i="19"/>
  <c r="D351" i="19"/>
  <c r="E352" i="19"/>
  <c r="C350" i="19"/>
  <c r="D350" i="19"/>
  <c r="E351" i="19"/>
  <c r="C349" i="19"/>
  <c r="D349" i="19"/>
  <c r="E350" i="19"/>
  <c r="C348" i="19"/>
  <c r="D348" i="19"/>
  <c r="E349" i="19"/>
  <c r="C347" i="19"/>
  <c r="D347" i="19"/>
  <c r="E348" i="19"/>
  <c r="C346" i="19"/>
  <c r="D346" i="19"/>
  <c r="E347" i="19"/>
  <c r="C345" i="19"/>
  <c r="D345" i="19"/>
  <c r="E346" i="19"/>
  <c r="C344" i="19"/>
  <c r="D344" i="19"/>
  <c r="E345" i="19"/>
  <c r="C343" i="19"/>
  <c r="D343" i="19"/>
  <c r="E344" i="19"/>
  <c r="C342" i="19"/>
  <c r="D342" i="19"/>
  <c r="E343" i="19"/>
  <c r="C341" i="19"/>
  <c r="D341" i="19"/>
  <c r="E342" i="19"/>
  <c r="C340" i="19"/>
  <c r="D340" i="19"/>
  <c r="E341" i="19"/>
  <c r="C339" i="19"/>
  <c r="D339" i="19"/>
  <c r="E340" i="19"/>
  <c r="C338" i="19"/>
  <c r="D338" i="19"/>
  <c r="E339" i="19"/>
  <c r="C337" i="19"/>
  <c r="D337" i="19"/>
  <c r="E338" i="19"/>
  <c r="C336" i="19"/>
  <c r="D336" i="19"/>
  <c r="E337" i="19"/>
  <c r="C335" i="19"/>
  <c r="D335" i="19"/>
  <c r="E336" i="19"/>
  <c r="C334" i="19"/>
  <c r="D334" i="19"/>
  <c r="E335" i="19"/>
  <c r="C333" i="19"/>
  <c r="D333" i="19"/>
  <c r="E334" i="19"/>
  <c r="C332" i="19"/>
  <c r="D332" i="19"/>
  <c r="E333" i="19"/>
  <c r="C331" i="19"/>
  <c r="D331" i="19"/>
  <c r="E332" i="19"/>
  <c r="C330" i="19"/>
  <c r="D330" i="19"/>
  <c r="E331" i="19"/>
  <c r="C329" i="19"/>
  <c r="D329" i="19"/>
  <c r="E330" i="19"/>
  <c r="C328" i="19"/>
  <c r="D328" i="19"/>
  <c r="E329" i="19"/>
  <c r="C327" i="19"/>
  <c r="D327" i="19"/>
  <c r="E328" i="19"/>
  <c r="C326" i="19"/>
  <c r="D326" i="19"/>
  <c r="E327" i="19"/>
  <c r="C325" i="19"/>
  <c r="D325" i="19"/>
  <c r="E326" i="19"/>
  <c r="C324" i="19"/>
  <c r="D324" i="19"/>
  <c r="E325" i="19"/>
  <c r="C323" i="19"/>
  <c r="D323" i="19"/>
  <c r="E324" i="19"/>
  <c r="C322" i="19"/>
  <c r="D322" i="19"/>
  <c r="E323" i="19"/>
  <c r="C321" i="19"/>
  <c r="D321" i="19"/>
  <c r="E322" i="19"/>
  <c r="C320" i="19"/>
  <c r="D320" i="19"/>
  <c r="E321" i="19"/>
  <c r="C319" i="19"/>
  <c r="D319" i="19"/>
  <c r="E320" i="19"/>
  <c r="C318" i="19"/>
  <c r="D318" i="19"/>
  <c r="E319" i="19"/>
  <c r="C317" i="19"/>
  <c r="D317" i="19"/>
  <c r="E318" i="19"/>
  <c r="C316" i="19"/>
  <c r="D316" i="19"/>
  <c r="E317" i="19"/>
  <c r="C315" i="19"/>
  <c r="D315" i="19"/>
  <c r="E316" i="19"/>
  <c r="C314" i="19"/>
  <c r="D314" i="19"/>
  <c r="E315" i="19"/>
  <c r="C313" i="19"/>
  <c r="D313" i="19"/>
  <c r="E314" i="19"/>
  <c r="C312" i="19"/>
  <c r="D312" i="19"/>
  <c r="E313" i="19"/>
  <c r="C311" i="19"/>
  <c r="D311" i="19"/>
  <c r="E312" i="19"/>
  <c r="C310" i="19"/>
  <c r="D310" i="19"/>
  <c r="E311" i="19"/>
  <c r="C309" i="19"/>
  <c r="D309" i="19"/>
  <c r="E310" i="19"/>
  <c r="C308" i="19"/>
  <c r="D308" i="19"/>
  <c r="E309" i="19"/>
  <c r="C307" i="19"/>
  <c r="D307" i="19"/>
  <c r="E308" i="19"/>
  <c r="C306" i="19"/>
  <c r="D306" i="19"/>
  <c r="E307" i="19"/>
  <c r="C305" i="19"/>
  <c r="D305" i="19"/>
  <c r="E306" i="19"/>
  <c r="C304" i="19"/>
  <c r="D304" i="19"/>
  <c r="E305" i="19"/>
  <c r="C303" i="19"/>
  <c r="D303" i="19"/>
  <c r="E304" i="19"/>
  <c r="C302" i="19"/>
  <c r="D302" i="19"/>
  <c r="E303" i="19"/>
  <c r="C301" i="19"/>
  <c r="D301" i="19"/>
  <c r="E302" i="19"/>
  <c r="C300" i="19"/>
  <c r="D300" i="19"/>
  <c r="E301" i="19"/>
  <c r="C299" i="19"/>
  <c r="D299" i="19"/>
  <c r="E300" i="19"/>
  <c r="C298" i="19"/>
  <c r="D298" i="19"/>
  <c r="E299" i="19"/>
  <c r="C297" i="19"/>
  <c r="D297" i="19"/>
  <c r="E298" i="19"/>
  <c r="C296" i="19"/>
  <c r="D296" i="19"/>
  <c r="E297" i="19"/>
  <c r="C295" i="19"/>
  <c r="D295" i="19"/>
  <c r="E296" i="19"/>
  <c r="C294" i="19"/>
  <c r="D294" i="19"/>
  <c r="E295" i="19"/>
  <c r="C293" i="19"/>
  <c r="D293" i="19"/>
  <c r="E294" i="19"/>
  <c r="C292" i="19"/>
  <c r="D292" i="19"/>
  <c r="E293" i="19"/>
  <c r="C291" i="19"/>
  <c r="D291" i="19"/>
  <c r="E292" i="19"/>
  <c r="C290" i="19"/>
  <c r="D290" i="19"/>
  <c r="E291" i="19"/>
  <c r="C289" i="19"/>
  <c r="D289" i="19"/>
  <c r="E290" i="19"/>
  <c r="C288" i="19"/>
  <c r="D288" i="19"/>
  <c r="E289" i="19"/>
  <c r="C287" i="19"/>
  <c r="D287" i="19"/>
  <c r="E288" i="19"/>
  <c r="C286" i="19"/>
  <c r="D286" i="19"/>
  <c r="E287" i="19"/>
  <c r="C285" i="19"/>
  <c r="D285" i="19"/>
  <c r="E286" i="19"/>
  <c r="C284" i="19"/>
  <c r="D284" i="19"/>
  <c r="E285" i="19"/>
  <c r="C283" i="19"/>
  <c r="D283" i="19"/>
  <c r="E284" i="19"/>
  <c r="C282" i="19"/>
  <c r="D282" i="19"/>
  <c r="E283" i="19"/>
  <c r="C281" i="19"/>
  <c r="D281" i="19"/>
  <c r="E282" i="19"/>
  <c r="C280" i="19"/>
  <c r="D280" i="19"/>
  <c r="E281" i="19"/>
  <c r="C279" i="19"/>
  <c r="D279" i="19"/>
  <c r="E280" i="19"/>
  <c r="C278" i="19"/>
  <c r="D278" i="19"/>
  <c r="E279" i="19"/>
  <c r="C277" i="19"/>
  <c r="D277" i="19"/>
  <c r="E278" i="19"/>
  <c r="C276" i="19"/>
  <c r="D276" i="19"/>
  <c r="E277" i="19"/>
  <c r="C275" i="19"/>
  <c r="D275" i="19"/>
  <c r="E276" i="19"/>
  <c r="C274" i="19"/>
  <c r="D274" i="19"/>
  <c r="E275" i="19"/>
  <c r="C273" i="19"/>
  <c r="D273" i="19"/>
  <c r="E274" i="19"/>
  <c r="C272" i="19"/>
  <c r="D272" i="19"/>
  <c r="E273" i="19"/>
  <c r="C271" i="19"/>
  <c r="D271" i="19"/>
  <c r="E272" i="19"/>
  <c r="C270" i="19"/>
  <c r="D270" i="19"/>
  <c r="E271" i="19"/>
  <c r="C269" i="19"/>
  <c r="D269" i="19"/>
  <c r="E270" i="19"/>
  <c r="C268" i="19"/>
  <c r="D268" i="19"/>
  <c r="E269" i="19"/>
  <c r="C267" i="19"/>
  <c r="D267" i="19"/>
  <c r="E268" i="19"/>
  <c r="C266" i="19"/>
  <c r="D266" i="19"/>
  <c r="E267" i="19"/>
  <c r="C265" i="19"/>
  <c r="D265" i="19"/>
  <c r="E266" i="19"/>
  <c r="C264" i="19"/>
  <c r="D264" i="19"/>
  <c r="E265" i="19"/>
  <c r="C263" i="19"/>
  <c r="D263" i="19"/>
  <c r="E264" i="19"/>
  <c r="C262" i="19"/>
  <c r="D262" i="19"/>
  <c r="E263" i="19"/>
  <c r="C261" i="19"/>
  <c r="D261" i="19"/>
  <c r="E262" i="19"/>
  <c r="C260" i="19"/>
  <c r="D260" i="19"/>
  <c r="E261" i="19"/>
  <c r="C259" i="19"/>
  <c r="D259" i="19"/>
  <c r="E260" i="19"/>
  <c r="C258" i="19"/>
  <c r="D258" i="19"/>
  <c r="E259" i="19"/>
  <c r="C257" i="19"/>
  <c r="D257" i="19"/>
  <c r="E258" i="19"/>
  <c r="C256" i="19"/>
  <c r="D256" i="19"/>
  <c r="E257" i="19"/>
  <c r="C255" i="19"/>
  <c r="D255" i="19"/>
  <c r="E256" i="19"/>
  <c r="C254" i="19"/>
  <c r="D254" i="19"/>
  <c r="E255" i="19"/>
  <c r="C253" i="19"/>
  <c r="D253" i="19"/>
  <c r="E254" i="19"/>
  <c r="C252" i="19"/>
  <c r="D252" i="19"/>
  <c r="E253" i="19"/>
  <c r="C251" i="19"/>
  <c r="D251" i="19"/>
  <c r="E252" i="19"/>
  <c r="C250" i="19"/>
  <c r="D250" i="19"/>
  <c r="E251" i="19"/>
  <c r="C249" i="19"/>
  <c r="D249" i="19"/>
  <c r="E250" i="19"/>
  <c r="C248" i="19"/>
  <c r="D248" i="19"/>
  <c r="E249" i="19"/>
  <c r="C247" i="19"/>
  <c r="D247" i="19"/>
  <c r="E248" i="19"/>
  <c r="C246" i="19"/>
  <c r="D246" i="19"/>
  <c r="E247" i="19"/>
  <c r="C245" i="19"/>
  <c r="D245" i="19"/>
  <c r="E246" i="19"/>
  <c r="C244" i="19"/>
  <c r="D244" i="19"/>
  <c r="E245" i="19"/>
  <c r="C243" i="19"/>
  <c r="D243" i="19"/>
  <c r="E244" i="19"/>
  <c r="C242" i="19"/>
  <c r="D242" i="19"/>
  <c r="E243" i="19"/>
  <c r="C241" i="19"/>
  <c r="D241" i="19"/>
  <c r="E242" i="19"/>
  <c r="C240" i="19"/>
  <c r="D240" i="19"/>
  <c r="E241" i="19"/>
  <c r="C239" i="19"/>
  <c r="D239" i="19"/>
  <c r="E240" i="19"/>
  <c r="C238" i="19"/>
  <c r="D238" i="19"/>
  <c r="E239" i="19"/>
  <c r="C237" i="19"/>
  <c r="D237" i="19"/>
  <c r="E238" i="19"/>
  <c r="C236" i="19"/>
  <c r="D236" i="19"/>
  <c r="E237" i="19"/>
  <c r="C235" i="19"/>
  <c r="D235" i="19"/>
  <c r="E236" i="19"/>
  <c r="C234" i="19"/>
  <c r="D234" i="19"/>
  <c r="E235" i="19"/>
  <c r="C233" i="19"/>
  <c r="D233" i="19"/>
  <c r="E234" i="19"/>
  <c r="C232" i="19"/>
  <c r="D232" i="19"/>
  <c r="E233" i="19"/>
  <c r="C231" i="19"/>
  <c r="D231" i="19"/>
  <c r="E232" i="19"/>
  <c r="C230" i="19"/>
  <c r="D230" i="19"/>
  <c r="E231" i="19"/>
  <c r="C229" i="19"/>
  <c r="D229" i="19"/>
  <c r="E230" i="19"/>
  <c r="C228" i="19"/>
  <c r="D228" i="19"/>
  <c r="E229" i="19"/>
  <c r="C227" i="19"/>
  <c r="D227" i="19"/>
  <c r="E228" i="19"/>
  <c r="C226" i="19"/>
  <c r="D226" i="19"/>
  <c r="E227" i="19"/>
  <c r="C225" i="19"/>
  <c r="D225" i="19"/>
  <c r="E226" i="19"/>
  <c r="C224" i="19"/>
  <c r="D224" i="19"/>
  <c r="E225" i="19"/>
  <c r="C223" i="19"/>
  <c r="D223" i="19"/>
  <c r="E224" i="19"/>
  <c r="C222" i="19"/>
  <c r="D222" i="19"/>
  <c r="E223" i="19"/>
  <c r="C221" i="19"/>
  <c r="D221" i="19"/>
  <c r="E222" i="19"/>
  <c r="C220" i="19"/>
  <c r="D220" i="19"/>
  <c r="E221" i="19"/>
  <c r="C219" i="19"/>
  <c r="D219" i="19"/>
  <c r="E220" i="19"/>
  <c r="C218" i="19"/>
  <c r="D218" i="19"/>
  <c r="E219" i="19"/>
  <c r="C217" i="19"/>
  <c r="D217" i="19"/>
  <c r="E218" i="19"/>
  <c r="C216" i="19"/>
  <c r="D216" i="19"/>
  <c r="E217" i="19"/>
  <c r="C215" i="19"/>
  <c r="D215" i="19"/>
  <c r="E216" i="19"/>
  <c r="C214" i="19"/>
  <c r="D214" i="19"/>
  <c r="E215" i="19"/>
  <c r="C213" i="19"/>
  <c r="D213" i="19"/>
  <c r="E214" i="19"/>
  <c r="C212" i="19"/>
  <c r="D212" i="19"/>
  <c r="E213" i="19"/>
  <c r="C211" i="19"/>
  <c r="D211" i="19"/>
  <c r="E212" i="19"/>
  <c r="C210" i="19"/>
  <c r="D210" i="19"/>
  <c r="E211" i="19"/>
  <c r="C209" i="19"/>
  <c r="D209" i="19"/>
  <c r="E210" i="19"/>
  <c r="C208" i="19"/>
  <c r="D208" i="19"/>
  <c r="E209" i="19"/>
  <c r="C207" i="19"/>
  <c r="D207" i="19"/>
  <c r="E208" i="19"/>
  <c r="C206" i="19"/>
  <c r="D206" i="19"/>
  <c r="E207" i="19"/>
  <c r="C205" i="19"/>
  <c r="D205" i="19"/>
  <c r="E206" i="19"/>
  <c r="C204" i="19"/>
  <c r="D204" i="19"/>
  <c r="E205" i="19"/>
  <c r="C203" i="19"/>
  <c r="D203" i="19"/>
  <c r="E204" i="19"/>
  <c r="C202" i="19"/>
  <c r="D202" i="19"/>
  <c r="E203" i="19"/>
  <c r="C201" i="19"/>
  <c r="D201" i="19"/>
  <c r="E202" i="19"/>
  <c r="C200" i="19"/>
  <c r="D200" i="19"/>
  <c r="E201" i="19"/>
  <c r="C199" i="19"/>
  <c r="D199" i="19"/>
  <c r="E200" i="19"/>
  <c r="C198" i="19"/>
  <c r="D198" i="19"/>
  <c r="E199" i="19"/>
  <c r="C197" i="19"/>
  <c r="D197" i="19"/>
  <c r="E198" i="19"/>
  <c r="C196" i="19"/>
  <c r="D196" i="19"/>
  <c r="E197" i="19"/>
  <c r="C195" i="19"/>
  <c r="D195" i="19"/>
  <c r="E196" i="19"/>
  <c r="C194" i="19"/>
  <c r="D194" i="19"/>
  <c r="E195" i="19"/>
  <c r="C193" i="19"/>
  <c r="D193" i="19"/>
  <c r="E194" i="19"/>
  <c r="C192" i="19"/>
  <c r="D192" i="19"/>
  <c r="E193" i="19"/>
  <c r="C191" i="19"/>
  <c r="D191" i="19"/>
  <c r="E192" i="19"/>
  <c r="C190" i="19"/>
  <c r="D190" i="19"/>
  <c r="E191" i="19"/>
  <c r="C189" i="19"/>
  <c r="D189" i="19"/>
  <c r="E190" i="19"/>
  <c r="C188" i="19"/>
  <c r="D188" i="19"/>
  <c r="E189" i="19"/>
  <c r="C187" i="19"/>
  <c r="D187" i="19"/>
  <c r="E188" i="19"/>
  <c r="C186" i="19"/>
  <c r="D186" i="19"/>
  <c r="E187" i="19"/>
  <c r="C185" i="19"/>
  <c r="D185" i="19"/>
  <c r="E186" i="19"/>
  <c r="C184" i="19"/>
  <c r="D184" i="19"/>
  <c r="E185" i="19"/>
  <c r="C183" i="19"/>
  <c r="D183" i="19"/>
  <c r="E184" i="19"/>
  <c r="C182" i="19"/>
  <c r="D182" i="19"/>
  <c r="E183" i="19"/>
  <c r="C181" i="19"/>
  <c r="D181" i="19"/>
  <c r="E182" i="19"/>
  <c r="C180" i="19"/>
  <c r="D180" i="19"/>
  <c r="E181" i="19"/>
  <c r="C179" i="19"/>
  <c r="D179" i="19"/>
  <c r="E180" i="19"/>
  <c r="C178" i="19"/>
  <c r="D178" i="19"/>
  <c r="E179" i="19"/>
  <c r="C177" i="19"/>
  <c r="D177" i="19"/>
  <c r="E178" i="19"/>
  <c r="C176" i="19"/>
  <c r="D176" i="19"/>
  <c r="E177" i="19"/>
  <c r="C175" i="19"/>
  <c r="D175" i="19"/>
  <c r="E176" i="19"/>
  <c r="C174" i="19"/>
  <c r="D174" i="19"/>
  <c r="E175" i="19"/>
  <c r="C173" i="19"/>
  <c r="D173" i="19"/>
  <c r="E174" i="19"/>
  <c r="C172" i="19"/>
  <c r="D172" i="19"/>
  <c r="E173" i="19"/>
  <c r="C171" i="19"/>
  <c r="D171" i="19"/>
  <c r="E172" i="19"/>
  <c r="C170" i="19"/>
  <c r="D170" i="19"/>
  <c r="E171" i="19"/>
  <c r="C169" i="19"/>
  <c r="D169" i="19"/>
  <c r="E170" i="19"/>
  <c r="C168" i="19"/>
  <c r="D168" i="19"/>
  <c r="E169" i="19"/>
  <c r="C167" i="19"/>
  <c r="D167" i="19"/>
  <c r="E168" i="19"/>
  <c r="C166" i="19"/>
  <c r="D166" i="19"/>
  <c r="E167" i="19"/>
  <c r="C165" i="19"/>
  <c r="D165" i="19"/>
  <c r="E166" i="19"/>
  <c r="C164" i="19"/>
  <c r="D164" i="19"/>
  <c r="E165" i="19"/>
  <c r="C163" i="19"/>
  <c r="D163" i="19"/>
  <c r="E164" i="19"/>
  <c r="C162" i="19"/>
  <c r="D162" i="19"/>
  <c r="E163" i="19"/>
  <c r="C161" i="19"/>
  <c r="D161" i="19"/>
  <c r="E162" i="19"/>
  <c r="C160" i="19"/>
  <c r="D160" i="19"/>
  <c r="E161" i="19"/>
  <c r="C159" i="19"/>
  <c r="D159" i="19"/>
  <c r="E160" i="19"/>
  <c r="C158" i="19"/>
  <c r="D158" i="19"/>
  <c r="E159" i="19"/>
  <c r="C157" i="19"/>
  <c r="D157" i="19"/>
  <c r="E158" i="19"/>
  <c r="C156" i="19"/>
  <c r="D156" i="19"/>
  <c r="E157" i="19"/>
  <c r="C155" i="19"/>
  <c r="D155" i="19"/>
  <c r="E156" i="19"/>
  <c r="C154" i="19"/>
  <c r="D154" i="19"/>
  <c r="E155" i="19"/>
  <c r="C153" i="19"/>
  <c r="D153" i="19"/>
  <c r="E154" i="19"/>
  <c r="C152" i="19"/>
  <c r="D152" i="19"/>
  <c r="E153" i="19"/>
  <c r="C151" i="19"/>
  <c r="D151" i="19"/>
  <c r="E152" i="19"/>
  <c r="C150" i="19"/>
  <c r="D150" i="19"/>
  <c r="E151" i="19"/>
  <c r="C149" i="19"/>
  <c r="D149" i="19"/>
  <c r="E150" i="19"/>
  <c r="C148" i="19"/>
  <c r="D148" i="19"/>
  <c r="E149" i="19"/>
  <c r="C147" i="19"/>
  <c r="D147" i="19"/>
  <c r="E148" i="19"/>
  <c r="C146" i="19"/>
  <c r="D146" i="19"/>
  <c r="E147" i="19"/>
  <c r="C145" i="19"/>
  <c r="D145" i="19"/>
  <c r="E146" i="19"/>
  <c r="C144" i="19"/>
  <c r="D144" i="19"/>
  <c r="E145" i="19"/>
  <c r="C143" i="19"/>
  <c r="D143" i="19"/>
  <c r="E144" i="19"/>
  <c r="C142" i="19"/>
  <c r="D142" i="19"/>
  <c r="E143" i="19"/>
  <c r="C141" i="19"/>
  <c r="D141" i="19"/>
  <c r="E142" i="19"/>
  <c r="C140" i="19"/>
  <c r="D140" i="19"/>
  <c r="E141" i="19"/>
  <c r="C139" i="19"/>
  <c r="D139" i="19"/>
  <c r="E140" i="19"/>
  <c r="C138" i="19"/>
  <c r="D138" i="19"/>
  <c r="E139" i="19"/>
  <c r="C137" i="19"/>
  <c r="D137" i="19"/>
  <c r="E138" i="19"/>
  <c r="C136" i="19"/>
  <c r="D136" i="19"/>
  <c r="E137" i="19"/>
  <c r="C135" i="19"/>
  <c r="D135" i="19"/>
  <c r="E136" i="19"/>
  <c r="C134" i="19"/>
  <c r="D134" i="19"/>
  <c r="E135" i="19"/>
  <c r="C133" i="19"/>
  <c r="D133" i="19"/>
  <c r="E134" i="19"/>
  <c r="C132" i="19"/>
  <c r="D132" i="19"/>
  <c r="E133" i="19"/>
  <c r="C131" i="19"/>
  <c r="D131" i="19"/>
  <c r="E132" i="19"/>
  <c r="C130" i="19"/>
  <c r="D130" i="19"/>
  <c r="E131" i="19"/>
  <c r="C129" i="19"/>
  <c r="D129" i="19"/>
  <c r="E130" i="19"/>
  <c r="C128" i="19"/>
  <c r="D128" i="19"/>
  <c r="E129" i="19"/>
  <c r="C127" i="19"/>
  <c r="D127" i="19"/>
  <c r="E128" i="19"/>
  <c r="C126" i="19"/>
  <c r="D126" i="19"/>
  <c r="E127" i="19"/>
  <c r="C125" i="19"/>
  <c r="D125" i="19"/>
  <c r="E126" i="19"/>
  <c r="C124" i="19"/>
  <c r="D124" i="19"/>
  <c r="E125" i="19"/>
  <c r="C123" i="19"/>
  <c r="D123" i="19"/>
  <c r="E124" i="19"/>
  <c r="C122" i="19"/>
  <c r="D122" i="19"/>
  <c r="E123" i="19"/>
  <c r="C121" i="19"/>
  <c r="D121" i="19"/>
  <c r="E122" i="19"/>
  <c r="C120" i="19"/>
  <c r="D120" i="19"/>
  <c r="E121" i="19"/>
  <c r="C119" i="19"/>
  <c r="D119" i="19"/>
  <c r="E120" i="19"/>
  <c r="C118" i="19"/>
  <c r="D118" i="19"/>
  <c r="E119" i="19"/>
  <c r="C117" i="19"/>
  <c r="D117" i="19"/>
  <c r="E118" i="19"/>
  <c r="C116" i="19"/>
  <c r="D116" i="19"/>
  <c r="E117" i="19"/>
  <c r="C115" i="19"/>
  <c r="D115" i="19"/>
  <c r="E116" i="19"/>
  <c r="C114" i="19"/>
  <c r="D114" i="19"/>
  <c r="E115" i="19"/>
  <c r="C113" i="19"/>
  <c r="D113" i="19"/>
  <c r="E114" i="19"/>
  <c r="C112" i="19"/>
  <c r="D112" i="19"/>
  <c r="E113" i="19"/>
  <c r="C111" i="19"/>
  <c r="D111" i="19"/>
  <c r="E112" i="19"/>
  <c r="C110" i="19"/>
  <c r="D110" i="19"/>
  <c r="E111" i="19"/>
  <c r="C109" i="19"/>
  <c r="D109" i="19"/>
  <c r="E110" i="19"/>
  <c r="C108" i="19"/>
  <c r="D108" i="19"/>
  <c r="E109" i="19"/>
  <c r="C107" i="19"/>
  <c r="D107" i="19"/>
  <c r="E108" i="19"/>
  <c r="C106" i="19"/>
  <c r="D106" i="19"/>
  <c r="E107" i="19"/>
  <c r="C105" i="19"/>
  <c r="D105" i="19"/>
  <c r="E106" i="19"/>
  <c r="C104" i="19"/>
  <c r="D104" i="19"/>
  <c r="E105" i="19"/>
  <c r="C103" i="19"/>
  <c r="D103" i="19"/>
  <c r="E104" i="19"/>
  <c r="C102" i="19"/>
  <c r="D102" i="19"/>
  <c r="E103" i="19"/>
  <c r="C101" i="19"/>
  <c r="D101" i="19"/>
  <c r="E102" i="19"/>
  <c r="C100" i="19"/>
  <c r="D100" i="19"/>
  <c r="E101" i="19"/>
  <c r="C99" i="19"/>
  <c r="D99" i="19"/>
  <c r="E100" i="19"/>
  <c r="C98" i="19"/>
  <c r="D98" i="19"/>
  <c r="E99" i="19"/>
  <c r="C97" i="19"/>
  <c r="D97" i="19"/>
  <c r="E98" i="19"/>
  <c r="C96" i="19"/>
  <c r="D96" i="19"/>
  <c r="E97" i="19"/>
  <c r="C95" i="19"/>
  <c r="D95" i="19"/>
  <c r="E96" i="19"/>
  <c r="C94" i="19"/>
  <c r="D94" i="19"/>
  <c r="E95" i="19"/>
  <c r="C93" i="19"/>
  <c r="D93" i="19"/>
  <c r="E94" i="19"/>
  <c r="C92" i="19"/>
  <c r="D92" i="19"/>
  <c r="E93" i="19"/>
  <c r="C91" i="19"/>
  <c r="D91" i="19"/>
  <c r="E92" i="19"/>
  <c r="C90" i="19"/>
  <c r="D90" i="19"/>
  <c r="E91" i="19"/>
  <c r="C89" i="19"/>
  <c r="D89" i="19"/>
  <c r="E90" i="19"/>
  <c r="C88" i="19"/>
  <c r="D88" i="19"/>
  <c r="E89" i="19"/>
  <c r="C87" i="19"/>
  <c r="D87" i="19"/>
  <c r="E88" i="19"/>
  <c r="C86" i="19"/>
  <c r="D86" i="19"/>
  <c r="E87" i="19"/>
  <c r="C85" i="19"/>
  <c r="D85" i="19"/>
  <c r="E86" i="19"/>
  <c r="C84" i="19"/>
  <c r="D84" i="19"/>
  <c r="E85" i="19"/>
  <c r="C83" i="19"/>
  <c r="D83" i="19"/>
  <c r="E84" i="19"/>
  <c r="C82" i="19"/>
  <c r="D82" i="19"/>
  <c r="E83" i="19"/>
  <c r="C81" i="19"/>
  <c r="D81" i="19"/>
  <c r="E82" i="19"/>
  <c r="C80" i="19"/>
  <c r="D80" i="19"/>
  <c r="E81" i="19"/>
  <c r="C79" i="19"/>
  <c r="D79" i="19"/>
  <c r="E80" i="19"/>
  <c r="C78" i="19"/>
  <c r="D78" i="19"/>
  <c r="E79" i="19"/>
  <c r="C77" i="19"/>
  <c r="D77" i="19"/>
  <c r="E78" i="19"/>
  <c r="C76" i="19"/>
  <c r="D76" i="19"/>
  <c r="E77" i="19"/>
  <c r="C75" i="19"/>
  <c r="D75" i="19"/>
  <c r="E76" i="19"/>
  <c r="C74" i="19"/>
  <c r="D74" i="19"/>
  <c r="E75" i="19"/>
  <c r="C73" i="19"/>
  <c r="D73" i="19"/>
  <c r="E74" i="19"/>
  <c r="C72" i="19"/>
  <c r="D72" i="19"/>
  <c r="E73" i="19"/>
  <c r="C71" i="19"/>
  <c r="D71" i="19"/>
  <c r="E72" i="19"/>
  <c r="C70" i="19"/>
  <c r="D70" i="19"/>
  <c r="E71" i="19"/>
  <c r="C69" i="19"/>
  <c r="D69" i="19"/>
  <c r="E70" i="19"/>
  <c r="C68" i="19"/>
  <c r="D68" i="19"/>
  <c r="E69" i="19"/>
  <c r="C67" i="19"/>
  <c r="D67" i="19"/>
  <c r="E68" i="19"/>
  <c r="C66" i="19"/>
  <c r="D66" i="19"/>
  <c r="E67" i="19"/>
  <c r="C65" i="19"/>
  <c r="D65" i="19"/>
  <c r="E66" i="19"/>
  <c r="C64" i="19"/>
  <c r="D64" i="19"/>
  <c r="E65" i="19"/>
  <c r="C63" i="19"/>
  <c r="D63" i="19"/>
  <c r="E64" i="19"/>
  <c r="C62" i="19"/>
  <c r="D62" i="19"/>
  <c r="E63" i="19"/>
  <c r="C61" i="19"/>
  <c r="D61" i="19"/>
  <c r="E62" i="19"/>
  <c r="C60" i="19"/>
  <c r="D60" i="19"/>
  <c r="E61" i="19"/>
  <c r="C59" i="19"/>
  <c r="D59" i="19"/>
  <c r="E60" i="19"/>
  <c r="C58" i="19"/>
  <c r="D58" i="19"/>
  <c r="E59" i="19"/>
  <c r="C57" i="19"/>
  <c r="D57" i="19"/>
  <c r="E58" i="19"/>
  <c r="C56" i="19"/>
  <c r="D56" i="19"/>
  <c r="E57" i="19"/>
  <c r="C55" i="19"/>
  <c r="D55" i="19"/>
  <c r="E56" i="19"/>
  <c r="C54" i="19"/>
  <c r="D54" i="19"/>
  <c r="E55" i="19"/>
  <c r="C53" i="19"/>
  <c r="D53" i="19"/>
  <c r="E54" i="19"/>
  <c r="C52" i="19"/>
  <c r="D52" i="19"/>
  <c r="E53" i="19"/>
  <c r="C51" i="19"/>
  <c r="D51" i="19"/>
  <c r="E52" i="19"/>
  <c r="C50" i="19"/>
  <c r="D50" i="19"/>
  <c r="E51" i="19"/>
  <c r="C49" i="19"/>
  <c r="D49" i="19"/>
  <c r="E50" i="19"/>
  <c r="C48" i="19"/>
  <c r="D48" i="19"/>
  <c r="E49" i="19"/>
  <c r="C47" i="19"/>
  <c r="D47" i="19"/>
  <c r="E48" i="19"/>
  <c r="C46" i="19"/>
  <c r="D46" i="19"/>
  <c r="E47" i="19"/>
  <c r="C45" i="19"/>
  <c r="D45" i="19"/>
  <c r="E46" i="19"/>
  <c r="C44" i="19"/>
  <c r="D44" i="19"/>
  <c r="E45" i="19"/>
  <c r="C43" i="19"/>
  <c r="D43" i="19"/>
  <c r="E44" i="19"/>
  <c r="C42" i="19"/>
  <c r="D42" i="19"/>
  <c r="E43" i="19"/>
  <c r="C41" i="19"/>
  <c r="D41" i="19"/>
  <c r="E42" i="19"/>
  <c r="C40" i="19"/>
  <c r="D40" i="19"/>
  <c r="E41" i="19"/>
  <c r="C39" i="19"/>
  <c r="D39" i="19"/>
  <c r="E40" i="19"/>
  <c r="C38" i="19"/>
  <c r="D38" i="19"/>
  <c r="E39" i="19"/>
  <c r="C37" i="19"/>
  <c r="D37" i="19"/>
  <c r="E38" i="19"/>
  <c r="C36" i="19"/>
  <c r="D36" i="19"/>
  <c r="E37" i="19"/>
  <c r="C35" i="19"/>
  <c r="D35" i="19"/>
  <c r="E36" i="19"/>
  <c r="C34" i="19"/>
  <c r="D34" i="19"/>
  <c r="E35" i="19"/>
  <c r="C33" i="19"/>
  <c r="D33" i="19"/>
  <c r="E34" i="19"/>
  <c r="C32" i="19"/>
  <c r="D32" i="19"/>
  <c r="E33" i="19"/>
  <c r="C31" i="19"/>
  <c r="D31" i="19"/>
  <c r="E32" i="19"/>
  <c r="C30" i="19"/>
  <c r="D30" i="19"/>
  <c r="E31" i="19"/>
  <c r="C29" i="19"/>
  <c r="D29" i="19"/>
  <c r="E30" i="19"/>
  <c r="C28" i="19"/>
  <c r="D28" i="19"/>
  <c r="E29" i="19"/>
  <c r="C27" i="19"/>
  <c r="D27" i="19"/>
  <c r="E28" i="19"/>
  <c r="C26" i="19"/>
  <c r="D26" i="19"/>
  <c r="E27" i="19"/>
  <c r="C25" i="19"/>
  <c r="D25" i="19"/>
  <c r="E26" i="19"/>
  <c r="C24" i="19"/>
  <c r="D24" i="19"/>
  <c r="E25" i="19"/>
  <c r="C23" i="19"/>
  <c r="D23" i="19"/>
  <c r="E24" i="19"/>
  <c r="C22" i="19"/>
  <c r="D22" i="19"/>
  <c r="E23" i="19"/>
  <c r="C21" i="19"/>
  <c r="D21" i="19"/>
  <c r="E22" i="19"/>
  <c r="C20" i="19"/>
  <c r="D20" i="19"/>
  <c r="E21" i="19"/>
  <c r="C19" i="19"/>
  <c r="D19" i="19"/>
  <c r="E20" i="19"/>
  <c r="C18" i="19"/>
  <c r="D18" i="19"/>
  <c r="E19" i="19"/>
  <c r="C17" i="19"/>
  <c r="D17" i="19"/>
  <c r="E18" i="19"/>
  <c r="C16" i="19"/>
  <c r="D16" i="19"/>
  <c r="E17" i="19"/>
  <c r="C15" i="19"/>
  <c r="D15" i="19"/>
  <c r="E16" i="19"/>
  <c r="C14" i="19"/>
  <c r="D14" i="19"/>
  <c r="E15" i="19"/>
  <c r="C13" i="19"/>
  <c r="D13" i="19"/>
  <c r="E14" i="19"/>
  <c r="C12" i="19"/>
  <c r="D12" i="19"/>
  <c r="E13" i="19"/>
  <c r="C11" i="19"/>
  <c r="D11" i="19"/>
  <c r="E12" i="19"/>
  <c r="C10" i="19"/>
  <c r="D10" i="19"/>
  <c r="E11" i="19"/>
  <c r="C9" i="19"/>
  <c r="D9" i="19"/>
  <c r="E10" i="19"/>
  <c r="C8" i="19"/>
  <c r="D8" i="19"/>
  <c r="E9" i="19"/>
  <c r="C7" i="19"/>
  <c r="D7" i="19"/>
  <c r="E8" i="19"/>
  <c r="C6" i="19"/>
  <c r="D6" i="19"/>
  <c r="E7" i="19"/>
  <c r="C5" i="19"/>
  <c r="D5" i="19"/>
  <c r="E6" i="19"/>
  <c r="C4" i="19"/>
  <c r="D4" i="19"/>
  <c r="E5" i="19"/>
  <c r="C3" i="19"/>
  <c r="D3" i="19"/>
  <c r="E4" i="19"/>
  <c r="E3" i="19"/>
  <c r="N5" i="11" a="1"/>
  <c r="N5" i="11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K1258" i="8"/>
  <c r="G1258" i="8"/>
  <c r="H1258" i="8"/>
  <c r="J1258" i="8"/>
  <c r="I1258" i="8"/>
  <c r="K1257" i="8"/>
  <c r="G1257" i="8"/>
  <c r="H1257" i="8"/>
  <c r="J1257" i="8"/>
  <c r="I1257" i="8"/>
  <c r="K1256" i="8"/>
  <c r="G1256" i="8"/>
  <c r="H1256" i="8"/>
  <c r="J1256" i="8"/>
  <c r="I1256" i="8"/>
  <c r="K1255" i="8"/>
  <c r="G1255" i="8"/>
  <c r="H1255" i="8"/>
  <c r="J1255" i="8"/>
  <c r="I1255" i="8"/>
  <c r="K1254" i="8"/>
  <c r="G1254" i="8"/>
  <c r="H1254" i="8"/>
  <c r="J1254" i="8"/>
  <c r="I1254" i="8"/>
  <c r="K1253" i="8"/>
  <c r="G1253" i="8"/>
  <c r="H1253" i="8"/>
  <c r="J1253" i="8"/>
  <c r="I1253" i="8"/>
  <c r="K1252" i="8"/>
  <c r="G1252" i="8"/>
  <c r="H1252" i="8"/>
  <c r="J1252" i="8"/>
  <c r="I1252" i="8"/>
  <c r="K1251" i="8"/>
  <c r="G1251" i="8"/>
  <c r="H1251" i="8"/>
  <c r="J1251" i="8"/>
  <c r="I1251" i="8"/>
  <c r="K1250" i="8"/>
  <c r="G1250" i="8"/>
  <c r="H1250" i="8"/>
  <c r="J1250" i="8"/>
  <c r="I1250" i="8"/>
  <c r="K1249" i="8"/>
  <c r="G1249" i="8"/>
  <c r="H1249" i="8"/>
  <c r="J1249" i="8"/>
  <c r="I1249" i="8"/>
  <c r="K1248" i="8"/>
  <c r="G1248" i="8"/>
  <c r="H1248" i="8"/>
  <c r="J1248" i="8"/>
  <c r="I1248" i="8"/>
  <c r="K1247" i="8"/>
  <c r="G1247" i="8"/>
  <c r="H1247" i="8"/>
  <c r="J1247" i="8"/>
  <c r="I1247" i="8"/>
  <c r="K1246" i="8"/>
  <c r="G1246" i="8"/>
  <c r="H1246" i="8"/>
  <c r="J1246" i="8"/>
  <c r="I1246" i="8"/>
  <c r="K1245" i="8"/>
  <c r="G1245" i="8"/>
  <c r="H1245" i="8"/>
  <c r="J1245" i="8"/>
  <c r="I1245" i="8"/>
  <c r="K1244" i="8"/>
  <c r="G1244" i="8"/>
  <c r="H1244" i="8"/>
  <c r="J1244" i="8"/>
  <c r="I1244" i="8"/>
  <c r="K1243" i="8"/>
  <c r="G1243" i="8"/>
  <c r="H1243" i="8"/>
  <c r="J1243" i="8"/>
  <c r="I1243" i="8"/>
  <c r="K1242" i="8"/>
  <c r="G1242" i="8"/>
  <c r="H1242" i="8"/>
  <c r="J1242" i="8"/>
  <c r="I1242" i="8"/>
  <c r="K1241" i="8"/>
  <c r="G1241" i="8"/>
  <c r="H1241" i="8"/>
  <c r="J1241" i="8"/>
  <c r="I1241" i="8"/>
  <c r="K1240" i="8"/>
  <c r="G1240" i="8"/>
  <c r="H1240" i="8"/>
  <c r="J1240" i="8"/>
  <c r="I1240" i="8"/>
  <c r="K1239" i="8"/>
  <c r="G1239" i="8"/>
  <c r="H1239" i="8"/>
  <c r="J1239" i="8"/>
  <c r="I1239" i="8"/>
  <c r="K1238" i="8"/>
  <c r="G1238" i="8"/>
  <c r="H1238" i="8"/>
  <c r="J1238" i="8"/>
  <c r="I1238" i="8"/>
  <c r="K1237" i="8"/>
  <c r="G1237" i="8"/>
  <c r="H1237" i="8"/>
  <c r="J1237" i="8"/>
  <c r="I1237" i="8"/>
  <c r="K1236" i="8"/>
  <c r="G1236" i="8"/>
  <c r="H1236" i="8"/>
  <c r="J1236" i="8"/>
  <c r="I1236" i="8"/>
  <c r="K1235" i="8"/>
  <c r="G1235" i="8"/>
  <c r="H1235" i="8"/>
  <c r="J1235" i="8"/>
  <c r="I1235" i="8"/>
  <c r="K1234" i="8"/>
  <c r="G1234" i="8"/>
  <c r="H1234" i="8"/>
  <c r="J1234" i="8"/>
  <c r="I1234" i="8"/>
  <c r="K1233" i="8"/>
  <c r="G1233" i="8"/>
  <c r="H1233" i="8"/>
  <c r="J1233" i="8"/>
  <c r="I1233" i="8"/>
  <c r="K1232" i="8"/>
  <c r="G1232" i="8"/>
  <c r="H1232" i="8"/>
  <c r="J1232" i="8"/>
  <c r="I1232" i="8"/>
  <c r="K1231" i="8"/>
  <c r="G1231" i="8"/>
  <c r="H1231" i="8"/>
  <c r="J1231" i="8"/>
  <c r="I1231" i="8"/>
  <c r="K1230" i="8"/>
  <c r="G1230" i="8"/>
  <c r="H1230" i="8"/>
  <c r="J1230" i="8"/>
  <c r="I1230" i="8"/>
  <c r="K1229" i="8"/>
  <c r="G1229" i="8"/>
  <c r="H1229" i="8"/>
  <c r="J1229" i="8"/>
  <c r="I1229" i="8"/>
  <c r="K1228" i="8"/>
  <c r="G1228" i="8"/>
  <c r="H1228" i="8"/>
  <c r="J1228" i="8"/>
  <c r="I1228" i="8"/>
  <c r="K1227" i="8"/>
  <c r="G1227" i="8"/>
  <c r="H1227" i="8"/>
  <c r="J1227" i="8"/>
  <c r="I1227" i="8"/>
  <c r="K1226" i="8"/>
  <c r="G1226" i="8"/>
  <c r="H1226" i="8"/>
  <c r="J1226" i="8"/>
  <c r="I1226" i="8"/>
  <c r="K1225" i="8"/>
  <c r="G1225" i="8"/>
  <c r="H1225" i="8"/>
  <c r="J1225" i="8"/>
  <c r="I1225" i="8"/>
  <c r="K1224" i="8"/>
  <c r="G1224" i="8"/>
  <c r="H1224" i="8"/>
  <c r="J1224" i="8"/>
  <c r="I1224" i="8"/>
  <c r="K1223" i="8"/>
  <c r="G1223" i="8"/>
  <c r="H1223" i="8"/>
  <c r="J1223" i="8"/>
  <c r="I1223" i="8"/>
  <c r="K1222" i="8"/>
  <c r="G1222" i="8"/>
  <c r="H1222" i="8"/>
  <c r="J1222" i="8"/>
  <c r="I1222" i="8"/>
  <c r="K1221" i="8"/>
  <c r="G1221" i="8"/>
  <c r="H1221" i="8"/>
  <c r="J1221" i="8"/>
  <c r="I1221" i="8"/>
  <c r="K1220" i="8"/>
  <c r="G1220" i="8"/>
  <c r="H1220" i="8"/>
  <c r="J1220" i="8"/>
  <c r="I1220" i="8"/>
  <c r="K1219" i="8"/>
  <c r="G1219" i="8"/>
  <c r="H1219" i="8"/>
  <c r="J1219" i="8"/>
  <c r="I1219" i="8"/>
  <c r="K1218" i="8"/>
  <c r="G1218" i="8"/>
  <c r="H1218" i="8"/>
  <c r="J1218" i="8"/>
  <c r="I1218" i="8"/>
  <c r="K1217" i="8"/>
  <c r="G1217" i="8"/>
  <c r="H1217" i="8"/>
  <c r="J1217" i="8"/>
  <c r="I1217" i="8"/>
  <c r="K1216" i="8"/>
  <c r="G1216" i="8"/>
  <c r="H1216" i="8"/>
  <c r="J1216" i="8"/>
  <c r="I1216" i="8"/>
  <c r="K1215" i="8"/>
  <c r="G1215" i="8"/>
  <c r="H1215" i="8"/>
  <c r="J1215" i="8"/>
  <c r="I1215" i="8"/>
  <c r="K1214" i="8"/>
  <c r="G1214" i="8"/>
  <c r="H1214" i="8"/>
  <c r="J1214" i="8"/>
  <c r="I1214" i="8"/>
  <c r="K1213" i="8"/>
  <c r="G1213" i="8"/>
  <c r="H1213" i="8"/>
  <c r="J1213" i="8"/>
  <c r="I1213" i="8"/>
  <c r="K1212" i="8"/>
  <c r="G1212" i="8"/>
  <c r="H1212" i="8"/>
  <c r="J1212" i="8"/>
  <c r="I1212" i="8"/>
  <c r="K1211" i="8"/>
  <c r="G1211" i="8"/>
  <c r="H1211" i="8"/>
  <c r="J1211" i="8"/>
  <c r="I1211" i="8"/>
  <c r="K1210" i="8"/>
  <c r="G1210" i="8"/>
  <c r="H1210" i="8"/>
  <c r="J1210" i="8"/>
  <c r="I1210" i="8"/>
  <c r="K1209" i="8"/>
  <c r="G1209" i="8"/>
  <c r="H1209" i="8"/>
  <c r="J1209" i="8"/>
  <c r="I1209" i="8"/>
  <c r="K1208" i="8"/>
  <c r="G1208" i="8"/>
  <c r="H1208" i="8"/>
  <c r="J1208" i="8"/>
  <c r="I1208" i="8"/>
  <c r="K1207" i="8"/>
  <c r="G1207" i="8"/>
  <c r="H1207" i="8"/>
  <c r="J1207" i="8"/>
  <c r="I1207" i="8"/>
  <c r="K1206" i="8"/>
  <c r="G1206" i="8"/>
  <c r="H1206" i="8"/>
  <c r="J1206" i="8"/>
  <c r="I1206" i="8"/>
  <c r="K1205" i="8"/>
  <c r="G1205" i="8"/>
  <c r="H1205" i="8"/>
  <c r="J1205" i="8"/>
  <c r="I1205" i="8"/>
  <c r="K1204" i="8"/>
  <c r="G1204" i="8"/>
  <c r="H1204" i="8"/>
  <c r="J1204" i="8"/>
  <c r="I1204" i="8"/>
  <c r="K1203" i="8"/>
  <c r="G1203" i="8"/>
  <c r="H1203" i="8"/>
  <c r="J1203" i="8"/>
  <c r="I1203" i="8"/>
  <c r="K1202" i="8"/>
  <c r="G1202" i="8"/>
  <c r="H1202" i="8"/>
  <c r="J1202" i="8"/>
  <c r="I1202" i="8"/>
  <c r="K1201" i="8"/>
  <c r="G1201" i="8"/>
  <c r="H1201" i="8"/>
  <c r="J1201" i="8"/>
  <c r="I1201" i="8"/>
  <c r="K1200" i="8"/>
  <c r="G1200" i="8"/>
  <c r="H1200" i="8"/>
  <c r="J1200" i="8"/>
  <c r="I1200" i="8"/>
  <c r="K1199" i="8"/>
  <c r="G1199" i="8"/>
  <c r="H1199" i="8"/>
  <c r="J1199" i="8"/>
  <c r="I1199" i="8"/>
  <c r="K1198" i="8"/>
  <c r="G1198" i="8"/>
  <c r="H1198" i="8"/>
  <c r="J1198" i="8"/>
  <c r="I1198" i="8"/>
  <c r="K1197" i="8"/>
  <c r="G1197" i="8"/>
  <c r="H1197" i="8"/>
  <c r="J1197" i="8"/>
  <c r="I1197" i="8"/>
  <c r="K1196" i="8"/>
  <c r="G1196" i="8"/>
  <c r="H1196" i="8"/>
  <c r="J1196" i="8"/>
  <c r="I1196" i="8"/>
  <c r="K1195" i="8"/>
  <c r="G1195" i="8"/>
  <c r="H1195" i="8"/>
  <c r="J1195" i="8"/>
  <c r="I1195" i="8"/>
  <c r="K1194" i="8"/>
  <c r="G1194" i="8"/>
  <c r="H1194" i="8"/>
  <c r="J1194" i="8"/>
  <c r="I1194" i="8"/>
  <c r="K1193" i="8"/>
  <c r="G1193" i="8"/>
  <c r="H1193" i="8"/>
  <c r="J1193" i="8"/>
  <c r="I1193" i="8"/>
  <c r="K1192" i="8"/>
  <c r="G1192" i="8"/>
  <c r="H1192" i="8"/>
  <c r="J1192" i="8"/>
  <c r="I1192" i="8"/>
  <c r="K1191" i="8"/>
  <c r="G1191" i="8"/>
  <c r="H1191" i="8"/>
  <c r="J1191" i="8"/>
  <c r="I1191" i="8"/>
  <c r="K1190" i="8"/>
  <c r="G1190" i="8"/>
  <c r="H1190" i="8"/>
  <c r="J1190" i="8"/>
  <c r="I1190" i="8"/>
  <c r="K1189" i="8"/>
  <c r="G1189" i="8"/>
  <c r="H1189" i="8"/>
  <c r="J1189" i="8"/>
  <c r="I1189" i="8"/>
  <c r="K1188" i="8"/>
  <c r="G1188" i="8"/>
  <c r="H1188" i="8"/>
  <c r="J1188" i="8"/>
  <c r="I1188" i="8"/>
  <c r="K1187" i="8"/>
  <c r="G1187" i="8"/>
  <c r="H1187" i="8"/>
  <c r="J1187" i="8"/>
  <c r="I1187" i="8"/>
  <c r="K1186" i="8"/>
  <c r="G1186" i="8"/>
  <c r="H1186" i="8"/>
  <c r="J1186" i="8"/>
  <c r="I1186" i="8"/>
  <c r="K1185" i="8"/>
  <c r="G1185" i="8"/>
  <c r="H1185" i="8"/>
  <c r="J1185" i="8"/>
  <c r="I1185" i="8"/>
  <c r="K1184" i="8"/>
  <c r="G1184" i="8"/>
  <c r="H1184" i="8"/>
  <c r="J1184" i="8"/>
  <c r="I1184" i="8"/>
  <c r="K1183" i="8"/>
  <c r="G1183" i="8"/>
  <c r="H1183" i="8"/>
  <c r="J1183" i="8"/>
  <c r="I1183" i="8"/>
  <c r="K1182" i="8"/>
  <c r="G1182" i="8"/>
  <c r="H1182" i="8"/>
  <c r="J1182" i="8"/>
  <c r="I1182" i="8"/>
  <c r="K1181" i="8"/>
  <c r="G1181" i="8"/>
  <c r="H1181" i="8"/>
  <c r="J1181" i="8"/>
  <c r="I1181" i="8"/>
  <c r="K1180" i="8"/>
  <c r="G1180" i="8"/>
  <c r="H1180" i="8"/>
  <c r="J1180" i="8"/>
  <c r="I1180" i="8"/>
  <c r="K1179" i="8"/>
  <c r="G1179" i="8"/>
  <c r="H1179" i="8"/>
  <c r="J1179" i="8"/>
  <c r="I1179" i="8"/>
  <c r="K1178" i="8"/>
  <c r="G1178" i="8"/>
  <c r="H1178" i="8"/>
  <c r="J1178" i="8"/>
  <c r="I1178" i="8"/>
  <c r="K1177" i="8"/>
  <c r="G1177" i="8"/>
  <c r="H1177" i="8"/>
  <c r="J1177" i="8"/>
  <c r="I1177" i="8"/>
  <c r="K1176" i="8"/>
  <c r="G1176" i="8"/>
  <c r="H1176" i="8"/>
  <c r="J1176" i="8"/>
  <c r="I1176" i="8"/>
  <c r="K1175" i="8"/>
  <c r="G1175" i="8"/>
  <c r="H1175" i="8"/>
  <c r="J1175" i="8"/>
  <c r="I1175" i="8"/>
  <c r="K1174" i="8"/>
  <c r="G1174" i="8"/>
  <c r="H1174" i="8"/>
  <c r="J1174" i="8"/>
  <c r="I1174" i="8"/>
  <c r="K1173" i="8"/>
  <c r="G1173" i="8"/>
  <c r="H1173" i="8"/>
  <c r="J1173" i="8"/>
  <c r="I1173" i="8"/>
  <c r="K1172" i="8"/>
  <c r="G1172" i="8"/>
  <c r="H1172" i="8"/>
  <c r="J1172" i="8"/>
  <c r="I1172" i="8"/>
  <c r="K1171" i="8"/>
  <c r="G1171" i="8"/>
  <c r="H1171" i="8"/>
  <c r="J1171" i="8"/>
  <c r="I1171" i="8"/>
  <c r="K1170" i="8"/>
  <c r="G1170" i="8"/>
  <c r="H1170" i="8"/>
  <c r="J1170" i="8"/>
  <c r="I1170" i="8"/>
  <c r="K1169" i="8"/>
  <c r="G1169" i="8"/>
  <c r="H1169" i="8"/>
  <c r="J1169" i="8"/>
  <c r="I1169" i="8"/>
  <c r="K1168" i="8"/>
  <c r="G1168" i="8"/>
  <c r="H1168" i="8"/>
  <c r="J1168" i="8"/>
  <c r="I1168" i="8"/>
  <c r="K1167" i="8"/>
  <c r="G1167" i="8"/>
  <c r="H1167" i="8"/>
  <c r="J1167" i="8"/>
  <c r="I1167" i="8"/>
  <c r="K1166" i="8"/>
  <c r="G1166" i="8"/>
  <c r="H1166" i="8"/>
  <c r="J1166" i="8"/>
  <c r="I1166" i="8"/>
  <c r="K1165" i="8"/>
  <c r="G1165" i="8"/>
  <c r="H1165" i="8"/>
  <c r="J1165" i="8"/>
  <c r="I1165" i="8"/>
  <c r="K1164" i="8"/>
  <c r="G1164" i="8"/>
  <c r="H1164" i="8"/>
  <c r="J1164" i="8"/>
  <c r="I1164" i="8"/>
  <c r="K1163" i="8"/>
  <c r="G1163" i="8"/>
  <c r="H1163" i="8"/>
  <c r="J1163" i="8"/>
  <c r="I1163" i="8"/>
  <c r="K1162" i="8"/>
  <c r="G1162" i="8"/>
  <c r="H1162" i="8"/>
  <c r="J1162" i="8"/>
  <c r="I1162" i="8"/>
  <c r="K1161" i="8"/>
  <c r="G1161" i="8"/>
  <c r="H1161" i="8"/>
  <c r="J1161" i="8"/>
  <c r="I1161" i="8"/>
  <c r="K1160" i="8"/>
  <c r="G1160" i="8"/>
  <c r="H1160" i="8"/>
  <c r="J1160" i="8"/>
  <c r="I1160" i="8"/>
  <c r="K1159" i="8"/>
  <c r="G1159" i="8"/>
  <c r="H1159" i="8"/>
  <c r="J1159" i="8"/>
  <c r="I1159" i="8"/>
  <c r="K1158" i="8"/>
  <c r="G1158" i="8"/>
  <c r="H1158" i="8"/>
  <c r="J1158" i="8"/>
  <c r="I1158" i="8"/>
  <c r="K1157" i="8"/>
  <c r="G1157" i="8"/>
  <c r="H1157" i="8"/>
  <c r="J1157" i="8"/>
  <c r="I1157" i="8"/>
  <c r="K1156" i="8"/>
  <c r="G1156" i="8"/>
  <c r="H1156" i="8"/>
  <c r="J1156" i="8"/>
  <c r="I1156" i="8"/>
  <c r="K1155" i="8"/>
  <c r="G1155" i="8"/>
  <c r="H1155" i="8"/>
  <c r="J1155" i="8"/>
  <c r="I1155" i="8"/>
  <c r="K1154" i="8"/>
  <c r="G1154" i="8"/>
  <c r="H1154" i="8"/>
  <c r="J1154" i="8"/>
  <c r="I1154" i="8"/>
  <c r="K1153" i="8"/>
  <c r="G1153" i="8"/>
  <c r="H1153" i="8"/>
  <c r="J1153" i="8"/>
  <c r="I1153" i="8"/>
  <c r="K1152" i="8"/>
  <c r="G1152" i="8"/>
  <c r="H1152" i="8"/>
  <c r="J1152" i="8"/>
  <c r="I1152" i="8"/>
  <c r="K1151" i="8"/>
  <c r="G1151" i="8"/>
  <c r="H1151" i="8"/>
  <c r="J1151" i="8"/>
  <c r="I1151" i="8"/>
  <c r="K1150" i="8"/>
  <c r="G1150" i="8"/>
  <c r="H1150" i="8"/>
  <c r="J1150" i="8"/>
  <c r="I1150" i="8"/>
  <c r="K1149" i="8"/>
  <c r="G1149" i="8"/>
  <c r="H1149" i="8"/>
  <c r="J1149" i="8"/>
  <c r="I1149" i="8"/>
  <c r="K1148" i="8"/>
  <c r="G1148" i="8"/>
  <c r="H1148" i="8"/>
  <c r="J1148" i="8"/>
  <c r="I1148" i="8"/>
  <c r="K1147" i="8"/>
  <c r="G1147" i="8"/>
  <c r="H1147" i="8"/>
  <c r="J1147" i="8"/>
  <c r="I1147" i="8"/>
  <c r="K1146" i="8"/>
  <c r="G1146" i="8"/>
  <c r="H1146" i="8"/>
  <c r="J1146" i="8"/>
  <c r="I1146" i="8"/>
  <c r="K1145" i="8"/>
  <c r="G1145" i="8"/>
  <c r="H1145" i="8"/>
  <c r="J1145" i="8"/>
  <c r="I1145" i="8"/>
  <c r="K1144" i="8"/>
  <c r="G1144" i="8"/>
  <c r="H1144" i="8"/>
  <c r="J1144" i="8"/>
  <c r="I1144" i="8"/>
  <c r="K1143" i="8"/>
  <c r="G1143" i="8"/>
  <c r="H1143" i="8"/>
  <c r="J1143" i="8"/>
  <c r="I1143" i="8"/>
  <c r="K1142" i="8"/>
  <c r="G1142" i="8"/>
  <c r="H1142" i="8"/>
  <c r="J1142" i="8"/>
  <c r="I1142" i="8"/>
  <c r="K1141" i="8"/>
  <c r="G1141" i="8"/>
  <c r="H1141" i="8"/>
  <c r="J1141" i="8"/>
  <c r="I1141" i="8"/>
  <c r="K1140" i="8"/>
  <c r="G1140" i="8"/>
  <c r="H1140" i="8"/>
  <c r="J1140" i="8"/>
  <c r="I1140" i="8"/>
  <c r="K1139" i="8"/>
  <c r="G1139" i="8"/>
  <c r="H1139" i="8"/>
  <c r="J1139" i="8"/>
  <c r="I1139" i="8"/>
  <c r="K1138" i="8"/>
  <c r="G1138" i="8"/>
  <c r="H1138" i="8"/>
  <c r="J1138" i="8"/>
  <c r="I1138" i="8"/>
  <c r="K1137" i="8"/>
  <c r="G1137" i="8"/>
  <c r="H1137" i="8"/>
  <c r="J1137" i="8"/>
  <c r="I1137" i="8"/>
  <c r="K1136" i="8"/>
  <c r="G1136" i="8"/>
  <c r="H1136" i="8"/>
  <c r="J1136" i="8"/>
  <c r="I1136" i="8"/>
  <c r="K1135" i="8"/>
  <c r="G1135" i="8"/>
  <c r="H1135" i="8"/>
  <c r="J1135" i="8"/>
  <c r="I1135" i="8"/>
  <c r="K1134" i="8"/>
  <c r="G1134" i="8"/>
  <c r="H1134" i="8"/>
  <c r="J1134" i="8"/>
  <c r="I1134" i="8"/>
  <c r="K1133" i="8"/>
  <c r="G1133" i="8"/>
  <c r="H1133" i="8"/>
  <c r="J1133" i="8"/>
  <c r="I1133" i="8"/>
  <c r="K1132" i="8"/>
  <c r="G1132" i="8"/>
  <c r="H1132" i="8"/>
  <c r="J1132" i="8"/>
  <c r="I1132" i="8"/>
  <c r="K1131" i="8"/>
  <c r="G1131" i="8"/>
  <c r="H1131" i="8"/>
  <c r="J1131" i="8"/>
  <c r="I1131" i="8"/>
  <c r="K1130" i="8"/>
  <c r="G1130" i="8"/>
  <c r="H1130" i="8"/>
  <c r="J1130" i="8"/>
  <c r="I1130" i="8"/>
  <c r="K1129" i="8"/>
  <c r="G1129" i="8"/>
  <c r="H1129" i="8"/>
  <c r="J1129" i="8"/>
  <c r="I1129" i="8"/>
  <c r="K1128" i="8"/>
  <c r="G1128" i="8"/>
  <c r="H1128" i="8"/>
  <c r="J1128" i="8"/>
  <c r="I1128" i="8"/>
  <c r="K1127" i="8"/>
  <c r="G1127" i="8"/>
  <c r="H1127" i="8"/>
  <c r="J1127" i="8"/>
  <c r="I1127" i="8"/>
  <c r="K1126" i="8"/>
  <c r="G1126" i="8"/>
  <c r="H1126" i="8"/>
  <c r="J1126" i="8"/>
  <c r="I1126" i="8"/>
  <c r="K1125" i="8"/>
  <c r="G1125" i="8"/>
  <c r="H1125" i="8"/>
  <c r="J1125" i="8"/>
  <c r="I1125" i="8"/>
  <c r="K1124" i="8"/>
  <c r="G1124" i="8"/>
  <c r="H1124" i="8"/>
  <c r="J1124" i="8"/>
  <c r="I1124" i="8"/>
  <c r="K1123" i="8"/>
  <c r="G1123" i="8"/>
  <c r="H1123" i="8"/>
  <c r="J1123" i="8"/>
  <c r="I1123" i="8"/>
  <c r="K1122" i="8"/>
  <c r="G1122" i="8"/>
  <c r="H1122" i="8"/>
  <c r="J1122" i="8"/>
  <c r="I1122" i="8"/>
  <c r="K1121" i="8"/>
  <c r="G1121" i="8"/>
  <c r="H1121" i="8"/>
  <c r="J1121" i="8"/>
  <c r="I1121" i="8"/>
  <c r="K1120" i="8"/>
  <c r="G1120" i="8"/>
  <c r="H1120" i="8"/>
  <c r="J1120" i="8"/>
  <c r="I1120" i="8"/>
  <c r="K1119" i="8"/>
  <c r="G1119" i="8"/>
  <c r="H1119" i="8"/>
  <c r="J1119" i="8"/>
  <c r="I1119" i="8"/>
  <c r="K1118" i="8"/>
  <c r="G1118" i="8"/>
  <c r="H1118" i="8"/>
  <c r="J1118" i="8"/>
  <c r="I1118" i="8"/>
  <c r="K1117" i="8"/>
  <c r="G1117" i="8"/>
  <c r="H1117" i="8"/>
  <c r="J1117" i="8"/>
  <c r="I1117" i="8"/>
  <c r="K1116" i="8"/>
  <c r="G1116" i="8"/>
  <c r="H1116" i="8"/>
  <c r="J1116" i="8"/>
  <c r="I1116" i="8"/>
  <c r="K1115" i="8"/>
  <c r="G1115" i="8"/>
  <c r="H1115" i="8"/>
  <c r="J1115" i="8"/>
  <c r="I1115" i="8"/>
  <c r="K1114" i="8"/>
  <c r="G1114" i="8"/>
  <c r="H1114" i="8"/>
  <c r="J1114" i="8"/>
  <c r="I1114" i="8"/>
  <c r="K1113" i="8"/>
  <c r="G1113" i="8"/>
  <c r="H1113" i="8"/>
  <c r="J1113" i="8"/>
  <c r="I1113" i="8"/>
  <c r="K1112" i="8"/>
  <c r="G1112" i="8"/>
  <c r="H1112" i="8"/>
  <c r="J1112" i="8"/>
  <c r="I1112" i="8"/>
  <c r="K1111" i="8"/>
  <c r="G1111" i="8"/>
  <c r="H1111" i="8"/>
  <c r="J1111" i="8"/>
  <c r="I1111" i="8"/>
  <c r="K1110" i="8"/>
  <c r="G1110" i="8"/>
  <c r="H1110" i="8"/>
  <c r="J1110" i="8"/>
  <c r="I1110" i="8"/>
  <c r="K1109" i="8"/>
  <c r="G1109" i="8"/>
  <c r="H1109" i="8"/>
  <c r="J1109" i="8"/>
  <c r="I1109" i="8"/>
  <c r="K1108" i="8"/>
  <c r="G1108" i="8"/>
  <c r="H1108" i="8"/>
  <c r="J1108" i="8"/>
  <c r="I1108" i="8"/>
  <c r="K1107" i="8"/>
  <c r="G1107" i="8"/>
  <c r="H1107" i="8"/>
  <c r="J1107" i="8"/>
  <c r="I1107" i="8"/>
  <c r="K1106" i="8"/>
  <c r="G1106" i="8"/>
  <c r="H1106" i="8"/>
  <c r="J1106" i="8"/>
  <c r="I1106" i="8"/>
  <c r="K1105" i="8"/>
  <c r="G1105" i="8"/>
  <c r="H1105" i="8"/>
  <c r="J1105" i="8"/>
  <c r="I1105" i="8"/>
  <c r="K1104" i="8"/>
  <c r="G1104" i="8"/>
  <c r="H1104" i="8"/>
  <c r="J1104" i="8"/>
  <c r="I1104" i="8"/>
  <c r="K1103" i="8"/>
  <c r="G1103" i="8"/>
  <c r="H1103" i="8"/>
  <c r="J1103" i="8"/>
  <c r="I1103" i="8"/>
  <c r="K1102" i="8"/>
  <c r="G1102" i="8"/>
  <c r="H1102" i="8"/>
  <c r="J1102" i="8"/>
  <c r="I1102" i="8"/>
  <c r="K1101" i="8"/>
  <c r="G1101" i="8"/>
  <c r="H1101" i="8"/>
  <c r="J1101" i="8"/>
  <c r="I1101" i="8"/>
  <c r="K1100" i="8"/>
  <c r="G1100" i="8"/>
  <c r="H1100" i="8"/>
  <c r="J1100" i="8"/>
  <c r="I1100" i="8"/>
  <c r="K1099" i="8"/>
  <c r="G1099" i="8"/>
  <c r="H1099" i="8"/>
  <c r="J1099" i="8"/>
  <c r="I1099" i="8"/>
  <c r="K1098" i="8"/>
  <c r="G1098" i="8"/>
  <c r="H1098" i="8"/>
  <c r="J1098" i="8"/>
  <c r="I1098" i="8"/>
  <c r="K1097" i="8"/>
  <c r="G1097" i="8"/>
  <c r="H1097" i="8"/>
  <c r="J1097" i="8"/>
  <c r="I1097" i="8"/>
  <c r="K1096" i="8"/>
  <c r="G1096" i="8"/>
  <c r="H1096" i="8"/>
  <c r="J1096" i="8"/>
  <c r="I1096" i="8"/>
  <c r="K1095" i="8"/>
  <c r="G1095" i="8"/>
  <c r="H1095" i="8"/>
  <c r="J1095" i="8"/>
  <c r="I1095" i="8"/>
  <c r="K1094" i="8"/>
  <c r="G1094" i="8"/>
  <c r="H1094" i="8"/>
  <c r="J1094" i="8"/>
  <c r="I1094" i="8"/>
  <c r="K1093" i="8"/>
  <c r="G1093" i="8"/>
  <c r="H1093" i="8"/>
  <c r="J1093" i="8"/>
  <c r="I1093" i="8"/>
  <c r="K1092" i="8"/>
  <c r="G1092" i="8"/>
  <c r="H1092" i="8"/>
  <c r="J1092" i="8"/>
  <c r="I1092" i="8"/>
  <c r="K1091" i="8"/>
  <c r="G1091" i="8"/>
  <c r="H1091" i="8"/>
  <c r="J1091" i="8"/>
  <c r="I1091" i="8"/>
  <c r="K1090" i="8"/>
  <c r="G1090" i="8"/>
  <c r="H1090" i="8"/>
  <c r="J1090" i="8"/>
  <c r="I1090" i="8"/>
  <c r="K1089" i="8"/>
  <c r="G1089" i="8"/>
  <c r="H1089" i="8"/>
  <c r="J1089" i="8"/>
  <c r="I1089" i="8"/>
  <c r="K1088" i="8"/>
  <c r="G1088" i="8"/>
  <c r="H1088" i="8"/>
  <c r="J1088" i="8"/>
  <c r="I1088" i="8"/>
  <c r="K1087" i="8"/>
  <c r="G1087" i="8"/>
  <c r="H1087" i="8"/>
  <c r="J1087" i="8"/>
  <c r="I1087" i="8"/>
  <c r="K1086" i="8"/>
  <c r="G1086" i="8"/>
  <c r="H1086" i="8"/>
  <c r="J1086" i="8"/>
  <c r="I1086" i="8"/>
  <c r="K1085" i="8"/>
  <c r="G1085" i="8"/>
  <c r="H1085" i="8"/>
  <c r="J1085" i="8"/>
  <c r="I1085" i="8"/>
  <c r="K1084" i="8"/>
  <c r="G1084" i="8"/>
  <c r="H1084" i="8"/>
  <c r="J1084" i="8"/>
  <c r="I1084" i="8"/>
  <c r="K1083" i="8"/>
  <c r="G1083" i="8"/>
  <c r="H1083" i="8"/>
  <c r="J1083" i="8"/>
  <c r="I1083" i="8"/>
  <c r="K1082" i="8"/>
  <c r="G1082" i="8"/>
  <c r="H1082" i="8"/>
  <c r="J1082" i="8"/>
  <c r="I1082" i="8"/>
  <c r="K1081" i="8"/>
  <c r="G1081" i="8"/>
  <c r="H1081" i="8"/>
  <c r="J1081" i="8"/>
  <c r="I1081" i="8"/>
  <c r="K1080" i="8"/>
  <c r="G1080" i="8"/>
  <c r="H1080" i="8"/>
  <c r="J1080" i="8"/>
  <c r="I1080" i="8"/>
  <c r="K1079" i="8"/>
  <c r="G1079" i="8"/>
  <c r="H1079" i="8"/>
  <c r="J1079" i="8"/>
  <c r="I1079" i="8"/>
  <c r="K1078" i="8"/>
  <c r="G1078" i="8"/>
  <c r="H1078" i="8"/>
  <c r="J1078" i="8"/>
  <c r="I1078" i="8"/>
  <c r="K1077" i="8"/>
  <c r="G1077" i="8"/>
  <c r="H1077" i="8"/>
  <c r="J1077" i="8"/>
  <c r="I1077" i="8"/>
  <c r="K1076" i="8"/>
  <c r="G1076" i="8"/>
  <c r="H1076" i="8"/>
  <c r="J1076" i="8"/>
  <c r="I1076" i="8"/>
  <c r="K1075" i="8"/>
  <c r="G1075" i="8"/>
  <c r="H1075" i="8"/>
  <c r="J1075" i="8"/>
  <c r="I1075" i="8"/>
  <c r="K1074" i="8"/>
  <c r="G1074" i="8"/>
  <c r="H1074" i="8"/>
  <c r="J1074" i="8"/>
  <c r="I1074" i="8"/>
  <c r="K1073" i="8"/>
  <c r="G1073" i="8"/>
  <c r="H1073" i="8"/>
  <c r="J1073" i="8"/>
  <c r="I1073" i="8"/>
  <c r="K1072" i="8"/>
  <c r="G1072" i="8"/>
  <c r="H1072" i="8"/>
  <c r="J1072" i="8"/>
  <c r="I1072" i="8"/>
  <c r="K1071" i="8"/>
  <c r="G1071" i="8"/>
  <c r="H1071" i="8"/>
  <c r="J1071" i="8"/>
  <c r="I1071" i="8"/>
  <c r="K1070" i="8"/>
  <c r="G1070" i="8"/>
  <c r="H1070" i="8"/>
  <c r="J1070" i="8"/>
  <c r="I1070" i="8"/>
  <c r="K1069" i="8"/>
  <c r="G1069" i="8"/>
  <c r="H1069" i="8"/>
  <c r="J1069" i="8"/>
  <c r="I1069" i="8"/>
  <c r="K1068" i="8"/>
  <c r="G1068" i="8"/>
  <c r="H1068" i="8"/>
  <c r="J1068" i="8"/>
  <c r="I1068" i="8"/>
  <c r="K1067" i="8"/>
  <c r="G1067" i="8"/>
  <c r="H1067" i="8"/>
  <c r="J1067" i="8"/>
  <c r="I1067" i="8"/>
  <c r="K1066" i="8"/>
  <c r="G1066" i="8"/>
  <c r="H1066" i="8"/>
  <c r="J1066" i="8"/>
  <c r="I1066" i="8"/>
  <c r="K1065" i="8"/>
  <c r="G1065" i="8"/>
  <c r="H1065" i="8"/>
  <c r="J1065" i="8"/>
  <c r="I1065" i="8"/>
  <c r="K1064" i="8"/>
  <c r="G1064" i="8"/>
  <c r="H1064" i="8"/>
  <c r="J1064" i="8"/>
  <c r="I1064" i="8"/>
  <c r="K1063" i="8"/>
  <c r="G1063" i="8"/>
  <c r="H1063" i="8"/>
  <c r="J1063" i="8"/>
  <c r="I1063" i="8"/>
  <c r="K1062" i="8"/>
  <c r="G1062" i="8"/>
  <c r="H1062" i="8"/>
  <c r="J1062" i="8"/>
  <c r="I1062" i="8"/>
  <c r="K1061" i="8"/>
  <c r="G1061" i="8"/>
  <c r="H1061" i="8"/>
  <c r="J1061" i="8"/>
  <c r="I1061" i="8"/>
  <c r="K1060" i="8"/>
  <c r="G1060" i="8"/>
  <c r="H1060" i="8"/>
  <c r="J1060" i="8"/>
  <c r="I1060" i="8"/>
  <c r="K1059" i="8"/>
  <c r="G1059" i="8"/>
  <c r="H1059" i="8"/>
  <c r="J1059" i="8"/>
  <c r="I1059" i="8"/>
  <c r="K1058" i="8"/>
  <c r="G1058" i="8"/>
  <c r="H1058" i="8"/>
  <c r="J1058" i="8"/>
  <c r="I1058" i="8"/>
  <c r="K1057" i="8"/>
  <c r="G1057" i="8"/>
  <c r="H1057" i="8"/>
  <c r="J1057" i="8"/>
  <c r="I1057" i="8"/>
  <c r="K1056" i="8"/>
  <c r="G1056" i="8"/>
  <c r="H1056" i="8"/>
  <c r="J1056" i="8"/>
  <c r="I1056" i="8"/>
  <c r="K1055" i="8"/>
  <c r="G1055" i="8"/>
  <c r="H1055" i="8"/>
  <c r="J1055" i="8"/>
  <c r="I1055" i="8"/>
  <c r="K1054" i="8"/>
  <c r="G1054" i="8"/>
  <c r="H1054" i="8"/>
  <c r="J1054" i="8"/>
  <c r="I1054" i="8"/>
  <c r="K1053" i="8"/>
  <c r="G1053" i="8"/>
  <c r="H1053" i="8"/>
  <c r="J1053" i="8"/>
  <c r="I1053" i="8"/>
  <c r="K1052" i="8"/>
  <c r="G1052" i="8"/>
  <c r="H1052" i="8"/>
  <c r="J1052" i="8"/>
  <c r="I1052" i="8"/>
  <c r="K1051" i="8"/>
  <c r="G1051" i="8"/>
  <c r="H1051" i="8"/>
  <c r="J1051" i="8"/>
  <c r="I1051" i="8"/>
  <c r="K1050" i="8"/>
  <c r="G1050" i="8"/>
  <c r="H1050" i="8"/>
  <c r="J1050" i="8"/>
  <c r="I1050" i="8"/>
  <c r="K1049" i="8"/>
  <c r="G1049" i="8"/>
  <c r="H1049" i="8"/>
  <c r="J1049" i="8"/>
  <c r="I1049" i="8"/>
  <c r="K1048" i="8"/>
  <c r="G1048" i="8"/>
  <c r="H1048" i="8"/>
  <c r="J1048" i="8"/>
  <c r="I1048" i="8"/>
  <c r="K1047" i="8"/>
  <c r="G1047" i="8"/>
  <c r="H1047" i="8"/>
  <c r="J1047" i="8"/>
  <c r="I1047" i="8"/>
  <c r="K1046" i="8"/>
  <c r="G1046" i="8"/>
  <c r="H1046" i="8"/>
  <c r="J1046" i="8"/>
  <c r="I1046" i="8"/>
  <c r="K1045" i="8"/>
  <c r="G1045" i="8"/>
  <c r="H1045" i="8"/>
  <c r="J1045" i="8"/>
  <c r="I1045" i="8"/>
  <c r="K1044" i="8"/>
  <c r="G1044" i="8"/>
  <c r="H1044" i="8"/>
  <c r="J1044" i="8"/>
  <c r="I1044" i="8"/>
  <c r="K1043" i="8"/>
  <c r="G1043" i="8"/>
  <c r="H1043" i="8"/>
  <c r="J1043" i="8"/>
  <c r="I1043" i="8"/>
  <c r="K1042" i="8"/>
  <c r="G1042" i="8"/>
  <c r="H1042" i="8"/>
  <c r="J1042" i="8"/>
  <c r="I1042" i="8"/>
  <c r="K1041" i="8"/>
  <c r="G1041" i="8"/>
  <c r="H1041" i="8"/>
  <c r="J1041" i="8"/>
  <c r="I1041" i="8"/>
  <c r="K1040" i="8"/>
  <c r="G1040" i="8"/>
  <c r="H1040" i="8"/>
  <c r="J1040" i="8"/>
  <c r="I1040" i="8"/>
  <c r="K1039" i="8"/>
  <c r="G1039" i="8"/>
  <c r="H1039" i="8"/>
  <c r="J1039" i="8"/>
  <c r="I1039" i="8"/>
  <c r="K1038" i="8"/>
  <c r="G1038" i="8"/>
  <c r="H1038" i="8"/>
  <c r="J1038" i="8"/>
  <c r="I1038" i="8"/>
  <c r="K1037" i="8"/>
  <c r="G1037" i="8"/>
  <c r="H1037" i="8"/>
  <c r="J1037" i="8"/>
  <c r="I1037" i="8"/>
  <c r="K1036" i="8"/>
  <c r="G1036" i="8"/>
  <c r="H1036" i="8"/>
  <c r="J1036" i="8"/>
  <c r="I1036" i="8"/>
  <c r="K1035" i="8"/>
  <c r="G1035" i="8"/>
  <c r="H1035" i="8"/>
  <c r="J1035" i="8"/>
  <c r="I1035" i="8"/>
  <c r="K1034" i="8"/>
  <c r="G1034" i="8"/>
  <c r="H1034" i="8"/>
  <c r="J1034" i="8"/>
  <c r="I1034" i="8"/>
  <c r="K1033" i="8"/>
  <c r="G1033" i="8"/>
  <c r="H1033" i="8"/>
  <c r="J1033" i="8"/>
  <c r="I1033" i="8"/>
  <c r="K1032" i="8"/>
  <c r="G1032" i="8"/>
  <c r="H1032" i="8"/>
  <c r="J1032" i="8"/>
  <c r="I1032" i="8"/>
  <c r="K1031" i="8"/>
  <c r="G1031" i="8"/>
  <c r="H1031" i="8"/>
  <c r="J1031" i="8"/>
  <c r="I1031" i="8"/>
  <c r="K1030" i="8"/>
  <c r="G1030" i="8"/>
  <c r="H1030" i="8"/>
  <c r="J1030" i="8"/>
  <c r="I1030" i="8"/>
  <c r="K1029" i="8"/>
  <c r="G1029" i="8"/>
  <c r="H1029" i="8"/>
  <c r="J1029" i="8"/>
  <c r="I1029" i="8"/>
  <c r="K1028" i="8"/>
  <c r="G1028" i="8"/>
  <c r="H1028" i="8"/>
  <c r="J1028" i="8"/>
  <c r="I1028" i="8"/>
  <c r="K1027" i="8"/>
  <c r="G1027" i="8"/>
  <c r="H1027" i="8"/>
  <c r="J1027" i="8"/>
  <c r="I1027" i="8"/>
  <c r="K1026" i="8"/>
  <c r="G1026" i="8"/>
  <c r="H1026" i="8"/>
  <c r="J1026" i="8"/>
  <c r="I1026" i="8"/>
  <c r="K1025" i="8"/>
  <c r="G1025" i="8"/>
  <c r="H1025" i="8"/>
  <c r="J1025" i="8"/>
  <c r="I1025" i="8"/>
  <c r="K1024" i="8"/>
  <c r="G1024" i="8"/>
  <c r="H1024" i="8"/>
  <c r="J1024" i="8"/>
  <c r="I1024" i="8"/>
  <c r="K1023" i="8"/>
  <c r="G1023" i="8"/>
  <c r="H1023" i="8"/>
  <c r="J1023" i="8"/>
  <c r="I1023" i="8"/>
  <c r="K1022" i="8"/>
  <c r="G1022" i="8"/>
  <c r="H1022" i="8"/>
  <c r="J1022" i="8"/>
  <c r="I1022" i="8"/>
  <c r="K1021" i="8"/>
  <c r="G1021" i="8"/>
  <c r="H1021" i="8"/>
  <c r="J1021" i="8"/>
  <c r="I1021" i="8"/>
  <c r="K1020" i="8"/>
  <c r="G1020" i="8"/>
  <c r="H1020" i="8"/>
  <c r="J1020" i="8"/>
  <c r="I1020" i="8"/>
  <c r="K1019" i="8"/>
  <c r="G1019" i="8"/>
  <c r="H1019" i="8"/>
  <c r="J1019" i="8"/>
  <c r="I1019" i="8"/>
  <c r="K1018" i="8"/>
  <c r="G1018" i="8"/>
  <c r="H1018" i="8"/>
  <c r="J1018" i="8"/>
  <c r="I1018" i="8"/>
  <c r="K1017" i="8"/>
  <c r="G1017" i="8"/>
  <c r="H1017" i="8"/>
  <c r="J1017" i="8"/>
  <c r="I1017" i="8"/>
  <c r="K1016" i="8"/>
  <c r="G1016" i="8"/>
  <c r="H1016" i="8"/>
  <c r="J1016" i="8"/>
  <c r="I1016" i="8"/>
  <c r="K1015" i="8"/>
  <c r="G1015" i="8"/>
  <c r="H1015" i="8"/>
  <c r="J1015" i="8"/>
  <c r="I1015" i="8"/>
  <c r="K1014" i="8"/>
  <c r="G1014" i="8"/>
  <c r="H1014" i="8"/>
  <c r="J1014" i="8"/>
  <c r="I1014" i="8"/>
  <c r="K1013" i="8"/>
  <c r="G1013" i="8"/>
  <c r="H1013" i="8"/>
  <c r="J1013" i="8"/>
  <c r="I1013" i="8"/>
  <c r="K1012" i="8"/>
  <c r="G1012" i="8"/>
  <c r="H1012" i="8"/>
  <c r="J1012" i="8"/>
  <c r="I1012" i="8"/>
  <c r="K1011" i="8"/>
  <c r="G1011" i="8"/>
  <c r="H1011" i="8"/>
  <c r="J1011" i="8"/>
  <c r="I1011" i="8"/>
  <c r="K1010" i="8"/>
  <c r="G1010" i="8"/>
  <c r="H1010" i="8"/>
  <c r="J1010" i="8"/>
  <c r="I1010" i="8"/>
  <c r="K1009" i="8"/>
  <c r="G1009" i="8"/>
  <c r="H1009" i="8"/>
  <c r="J1009" i="8"/>
  <c r="I1009" i="8"/>
  <c r="K1008" i="8"/>
  <c r="G1008" i="8"/>
  <c r="H1008" i="8"/>
  <c r="J1008" i="8"/>
  <c r="I1008" i="8"/>
  <c r="K1007" i="8"/>
  <c r="G1007" i="8"/>
  <c r="H1007" i="8"/>
  <c r="J1007" i="8"/>
  <c r="I1007" i="8"/>
  <c r="K1006" i="8"/>
  <c r="G1006" i="8"/>
  <c r="H1006" i="8"/>
  <c r="J1006" i="8"/>
  <c r="I1006" i="8"/>
  <c r="K1005" i="8"/>
  <c r="G1005" i="8"/>
  <c r="H1005" i="8"/>
  <c r="J1005" i="8"/>
  <c r="I1005" i="8"/>
  <c r="K1004" i="8"/>
  <c r="G1004" i="8"/>
  <c r="H1004" i="8"/>
  <c r="J1004" i="8"/>
  <c r="I1004" i="8"/>
  <c r="K1003" i="8"/>
  <c r="G1003" i="8"/>
  <c r="H1003" i="8"/>
  <c r="J1003" i="8"/>
  <c r="I1003" i="8"/>
  <c r="K1002" i="8"/>
  <c r="G1002" i="8"/>
  <c r="H1002" i="8"/>
  <c r="J1002" i="8"/>
  <c r="I1002" i="8"/>
  <c r="K1001" i="8"/>
  <c r="G1001" i="8"/>
  <c r="H1001" i="8"/>
  <c r="J1001" i="8"/>
  <c r="I1001" i="8"/>
  <c r="K1000" i="8"/>
  <c r="G1000" i="8"/>
  <c r="H1000" i="8"/>
  <c r="J1000" i="8"/>
  <c r="I1000" i="8"/>
  <c r="K999" i="8"/>
  <c r="G999" i="8"/>
  <c r="H999" i="8"/>
  <c r="J999" i="8"/>
  <c r="I999" i="8"/>
  <c r="K998" i="8"/>
  <c r="G998" i="8"/>
  <c r="H998" i="8"/>
  <c r="J998" i="8"/>
  <c r="I998" i="8"/>
  <c r="K997" i="8"/>
  <c r="G997" i="8"/>
  <c r="H997" i="8"/>
  <c r="J997" i="8"/>
  <c r="I997" i="8"/>
  <c r="K996" i="8"/>
  <c r="G996" i="8"/>
  <c r="H996" i="8"/>
  <c r="J996" i="8"/>
  <c r="I996" i="8"/>
  <c r="K995" i="8"/>
  <c r="G995" i="8"/>
  <c r="H995" i="8"/>
  <c r="J995" i="8"/>
  <c r="I995" i="8"/>
  <c r="K994" i="8"/>
  <c r="G994" i="8"/>
  <c r="H994" i="8"/>
  <c r="J994" i="8"/>
  <c r="I994" i="8"/>
  <c r="K993" i="8"/>
  <c r="G993" i="8"/>
  <c r="H993" i="8"/>
  <c r="J993" i="8"/>
  <c r="I993" i="8"/>
  <c r="K992" i="8"/>
  <c r="G992" i="8"/>
  <c r="H992" i="8"/>
  <c r="J992" i="8"/>
  <c r="I992" i="8"/>
  <c r="K991" i="8"/>
  <c r="G991" i="8"/>
  <c r="H991" i="8"/>
  <c r="J991" i="8"/>
  <c r="I991" i="8"/>
  <c r="K990" i="8"/>
  <c r="G990" i="8"/>
  <c r="H990" i="8"/>
  <c r="J990" i="8"/>
  <c r="I990" i="8"/>
  <c r="K989" i="8"/>
  <c r="G989" i="8"/>
  <c r="H989" i="8"/>
  <c r="J989" i="8"/>
  <c r="I989" i="8"/>
  <c r="K988" i="8"/>
  <c r="G988" i="8"/>
  <c r="H988" i="8"/>
  <c r="J988" i="8"/>
  <c r="I988" i="8"/>
  <c r="K987" i="8"/>
  <c r="G987" i="8"/>
  <c r="H987" i="8"/>
  <c r="J987" i="8"/>
  <c r="I987" i="8"/>
  <c r="K986" i="8"/>
  <c r="G986" i="8"/>
  <c r="H986" i="8"/>
  <c r="J986" i="8"/>
  <c r="I986" i="8"/>
  <c r="K985" i="8"/>
  <c r="G985" i="8"/>
  <c r="H985" i="8"/>
  <c r="J985" i="8"/>
  <c r="I985" i="8"/>
  <c r="K984" i="8"/>
  <c r="G984" i="8"/>
  <c r="H984" i="8"/>
  <c r="J984" i="8"/>
  <c r="I984" i="8"/>
  <c r="K983" i="8"/>
  <c r="G983" i="8"/>
  <c r="H983" i="8"/>
  <c r="J983" i="8"/>
  <c r="I983" i="8"/>
  <c r="K982" i="8"/>
  <c r="G982" i="8"/>
  <c r="H982" i="8"/>
  <c r="J982" i="8"/>
  <c r="I982" i="8"/>
  <c r="K981" i="8"/>
  <c r="G981" i="8"/>
  <c r="H981" i="8"/>
  <c r="J981" i="8"/>
  <c r="I981" i="8"/>
  <c r="K980" i="8"/>
  <c r="G980" i="8"/>
  <c r="H980" i="8"/>
  <c r="J980" i="8"/>
  <c r="I980" i="8"/>
  <c r="K979" i="8"/>
  <c r="G979" i="8"/>
  <c r="H979" i="8"/>
  <c r="J979" i="8"/>
  <c r="I979" i="8"/>
  <c r="K978" i="8"/>
  <c r="G978" i="8"/>
  <c r="H978" i="8"/>
  <c r="J978" i="8"/>
  <c r="I978" i="8"/>
  <c r="K977" i="8"/>
  <c r="G977" i="8"/>
  <c r="H977" i="8"/>
  <c r="J977" i="8"/>
  <c r="I977" i="8"/>
  <c r="K976" i="8"/>
  <c r="G976" i="8"/>
  <c r="H976" i="8"/>
  <c r="J976" i="8"/>
  <c r="I976" i="8"/>
  <c r="K975" i="8"/>
  <c r="G975" i="8"/>
  <c r="H975" i="8"/>
  <c r="J975" i="8"/>
  <c r="I975" i="8"/>
  <c r="K974" i="8"/>
  <c r="G974" i="8"/>
  <c r="H974" i="8"/>
  <c r="J974" i="8"/>
  <c r="I974" i="8"/>
  <c r="K973" i="8"/>
  <c r="G973" i="8"/>
  <c r="H973" i="8"/>
  <c r="J973" i="8"/>
  <c r="I973" i="8"/>
  <c r="K972" i="8"/>
  <c r="G972" i="8"/>
  <c r="H972" i="8"/>
  <c r="J972" i="8"/>
  <c r="I972" i="8"/>
  <c r="K971" i="8"/>
  <c r="G971" i="8"/>
  <c r="H971" i="8"/>
  <c r="J971" i="8"/>
  <c r="I971" i="8"/>
  <c r="K970" i="8"/>
  <c r="G970" i="8"/>
  <c r="H970" i="8"/>
  <c r="J970" i="8"/>
  <c r="I970" i="8"/>
  <c r="K969" i="8"/>
  <c r="G969" i="8"/>
  <c r="H969" i="8"/>
  <c r="J969" i="8"/>
  <c r="I969" i="8"/>
  <c r="K968" i="8"/>
  <c r="G968" i="8"/>
  <c r="H968" i="8"/>
  <c r="J968" i="8"/>
  <c r="I968" i="8"/>
  <c r="K967" i="8"/>
  <c r="G967" i="8"/>
  <c r="H967" i="8"/>
  <c r="J967" i="8"/>
  <c r="I967" i="8"/>
  <c r="K966" i="8"/>
  <c r="G966" i="8"/>
  <c r="H966" i="8"/>
  <c r="J966" i="8"/>
  <c r="I966" i="8"/>
  <c r="K965" i="8"/>
  <c r="G965" i="8"/>
  <c r="H965" i="8"/>
  <c r="J965" i="8"/>
  <c r="I965" i="8"/>
  <c r="K964" i="8"/>
  <c r="G964" i="8"/>
  <c r="H964" i="8"/>
  <c r="J964" i="8"/>
  <c r="I964" i="8"/>
  <c r="K963" i="8"/>
  <c r="G963" i="8"/>
  <c r="H963" i="8"/>
  <c r="J963" i="8"/>
  <c r="I963" i="8"/>
  <c r="K962" i="8"/>
  <c r="G962" i="8"/>
  <c r="H962" i="8"/>
  <c r="J962" i="8"/>
  <c r="I962" i="8"/>
  <c r="K961" i="8"/>
  <c r="G961" i="8"/>
  <c r="H961" i="8"/>
  <c r="J961" i="8"/>
  <c r="I961" i="8"/>
  <c r="K960" i="8"/>
  <c r="G960" i="8"/>
  <c r="H960" i="8"/>
  <c r="J960" i="8"/>
  <c r="I960" i="8"/>
  <c r="K959" i="8"/>
  <c r="G959" i="8"/>
  <c r="H959" i="8"/>
  <c r="J959" i="8"/>
  <c r="I959" i="8"/>
  <c r="K958" i="8"/>
  <c r="G958" i="8"/>
  <c r="H958" i="8"/>
  <c r="J958" i="8"/>
  <c r="I958" i="8"/>
  <c r="K957" i="8"/>
  <c r="G957" i="8"/>
  <c r="H957" i="8"/>
  <c r="J957" i="8"/>
  <c r="I957" i="8"/>
  <c r="K956" i="8"/>
  <c r="G956" i="8"/>
  <c r="H956" i="8"/>
  <c r="J956" i="8"/>
  <c r="I956" i="8"/>
  <c r="K955" i="8"/>
  <c r="G955" i="8"/>
  <c r="H955" i="8"/>
  <c r="J955" i="8"/>
  <c r="I955" i="8"/>
  <c r="K954" i="8"/>
  <c r="G954" i="8"/>
  <c r="H954" i="8"/>
  <c r="J954" i="8"/>
  <c r="I954" i="8"/>
  <c r="K953" i="8"/>
  <c r="G953" i="8"/>
  <c r="H953" i="8"/>
  <c r="J953" i="8"/>
  <c r="I953" i="8"/>
  <c r="K952" i="8"/>
  <c r="G952" i="8"/>
  <c r="H952" i="8"/>
  <c r="J952" i="8"/>
  <c r="I952" i="8"/>
  <c r="K951" i="8"/>
  <c r="G951" i="8"/>
  <c r="H951" i="8"/>
  <c r="J951" i="8"/>
  <c r="I951" i="8"/>
  <c r="K950" i="8"/>
  <c r="G950" i="8"/>
  <c r="H950" i="8"/>
  <c r="J950" i="8"/>
  <c r="I950" i="8"/>
  <c r="K949" i="8"/>
  <c r="G949" i="8"/>
  <c r="H949" i="8"/>
  <c r="J949" i="8"/>
  <c r="I949" i="8"/>
  <c r="K948" i="8"/>
  <c r="G948" i="8"/>
  <c r="H948" i="8"/>
  <c r="J948" i="8"/>
  <c r="I948" i="8"/>
  <c r="K947" i="8"/>
  <c r="G947" i="8"/>
  <c r="H947" i="8"/>
  <c r="J947" i="8"/>
  <c r="I947" i="8"/>
  <c r="K946" i="8"/>
  <c r="G946" i="8"/>
  <c r="H946" i="8"/>
  <c r="J946" i="8"/>
  <c r="I946" i="8"/>
  <c r="K945" i="8"/>
  <c r="G945" i="8"/>
  <c r="H945" i="8"/>
  <c r="J945" i="8"/>
  <c r="I945" i="8"/>
  <c r="K944" i="8"/>
  <c r="G944" i="8"/>
  <c r="H944" i="8"/>
  <c r="J944" i="8"/>
  <c r="I944" i="8"/>
  <c r="K943" i="8"/>
  <c r="G943" i="8"/>
  <c r="H943" i="8"/>
  <c r="J943" i="8"/>
  <c r="I943" i="8"/>
  <c r="K942" i="8"/>
  <c r="G942" i="8"/>
  <c r="H942" i="8"/>
  <c r="J942" i="8"/>
  <c r="I942" i="8"/>
  <c r="K941" i="8"/>
  <c r="G941" i="8"/>
  <c r="H941" i="8"/>
  <c r="J941" i="8"/>
  <c r="I941" i="8"/>
  <c r="K940" i="8"/>
  <c r="G940" i="8"/>
  <c r="H940" i="8"/>
  <c r="J940" i="8"/>
  <c r="I940" i="8"/>
  <c r="K939" i="8"/>
  <c r="G939" i="8"/>
  <c r="H939" i="8"/>
  <c r="J939" i="8"/>
  <c r="I939" i="8"/>
  <c r="K938" i="8"/>
  <c r="G938" i="8"/>
  <c r="H938" i="8"/>
  <c r="J938" i="8"/>
  <c r="I938" i="8"/>
  <c r="K937" i="8"/>
  <c r="G937" i="8"/>
  <c r="H937" i="8"/>
  <c r="J937" i="8"/>
  <c r="I937" i="8"/>
  <c r="K936" i="8"/>
  <c r="G936" i="8"/>
  <c r="H936" i="8"/>
  <c r="J936" i="8"/>
  <c r="I936" i="8"/>
  <c r="K935" i="8"/>
  <c r="G935" i="8"/>
  <c r="H935" i="8"/>
  <c r="J935" i="8"/>
  <c r="I935" i="8"/>
  <c r="K934" i="8"/>
  <c r="G934" i="8"/>
  <c r="H934" i="8"/>
  <c r="J934" i="8"/>
  <c r="I934" i="8"/>
  <c r="K933" i="8"/>
  <c r="G933" i="8"/>
  <c r="H933" i="8"/>
  <c r="J933" i="8"/>
  <c r="I933" i="8"/>
  <c r="K932" i="8"/>
  <c r="G932" i="8"/>
  <c r="H932" i="8"/>
  <c r="J932" i="8"/>
  <c r="I932" i="8"/>
  <c r="K931" i="8"/>
  <c r="G931" i="8"/>
  <c r="H931" i="8"/>
  <c r="J931" i="8"/>
  <c r="I931" i="8"/>
  <c r="K930" i="8"/>
  <c r="G930" i="8"/>
  <c r="H930" i="8"/>
  <c r="J930" i="8"/>
  <c r="I930" i="8"/>
  <c r="K929" i="8"/>
  <c r="G929" i="8"/>
  <c r="H929" i="8"/>
  <c r="J929" i="8"/>
  <c r="I929" i="8"/>
  <c r="K928" i="8"/>
  <c r="G928" i="8"/>
  <c r="H928" i="8"/>
  <c r="J928" i="8"/>
  <c r="I928" i="8"/>
  <c r="K927" i="8"/>
  <c r="G927" i="8"/>
  <c r="H927" i="8"/>
  <c r="J927" i="8"/>
  <c r="I927" i="8"/>
  <c r="K926" i="8"/>
  <c r="G926" i="8"/>
  <c r="H926" i="8"/>
  <c r="J926" i="8"/>
  <c r="I926" i="8"/>
  <c r="K925" i="8"/>
  <c r="G925" i="8"/>
  <c r="H925" i="8"/>
  <c r="J925" i="8"/>
  <c r="I925" i="8"/>
  <c r="K924" i="8"/>
  <c r="G924" i="8"/>
  <c r="H924" i="8"/>
  <c r="J924" i="8"/>
  <c r="I924" i="8"/>
  <c r="K923" i="8"/>
  <c r="G923" i="8"/>
  <c r="H923" i="8"/>
  <c r="J923" i="8"/>
  <c r="I923" i="8"/>
  <c r="K922" i="8"/>
  <c r="G922" i="8"/>
  <c r="H922" i="8"/>
  <c r="J922" i="8"/>
  <c r="I922" i="8"/>
  <c r="K921" i="8"/>
  <c r="G921" i="8"/>
  <c r="H921" i="8"/>
  <c r="J921" i="8"/>
  <c r="I921" i="8"/>
  <c r="K920" i="8"/>
  <c r="G920" i="8"/>
  <c r="H920" i="8"/>
  <c r="J920" i="8"/>
  <c r="I920" i="8"/>
  <c r="K919" i="8"/>
  <c r="G919" i="8"/>
  <c r="H919" i="8"/>
  <c r="J919" i="8"/>
  <c r="I919" i="8"/>
  <c r="K918" i="8"/>
  <c r="G918" i="8"/>
  <c r="H918" i="8"/>
  <c r="J918" i="8"/>
  <c r="I918" i="8"/>
  <c r="K917" i="8"/>
  <c r="G917" i="8"/>
  <c r="H917" i="8"/>
  <c r="J917" i="8"/>
  <c r="I917" i="8"/>
  <c r="K916" i="8"/>
  <c r="G916" i="8"/>
  <c r="H916" i="8"/>
  <c r="J916" i="8"/>
  <c r="I916" i="8"/>
  <c r="K915" i="8"/>
  <c r="G915" i="8"/>
  <c r="H915" i="8"/>
  <c r="J915" i="8"/>
  <c r="I915" i="8"/>
  <c r="K914" i="8"/>
  <c r="G914" i="8"/>
  <c r="H914" i="8"/>
  <c r="J914" i="8"/>
  <c r="I914" i="8"/>
  <c r="K913" i="8"/>
  <c r="G913" i="8"/>
  <c r="H913" i="8"/>
  <c r="J913" i="8"/>
  <c r="I913" i="8"/>
  <c r="K912" i="8"/>
  <c r="G912" i="8"/>
  <c r="H912" i="8"/>
  <c r="J912" i="8"/>
  <c r="I912" i="8"/>
  <c r="K911" i="8"/>
  <c r="G911" i="8"/>
  <c r="H911" i="8"/>
  <c r="J911" i="8"/>
  <c r="I911" i="8"/>
  <c r="K910" i="8"/>
  <c r="G910" i="8"/>
  <c r="H910" i="8"/>
  <c r="J910" i="8"/>
  <c r="I910" i="8"/>
  <c r="K909" i="8"/>
  <c r="G909" i="8"/>
  <c r="H909" i="8"/>
  <c r="J909" i="8"/>
  <c r="I909" i="8"/>
  <c r="K908" i="8"/>
  <c r="G908" i="8"/>
  <c r="H908" i="8"/>
  <c r="J908" i="8"/>
  <c r="I908" i="8"/>
  <c r="K907" i="8"/>
  <c r="G907" i="8"/>
  <c r="H907" i="8"/>
  <c r="J907" i="8"/>
  <c r="I907" i="8"/>
  <c r="K906" i="8"/>
  <c r="G906" i="8"/>
  <c r="H906" i="8"/>
  <c r="J906" i="8"/>
  <c r="I906" i="8"/>
  <c r="K905" i="8"/>
  <c r="G905" i="8"/>
  <c r="H905" i="8"/>
  <c r="J905" i="8"/>
  <c r="I905" i="8"/>
  <c r="K904" i="8"/>
  <c r="G904" i="8"/>
  <c r="H904" i="8"/>
  <c r="J904" i="8"/>
  <c r="I904" i="8"/>
  <c r="K903" i="8"/>
  <c r="G903" i="8"/>
  <c r="H903" i="8"/>
  <c r="J903" i="8"/>
  <c r="I903" i="8"/>
  <c r="K902" i="8"/>
  <c r="G902" i="8"/>
  <c r="H902" i="8"/>
  <c r="J902" i="8"/>
  <c r="I902" i="8"/>
  <c r="K901" i="8"/>
  <c r="G901" i="8"/>
  <c r="H901" i="8"/>
  <c r="J901" i="8"/>
  <c r="I901" i="8"/>
  <c r="K900" i="8"/>
  <c r="G900" i="8"/>
  <c r="H900" i="8"/>
  <c r="J900" i="8"/>
  <c r="I900" i="8"/>
  <c r="K899" i="8"/>
  <c r="G899" i="8"/>
  <c r="H899" i="8"/>
  <c r="J899" i="8"/>
  <c r="I899" i="8"/>
  <c r="K898" i="8"/>
  <c r="G898" i="8"/>
  <c r="H898" i="8"/>
  <c r="J898" i="8"/>
  <c r="I898" i="8"/>
  <c r="K897" i="8"/>
  <c r="G897" i="8"/>
  <c r="H897" i="8"/>
  <c r="J897" i="8"/>
  <c r="I897" i="8"/>
  <c r="K896" i="8"/>
  <c r="G896" i="8"/>
  <c r="H896" i="8"/>
  <c r="J896" i="8"/>
  <c r="I896" i="8"/>
  <c r="K895" i="8"/>
  <c r="G895" i="8"/>
  <c r="H895" i="8"/>
  <c r="J895" i="8"/>
  <c r="I895" i="8"/>
  <c r="K894" i="8"/>
  <c r="G894" i="8"/>
  <c r="H894" i="8"/>
  <c r="J894" i="8"/>
  <c r="I894" i="8"/>
  <c r="K893" i="8"/>
  <c r="G893" i="8"/>
  <c r="H893" i="8"/>
  <c r="J893" i="8"/>
  <c r="I893" i="8"/>
  <c r="K892" i="8"/>
  <c r="G892" i="8"/>
  <c r="H892" i="8"/>
  <c r="J892" i="8"/>
  <c r="I892" i="8"/>
  <c r="K891" i="8"/>
  <c r="G891" i="8"/>
  <c r="H891" i="8"/>
  <c r="J891" i="8"/>
  <c r="I891" i="8"/>
  <c r="K890" i="8"/>
  <c r="G890" i="8"/>
  <c r="H890" i="8"/>
  <c r="J890" i="8"/>
  <c r="I890" i="8"/>
  <c r="K889" i="8"/>
  <c r="G889" i="8"/>
  <c r="H889" i="8"/>
  <c r="J889" i="8"/>
  <c r="I889" i="8"/>
  <c r="K888" i="8"/>
  <c r="G888" i="8"/>
  <c r="H888" i="8"/>
  <c r="J888" i="8"/>
  <c r="I888" i="8"/>
  <c r="K887" i="8"/>
  <c r="G887" i="8"/>
  <c r="H887" i="8"/>
  <c r="J887" i="8"/>
  <c r="I887" i="8"/>
  <c r="K886" i="8"/>
  <c r="G886" i="8"/>
  <c r="H886" i="8"/>
  <c r="J886" i="8"/>
  <c r="I886" i="8"/>
  <c r="K885" i="8"/>
  <c r="G885" i="8"/>
  <c r="H885" i="8"/>
  <c r="J885" i="8"/>
  <c r="I885" i="8"/>
  <c r="K884" i="8"/>
  <c r="G884" i="8"/>
  <c r="H884" i="8"/>
  <c r="J884" i="8"/>
  <c r="I884" i="8"/>
  <c r="K883" i="8"/>
  <c r="G883" i="8"/>
  <c r="H883" i="8"/>
  <c r="J883" i="8"/>
  <c r="I883" i="8"/>
  <c r="K882" i="8"/>
  <c r="G882" i="8"/>
  <c r="H882" i="8"/>
  <c r="J882" i="8"/>
  <c r="I882" i="8"/>
  <c r="K881" i="8"/>
  <c r="G881" i="8"/>
  <c r="H881" i="8"/>
  <c r="J881" i="8"/>
  <c r="I881" i="8"/>
  <c r="K880" i="8"/>
  <c r="G880" i="8"/>
  <c r="H880" i="8"/>
  <c r="J880" i="8"/>
  <c r="I880" i="8"/>
  <c r="K879" i="8"/>
  <c r="G879" i="8"/>
  <c r="H879" i="8"/>
  <c r="J879" i="8"/>
  <c r="I879" i="8"/>
  <c r="K878" i="8"/>
  <c r="G878" i="8"/>
  <c r="H878" i="8"/>
  <c r="J878" i="8"/>
  <c r="I878" i="8"/>
  <c r="K877" i="8"/>
  <c r="G877" i="8"/>
  <c r="H877" i="8"/>
  <c r="J877" i="8"/>
  <c r="I877" i="8"/>
  <c r="K876" i="8"/>
  <c r="G876" i="8"/>
  <c r="H876" i="8"/>
  <c r="J876" i="8"/>
  <c r="I876" i="8"/>
  <c r="K875" i="8"/>
  <c r="G875" i="8"/>
  <c r="H875" i="8"/>
  <c r="J875" i="8"/>
  <c r="I875" i="8"/>
  <c r="K874" i="8"/>
  <c r="G874" i="8"/>
  <c r="H874" i="8"/>
  <c r="J874" i="8"/>
  <c r="I874" i="8"/>
  <c r="K873" i="8"/>
  <c r="G873" i="8"/>
  <c r="H873" i="8"/>
  <c r="J873" i="8"/>
  <c r="I873" i="8"/>
  <c r="K872" i="8"/>
  <c r="G872" i="8"/>
  <c r="H872" i="8"/>
  <c r="J872" i="8"/>
  <c r="I872" i="8"/>
  <c r="K871" i="8"/>
  <c r="G871" i="8"/>
  <c r="H871" i="8"/>
  <c r="J871" i="8"/>
  <c r="I871" i="8"/>
  <c r="K870" i="8"/>
  <c r="G870" i="8"/>
  <c r="H870" i="8"/>
  <c r="J870" i="8"/>
  <c r="I870" i="8"/>
  <c r="K869" i="8"/>
  <c r="G869" i="8"/>
  <c r="H869" i="8"/>
  <c r="J869" i="8"/>
  <c r="I869" i="8"/>
  <c r="K868" i="8"/>
  <c r="G868" i="8"/>
  <c r="H868" i="8"/>
  <c r="J868" i="8"/>
  <c r="I868" i="8"/>
  <c r="K867" i="8"/>
  <c r="G867" i="8"/>
  <c r="H867" i="8"/>
  <c r="J867" i="8"/>
  <c r="I867" i="8"/>
  <c r="K866" i="8"/>
  <c r="G866" i="8"/>
  <c r="H866" i="8"/>
  <c r="J866" i="8"/>
  <c r="I866" i="8"/>
  <c r="K865" i="8"/>
  <c r="G865" i="8"/>
  <c r="H865" i="8"/>
  <c r="J865" i="8"/>
  <c r="I865" i="8"/>
  <c r="K864" i="8"/>
  <c r="G864" i="8"/>
  <c r="H864" i="8"/>
  <c r="J864" i="8"/>
  <c r="I864" i="8"/>
  <c r="K863" i="8"/>
  <c r="G863" i="8"/>
  <c r="H863" i="8"/>
  <c r="J863" i="8"/>
  <c r="I863" i="8"/>
  <c r="K862" i="8"/>
  <c r="G862" i="8"/>
  <c r="H862" i="8"/>
  <c r="J862" i="8"/>
  <c r="I862" i="8"/>
  <c r="K861" i="8"/>
  <c r="G861" i="8"/>
  <c r="H861" i="8"/>
  <c r="J861" i="8"/>
  <c r="I861" i="8"/>
  <c r="K860" i="8"/>
  <c r="G860" i="8"/>
  <c r="H860" i="8"/>
  <c r="J860" i="8"/>
  <c r="I860" i="8"/>
  <c r="K859" i="8"/>
  <c r="G859" i="8"/>
  <c r="H859" i="8"/>
  <c r="J859" i="8"/>
  <c r="I859" i="8"/>
  <c r="K858" i="8"/>
  <c r="G858" i="8"/>
  <c r="H858" i="8"/>
  <c r="J858" i="8"/>
  <c r="I858" i="8"/>
  <c r="K857" i="8"/>
  <c r="G857" i="8"/>
  <c r="H857" i="8"/>
  <c r="J857" i="8"/>
  <c r="I857" i="8"/>
  <c r="K856" i="8"/>
  <c r="G856" i="8"/>
  <c r="H856" i="8"/>
  <c r="J856" i="8"/>
  <c r="I856" i="8"/>
  <c r="K855" i="8"/>
  <c r="G855" i="8"/>
  <c r="H855" i="8"/>
  <c r="J855" i="8"/>
  <c r="I855" i="8"/>
  <c r="K854" i="8"/>
  <c r="G854" i="8"/>
  <c r="H854" i="8"/>
  <c r="J854" i="8"/>
  <c r="I854" i="8"/>
  <c r="K853" i="8"/>
  <c r="G853" i="8"/>
  <c r="H853" i="8"/>
  <c r="J853" i="8"/>
  <c r="I853" i="8"/>
  <c r="K852" i="8"/>
  <c r="G852" i="8"/>
  <c r="H852" i="8"/>
  <c r="J852" i="8"/>
  <c r="I852" i="8"/>
  <c r="K851" i="8"/>
  <c r="G851" i="8"/>
  <c r="H851" i="8"/>
  <c r="J851" i="8"/>
  <c r="I851" i="8"/>
  <c r="K850" i="8"/>
  <c r="G850" i="8"/>
  <c r="H850" i="8"/>
  <c r="J850" i="8"/>
  <c r="I850" i="8"/>
  <c r="K849" i="8"/>
  <c r="G849" i="8"/>
  <c r="H849" i="8"/>
  <c r="J849" i="8"/>
  <c r="I849" i="8"/>
  <c r="K848" i="8"/>
  <c r="G848" i="8"/>
  <c r="H848" i="8"/>
  <c r="J848" i="8"/>
  <c r="I848" i="8"/>
  <c r="K847" i="8"/>
  <c r="G847" i="8"/>
  <c r="H847" i="8"/>
  <c r="J847" i="8"/>
  <c r="I847" i="8"/>
  <c r="K846" i="8"/>
  <c r="G846" i="8"/>
  <c r="H846" i="8"/>
  <c r="J846" i="8"/>
  <c r="I846" i="8"/>
  <c r="K845" i="8"/>
  <c r="G845" i="8"/>
  <c r="H845" i="8"/>
  <c r="J845" i="8"/>
  <c r="I845" i="8"/>
  <c r="K844" i="8"/>
  <c r="G844" i="8"/>
  <c r="H844" i="8"/>
  <c r="J844" i="8"/>
  <c r="I844" i="8"/>
  <c r="K843" i="8"/>
  <c r="G843" i="8"/>
  <c r="H843" i="8"/>
  <c r="J843" i="8"/>
  <c r="I843" i="8"/>
  <c r="K842" i="8"/>
  <c r="G842" i="8"/>
  <c r="H842" i="8"/>
  <c r="J842" i="8"/>
  <c r="I842" i="8"/>
  <c r="K841" i="8"/>
  <c r="G841" i="8"/>
  <c r="H841" i="8"/>
  <c r="J841" i="8"/>
  <c r="I841" i="8"/>
  <c r="K840" i="8"/>
  <c r="G840" i="8"/>
  <c r="H840" i="8"/>
  <c r="J840" i="8"/>
  <c r="I840" i="8"/>
  <c r="K839" i="8"/>
  <c r="G839" i="8"/>
  <c r="H839" i="8"/>
  <c r="J839" i="8"/>
  <c r="I839" i="8"/>
  <c r="K838" i="8"/>
  <c r="G838" i="8"/>
  <c r="H838" i="8"/>
  <c r="J838" i="8"/>
  <c r="I838" i="8"/>
  <c r="K837" i="8"/>
  <c r="G837" i="8"/>
  <c r="H837" i="8"/>
  <c r="J837" i="8"/>
  <c r="I837" i="8"/>
  <c r="K836" i="8"/>
  <c r="G836" i="8"/>
  <c r="H836" i="8"/>
  <c r="J836" i="8"/>
  <c r="I836" i="8"/>
  <c r="K835" i="8"/>
  <c r="G835" i="8"/>
  <c r="H835" i="8"/>
  <c r="J835" i="8"/>
  <c r="I835" i="8"/>
  <c r="K834" i="8"/>
  <c r="G834" i="8"/>
  <c r="H834" i="8"/>
  <c r="J834" i="8"/>
  <c r="I834" i="8"/>
  <c r="K833" i="8"/>
  <c r="G833" i="8"/>
  <c r="H833" i="8"/>
  <c r="J833" i="8"/>
  <c r="I833" i="8"/>
  <c r="K832" i="8"/>
  <c r="G832" i="8"/>
  <c r="H832" i="8"/>
  <c r="J832" i="8"/>
  <c r="I832" i="8"/>
  <c r="K831" i="8"/>
  <c r="G831" i="8"/>
  <c r="H831" i="8"/>
  <c r="J831" i="8"/>
  <c r="I831" i="8"/>
  <c r="K830" i="8"/>
  <c r="G830" i="8"/>
  <c r="H830" i="8"/>
  <c r="J830" i="8"/>
  <c r="I830" i="8"/>
  <c r="K829" i="8"/>
  <c r="G829" i="8"/>
  <c r="H829" i="8"/>
  <c r="J829" i="8"/>
  <c r="I829" i="8"/>
  <c r="K828" i="8"/>
  <c r="G828" i="8"/>
  <c r="H828" i="8"/>
  <c r="J828" i="8"/>
  <c r="I828" i="8"/>
  <c r="K827" i="8"/>
  <c r="G827" i="8"/>
  <c r="H827" i="8"/>
  <c r="J827" i="8"/>
  <c r="I827" i="8"/>
  <c r="K826" i="8"/>
  <c r="G826" i="8"/>
  <c r="H826" i="8"/>
  <c r="J826" i="8"/>
  <c r="I826" i="8"/>
  <c r="K825" i="8"/>
  <c r="G825" i="8"/>
  <c r="H825" i="8"/>
  <c r="J825" i="8"/>
  <c r="I825" i="8"/>
  <c r="K824" i="8"/>
  <c r="G824" i="8"/>
  <c r="H824" i="8"/>
  <c r="J824" i="8"/>
  <c r="I824" i="8"/>
  <c r="K823" i="8"/>
  <c r="G823" i="8"/>
  <c r="H823" i="8"/>
  <c r="J823" i="8"/>
  <c r="I823" i="8"/>
  <c r="K822" i="8"/>
  <c r="G822" i="8"/>
  <c r="H822" i="8"/>
  <c r="J822" i="8"/>
  <c r="I822" i="8"/>
  <c r="K821" i="8"/>
  <c r="G821" i="8"/>
  <c r="H821" i="8"/>
  <c r="J821" i="8"/>
  <c r="I821" i="8"/>
  <c r="K820" i="8"/>
  <c r="G820" i="8"/>
  <c r="H820" i="8"/>
  <c r="J820" i="8"/>
  <c r="I820" i="8"/>
  <c r="K819" i="8"/>
  <c r="G819" i="8"/>
  <c r="H819" i="8"/>
  <c r="J819" i="8"/>
  <c r="I819" i="8"/>
  <c r="K818" i="8"/>
  <c r="G818" i="8"/>
  <c r="H818" i="8"/>
  <c r="J818" i="8"/>
  <c r="I818" i="8"/>
  <c r="K817" i="8"/>
  <c r="G817" i="8"/>
  <c r="H817" i="8"/>
  <c r="J817" i="8"/>
  <c r="I817" i="8"/>
  <c r="K816" i="8"/>
  <c r="G816" i="8"/>
  <c r="H816" i="8"/>
  <c r="J816" i="8"/>
  <c r="I816" i="8"/>
  <c r="K815" i="8"/>
  <c r="G815" i="8"/>
  <c r="H815" i="8"/>
  <c r="J815" i="8"/>
  <c r="I815" i="8"/>
  <c r="K814" i="8"/>
  <c r="G814" i="8"/>
  <c r="H814" i="8"/>
  <c r="J814" i="8"/>
  <c r="I814" i="8"/>
  <c r="K813" i="8"/>
  <c r="G813" i="8"/>
  <c r="H813" i="8"/>
  <c r="J813" i="8"/>
  <c r="I813" i="8"/>
  <c r="K812" i="8"/>
  <c r="G812" i="8"/>
  <c r="H812" i="8"/>
  <c r="J812" i="8"/>
  <c r="I812" i="8"/>
  <c r="K811" i="8"/>
  <c r="G811" i="8"/>
  <c r="H811" i="8"/>
  <c r="J811" i="8"/>
  <c r="I811" i="8"/>
  <c r="K810" i="8"/>
  <c r="G810" i="8"/>
  <c r="H810" i="8"/>
  <c r="J810" i="8"/>
  <c r="I810" i="8"/>
  <c r="K809" i="8"/>
  <c r="G809" i="8"/>
  <c r="H809" i="8"/>
  <c r="J809" i="8"/>
  <c r="I809" i="8"/>
  <c r="K808" i="8"/>
  <c r="G808" i="8"/>
  <c r="H808" i="8"/>
  <c r="J808" i="8"/>
  <c r="I808" i="8"/>
  <c r="K807" i="8"/>
  <c r="G807" i="8"/>
  <c r="H807" i="8"/>
  <c r="J807" i="8"/>
  <c r="I807" i="8"/>
  <c r="K806" i="8"/>
  <c r="G806" i="8"/>
  <c r="H806" i="8"/>
  <c r="J806" i="8"/>
  <c r="I806" i="8"/>
  <c r="K805" i="8"/>
  <c r="G805" i="8"/>
  <c r="H805" i="8"/>
  <c r="J805" i="8"/>
  <c r="I805" i="8"/>
  <c r="K804" i="8"/>
  <c r="G804" i="8"/>
  <c r="H804" i="8"/>
  <c r="J804" i="8"/>
  <c r="I804" i="8"/>
  <c r="K803" i="8"/>
  <c r="G803" i="8"/>
  <c r="H803" i="8"/>
  <c r="J803" i="8"/>
  <c r="I803" i="8"/>
  <c r="K802" i="8"/>
  <c r="G802" i="8"/>
  <c r="H802" i="8"/>
  <c r="J802" i="8"/>
  <c r="I802" i="8"/>
  <c r="K801" i="8"/>
  <c r="G801" i="8"/>
  <c r="H801" i="8"/>
  <c r="J801" i="8"/>
  <c r="I801" i="8"/>
  <c r="K800" i="8"/>
  <c r="G800" i="8"/>
  <c r="H800" i="8"/>
  <c r="J800" i="8"/>
  <c r="I800" i="8"/>
  <c r="K799" i="8"/>
  <c r="G799" i="8"/>
  <c r="H799" i="8"/>
  <c r="J799" i="8"/>
  <c r="I799" i="8"/>
  <c r="K798" i="8"/>
  <c r="G798" i="8"/>
  <c r="H798" i="8"/>
  <c r="J798" i="8"/>
  <c r="I798" i="8"/>
  <c r="K797" i="8"/>
  <c r="G797" i="8"/>
  <c r="H797" i="8"/>
  <c r="J797" i="8"/>
  <c r="I797" i="8"/>
  <c r="K796" i="8"/>
  <c r="G796" i="8"/>
  <c r="H796" i="8"/>
  <c r="J796" i="8"/>
  <c r="I796" i="8"/>
  <c r="K795" i="8"/>
  <c r="G795" i="8"/>
  <c r="H795" i="8"/>
  <c r="J795" i="8"/>
  <c r="I795" i="8"/>
  <c r="K794" i="8"/>
  <c r="G794" i="8"/>
  <c r="H794" i="8"/>
  <c r="J794" i="8"/>
  <c r="I794" i="8"/>
  <c r="K793" i="8"/>
  <c r="G793" i="8"/>
  <c r="H793" i="8"/>
  <c r="J793" i="8"/>
  <c r="I793" i="8"/>
  <c r="K792" i="8"/>
  <c r="G792" i="8"/>
  <c r="H792" i="8"/>
  <c r="J792" i="8"/>
  <c r="I792" i="8"/>
  <c r="K791" i="8"/>
  <c r="G791" i="8"/>
  <c r="H791" i="8"/>
  <c r="J791" i="8"/>
  <c r="I791" i="8"/>
  <c r="K790" i="8"/>
  <c r="G790" i="8"/>
  <c r="H790" i="8"/>
  <c r="J790" i="8"/>
  <c r="I790" i="8"/>
  <c r="K789" i="8"/>
  <c r="G789" i="8"/>
  <c r="H789" i="8"/>
  <c r="J789" i="8"/>
  <c r="I789" i="8"/>
  <c r="K788" i="8"/>
  <c r="G788" i="8"/>
  <c r="H788" i="8"/>
  <c r="J788" i="8"/>
  <c r="I788" i="8"/>
  <c r="K787" i="8"/>
  <c r="G787" i="8"/>
  <c r="H787" i="8"/>
  <c r="J787" i="8"/>
  <c r="I787" i="8"/>
  <c r="K786" i="8"/>
  <c r="G786" i="8"/>
  <c r="H786" i="8"/>
  <c r="J786" i="8"/>
  <c r="I786" i="8"/>
  <c r="K785" i="8"/>
  <c r="G785" i="8"/>
  <c r="H785" i="8"/>
  <c r="J785" i="8"/>
  <c r="I785" i="8"/>
  <c r="K784" i="8"/>
  <c r="G784" i="8"/>
  <c r="H784" i="8"/>
  <c r="J784" i="8"/>
  <c r="I784" i="8"/>
  <c r="K783" i="8"/>
  <c r="G783" i="8"/>
  <c r="H783" i="8"/>
  <c r="J783" i="8"/>
  <c r="I783" i="8"/>
  <c r="K782" i="8"/>
  <c r="G782" i="8"/>
  <c r="H782" i="8"/>
  <c r="J782" i="8"/>
  <c r="I782" i="8"/>
  <c r="K781" i="8"/>
  <c r="G781" i="8"/>
  <c r="H781" i="8"/>
  <c r="J781" i="8"/>
  <c r="I781" i="8"/>
  <c r="K780" i="8"/>
  <c r="G780" i="8"/>
  <c r="H780" i="8"/>
  <c r="J780" i="8"/>
  <c r="I780" i="8"/>
  <c r="K779" i="8"/>
  <c r="G779" i="8"/>
  <c r="H779" i="8"/>
  <c r="J779" i="8"/>
  <c r="I779" i="8"/>
  <c r="K778" i="8"/>
  <c r="G778" i="8"/>
  <c r="H778" i="8"/>
  <c r="J778" i="8"/>
  <c r="I778" i="8"/>
  <c r="K777" i="8"/>
  <c r="G777" i="8"/>
  <c r="H777" i="8"/>
  <c r="J777" i="8"/>
  <c r="I777" i="8"/>
  <c r="K776" i="8"/>
  <c r="G776" i="8"/>
  <c r="H776" i="8"/>
  <c r="J776" i="8"/>
  <c r="I776" i="8"/>
  <c r="K775" i="8"/>
  <c r="G775" i="8"/>
  <c r="H775" i="8"/>
  <c r="J775" i="8"/>
  <c r="I775" i="8"/>
  <c r="K774" i="8"/>
  <c r="G774" i="8"/>
  <c r="H774" i="8"/>
  <c r="J774" i="8"/>
  <c r="I774" i="8"/>
  <c r="K773" i="8"/>
  <c r="G773" i="8"/>
  <c r="H773" i="8"/>
  <c r="J773" i="8"/>
  <c r="I773" i="8"/>
  <c r="K772" i="8"/>
  <c r="G772" i="8"/>
  <c r="H772" i="8"/>
  <c r="J772" i="8"/>
  <c r="I772" i="8"/>
  <c r="K771" i="8"/>
  <c r="G771" i="8"/>
  <c r="H771" i="8"/>
  <c r="J771" i="8"/>
  <c r="I771" i="8"/>
  <c r="K770" i="8"/>
  <c r="G770" i="8"/>
  <c r="H770" i="8"/>
  <c r="J770" i="8"/>
  <c r="I770" i="8"/>
  <c r="K769" i="8"/>
  <c r="G769" i="8"/>
  <c r="H769" i="8"/>
  <c r="J769" i="8"/>
  <c r="I769" i="8"/>
  <c r="K768" i="8"/>
  <c r="G768" i="8"/>
  <c r="H768" i="8"/>
  <c r="J768" i="8"/>
  <c r="I768" i="8"/>
  <c r="K767" i="8"/>
  <c r="G767" i="8"/>
  <c r="H767" i="8"/>
  <c r="J767" i="8"/>
  <c r="I767" i="8"/>
  <c r="K766" i="8"/>
  <c r="G766" i="8"/>
  <c r="H766" i="8"/>
  <c r="J766" i="8"/>
  <c r="I766" i="8"/>
  <c r="K765" i="8"/>
  <c r="G765" i="8"/>
  <c r="H765" i="8"/>
  <c r="J765" i="8"/>
  <c r="I765" i="8"/>
  <c r="K764" i="8"/>
  <c r="G764" i="8"/>
  <c r="H764" i="8"/>
  <c r="J764" i="8"/>
  <c r="I764" i="8"/>
  <c r="K763" i="8"/>
  <c r="G763" i="8"/>
  <c r="H763" i="8"/>
  <c r="J763" i="8"/>
  <c r="I763" i="8"/>
  <c r="K762" i="8"/>
  <c r="G762" i="8"/>
  <c r="H762" i="8"/>
  <c r="J762" i="8"/>
  <c r="I762" i="8"/>
  <c r="K761" i="8"/>
  <c r="G761" i="8"/>
  <c r="H761" i="8"/>
  <c r="J761" i="8"/>
  <c r="I761" i="8"/>
  <c r="K760" i="8"/>
  <c r="G760" i="8"/>
  <c r="H760" i="8"/>
  <c r="J760" i="8"/>
  <c r="I760" i="8"/>
  <c r="K759" i="8"/>
  <c r="G759" i="8"/>
  <c r="H759" i="8"/>
  <c r="J759" i="8"/>
  <c r="I759" i="8"/>
  <c r="K758" i="8"/>
  <c r="G758" i="8"/>
  <c r="H758" i="8"/>
  <c r="J758" i="8"/>
  <c r="I758" i="8"/>
  <c r="K757" i="8"/>
  <c r="G757" i="8"/>
  <c r="H757" i="8"/>
  <c r="J757" i="8"/>
  <c r="I757" i="8"/>
  <c r="K756" i="8"/>
  <c r="G756" i="8"/>
  <c r="H756" i="8"/>
  <c r="J756" i="8"/>
  <c r="I756" i="8"/>
  <c r="K755" i="8"/>
  <c r="G755" i="8"/>
  <c r="H755" i="8"/>
  <c r="J755" i="8"/>
  <c r="I755" i="8"/>
  <c r="K754" i="8"/>
  <c r="G754" i="8"/>
  <c r="H754" i="8"/>
  <c r="J754" i="8"/>
  <c r="I754" i="8"/>
  <c r="K753" i="8"/>
  <c r="G753" i="8"/>
  <c r="H753" i="8"/>
  <c r="J753" i="8"/>
  <c r="I753" i="8"/>
  <c r="K752" i="8"/>
  <c r="G752" i="8"/>
  <c r="H752" i="8"/>
  <c r="J752" i="8"/>
  <c r="I752" i="8"/>
  <c r="K751" i="8"/>
  <c r="G751" i="8"/>
  <c r="H751" i="8"/>
  <c r="J751" i="8"/>
  <c r="I751" i="8"/>
  <c r="K750" i="8"/>
  <c r="G750" i="8"/>
  <c r="H750" i="8"/>
  <c r="J750" i="8"/>
  <c r="I750" i="8"/>
  <c r="K749" i="8"/>
  <c r="G749" i="8"/>
  <c r="H749" i="8"/>
  <c r="J749" i="8"/>
  <c r="I749" i="8"/>
  <c r="K748" i="8"/>
  <c r="G748" i="8"/>
  <c r="H748" i="8"/>
  <c r="J748" i="8"/>
  <c r="I748" i="8"/>
  <c r="K747" i="8"/>
  <c r="G747" i="8"/>
  <c r="H747" i="8"/>
  <c r="J747" i="8"/>
  <c r="I747" i="8"/>
  <c r="K746" i="8"/>
  <c r="G746" i="8"/>
  <c r="H746" i="8"/>
  <c r="J746" i="8"/>
  <c r="I746" i="8"/>
  <c r="K745" i="8"/>
  <c r="G745" i="8"/>
  <c r="H745" i="8"/>
  <c r="J745" i="8"/>
  <c r="I745" i="8"/>
  <c r="K744" i="8"/>
  <c r="G744" i="8"/>
  <c r="H744" i="8"/>
  <c r="J744" i="8"/>
  <c r="I744" i="8"/>
  <c r="K743" i="8"/>
  <c r="G743" i="8"/>
  <c r="H743" i="8"/>
  <c r="J743" i="8"/>
  <c r="I743" i="8"/>
  <c r="K742" i="8"/>
  <c r="G742" i="8"/>
  <c r="H742" i="8"/>
  <c r="J742" i="8"/>
  <c r="I742" i="8"/>
  <c r="K741" i="8"/>
  <c r="G741" i="8"/>
  <c r="H741" i="8"/>
  <c r="J741" i="8"/>
  <c r="I741" i="8"/>
  <c r="K740" i="8"/>
  <c r="G740" i="8"/>
  <c r="H740" i="8"/>
  <c r="J740" i="8"/>
  <c r="I740" i="8"/>
  <c r="K739" i="8"/>
  <c r="G739" i="8"/>
  <c r="H739" i="8"/>
  <c r="J739" i="8"/>
  <c r="I739" i="8"/>
  <c r="K738" i="8"/>
  <c r="G738" i="8"/>
  <c r="H738" i="8"/>
  <c r="J738" i="8"/>
  <c r="I738" i="8"/>
  <c r="K737" i="8"/>
  <c r="G737" i="8"/>
  <c r="H737" i="8"/>
  <c r="J737" i="8"/>
  <c r="I737" i="8"/>
  <c r="K736" i="8"/>
  <c r="G736" i="8"/>
  <c r="H736" i="8"/>
  <c r="J736" i="8"/>
  <c r="I736" i="8"/>
  <c r="K735" i="8"/>
  <c r="G735" i="8"/>
  <c r="H735" i="8"/>
  <c r="J735" i="8"/>
  <c r="I735" i="8"/>
  <c r="K734" i="8"/>
  <c r="G734" i="8"/>
  <c r="H734" i="8"/>
  <c r="J734" i="8"/>
  <c r="I734" i="8"/>
  <c r="K733" i="8"/>
  <c r="G733" i="8"/>
  <c r="H733" i="8"/>
  <c r="J733" i="8"/>
  <c r="I733" i="8"/>
  <c r="K732" i="8"/>
  <c r="G732" i="8"/>
  <c r="H732" i="8"/>
  <c r="J732" i="8"/>
  <c r="I732" i="8"/>
  <c r="K731" i="8"/>
  <c r="G731" i="8"/>
  <c r="H731" i="8"/>
  <c r="J731" i="8"/>
  <c r="I731" i="8"/>
  <c r="K730" i="8"/>
  <c r="G730" i="8"/>
  <c r="H730" i="8"/>
  <c r="J730" i="8"/>
  <c r="I730" i="8"/>
  <c r="K729" i="8"/>
  <c r="G729" i="8"/>
  <c r="H729" i="8"/>
  <c r="J729" i="8"/>
  <c r="I729" i="8"/>
  <c r="K728" i="8"/>
  <c r="G728" i="8"/>
  <c r="H728" i="8"/>
  <c r="J728" i="8"/>
  <c r="I728" i="8"/>
  <c r="K727" i="8"/>
  <c r="G727" i="8"/>
  <c r="H727" i="8"/>
  <c r="J727" i="8"/>
  <c r="I727" i="8"/>
  <c r="K726" i="8"/>
  <c r="G726" i="8"/>
  <c r="H726" i="8"/>
  <c r="J726" i="8"/>
  <c r="I726" i="8"/>
  <c r="K725" i="8"/>
  <c r="G725" i="8"/>
  <c r="H725" i="8"/>
  <c r="J725" i="8"/>
  <c r="I725" i="8"/>
  <c r="K724" i="8"/>
  <c r="G724" i="8"/>
  <c r="H724" i="8"/>
  <c r="J724" i="8"/>
  <c r="I724" i="8"/>
  <c r="K723" i="8"/>
  <c r="G723" i="8"/>
  <c r="H723" i="8"/>
  <c r="J723" i="8"/>
  <c r="I723" i="8"/>
  <c r="K722" i="8"/>
  <c r="G722" i="8"/>
  <c r="H722" i="8"/>
  <c r="J722" i="8"/>
  <c r="I722" i="8"/>
  <c r="K721" i="8"/>
  <c r="G721" i="8"/>
  <c r="H721" i="8"/>
  <c r="J721" i="8"/>
  <c r="I721" i="8"/>
  <c r="K720" i="8"/>
  <c r="G720" i="8"/>
  <c r="H720" i="8"/>
  <c r="J720" i="8"/>
  <c r="I720" i="8"/>
  <c r="K719" i="8"/>
  <c r="G719" i="8"/>
  <c r="H719" i="8"/>
  <c r="J719" i="8"/>
  <c r="I719" i="8"/>
  <c r="K718" i="8"/>
  <c r="G718" i="8"/>
  <c r="H718" i="8"/>
  <c r="J718" i="8"/>
  <c r="I718" i="8"/>
  <c r="K717" i="8"/>
  <c r="G717" i="8"/>
  <c r="H717" i="8"/>
  <c r="J717" i="8"/>
  <c r="I717" i="8"/>
  <c r="K716" i="8"/>
  <c r="G716" i="8"/>
  <c r="H716" i="8"/>
  <c r="J716" i="8"/>
  <c r="I716" i="8"/>
  <c r="K715" i="8"/>
  <c r="G715" i="8"/>
  <c r="H715" i="8"/>
  <c r="J715" i="8"/>
  <c r="I715" i="8"/>
  <c r="K714" i="8"/>
  <c r="G714" i="8"/>
  <c r="H714" i="8"/>
  <c r="J714" i="8"/>
  <c r="I714" i="8"/>
  <c r="K713" i="8"/>
  <c r="G713" i="8"/>
  <c r="H713" i="8"/>
  <c r="J713" i="8"/>
  <c r="I713" i="8"/>
  <c r="K712" i="8"/>
  <c r="G712" i="8"/>
  <c r="H712" i="8"/>
  <c r="J712" i="8"/>
  <c r="I712" i="8"/>
  <c r="K711" i="8"/>
  <c r="G711" i="8"/>
  <c r="H711" i="8"/>
  <c r="J711" i="8"/>
  <c r="I711" i="8"/>
  <c r="K710" i="8"/>
  <c r="G710" i="8"/>
  <c r="H710" i="8"/>
  <c r="J710" i="8"/>
  <c r="I710" i="8"/>
  <c r="K709" i="8"/>
  <c r="G709" i="8"/>
  <c r="H709" i="8"/>
  <c r="J709" i="8"/>
  <c r="I709" i="8"/>
  <c r="K708" i="8"/>
  <c r="G708" i="8"/>
  <c r="H708" i="8"/>
  <c r="J708" i="8"/>
  <c r="I708" i="8"/>
  <c r="K707" i="8"/>
  <c r="G707" i="8"/>
  <c r="H707" i="8"/>
  <c r="J707" i="8"/>
  <c r="I707" i="8"/>
  <c r="K706" i="8"/>
  <c r="G706" i="8"/>
  <c r="H706" i="8"/>
  <c r="J706" i="8"/>
  <c r="I706" i="8"/>
  <c r="K705" i="8"/>
  <c r="G705" i="8"/>
  <c r="H705" i="8"/>
  <c r="J705" i="8"/>
  <c r="I705" i="8"/>
  <c r="K704" i="8"/>
  <c r="G704" i="8"/>
  <c r="H704" i="8"/>
  <c r="J704" i="8"/>
  <c r="I704" i="8"/>
  <c r="K703" i="8"/>
  <c r="G703" i="8"/>
  <c r="H703" i="8"/>
  <c r="J703" i="8"/>
  <c r="I703" i="8"/>
  <c r="K702" i="8"/>
  <c r="G702" i="8"/>
  <c r="H702" i="8"/>
  <c r="J702" i="8"/>
  <c r="I702" i="8"/>
  <c r="K701" i="8"/>
  <c r="G701" i="8"/>
  <c r="H701" i="8"/>
  <c r="J701" i="8"/>
  <c r="I701" i="8"/>
  <c r="K700" i="8"/>
  <c r="G700" i="8"/>
  <c r="H700" i="8"/>
  <c r="J700" i="8"/>
  <c r="I700" i="8"/>
  <c r="K699" i="8"/>
  <c r="G699" i="8"/>
  <c r="H699" i="8"/>
  <c r="J699" i="8"/>
  <c r="I699" i="8"/>
  <c r="K698" i="8"/>
  <c r="G698" i="8"/>
  <c r="H698" i="8"/>
  <c r="J698" i="8"/>
  <c r="I698" i="8"/>
  <c r="K697" i="8"/>
  <c r="G697" i="8"/>
  <c r="H697" i="8"/>
  <c r="J697" i="8"/>
  <c r="I697" i="8"/>
  <c r="K696" i="8"/>
  <c r="G696" i="8"/>
  <c r="H696" i="8"/>
  <c r="J696" i="8"/>
  <c r="I696" i="8"/>
  <c r="K695" i="8"/>
  <c r="G695" i="8"/>
  <c r="H695" i="8"/>
  <c r="J695" i="8"/>
  <c r="I695" i="8"/>
  <c r="K694" i="8"/>
  <c r="G694" i="8"/>
  <c r="H694" i="8"/>
  <c r="J694" i="8"/>
  <c r="I694" i="8"/>
  <c r="K693" i="8"/>
  <c r="G693" i="8"/>
  <c r="H693" i="8"/>
  <c r="J693" i="8"/>
  <c r="I693" i="8"/>
  <c r="K692" i="8"/>
  <c r="G692" i="8"/>
  <c r="H692" i="8"/>
  <c r="J692" i="8"/>
  <c r="I692" i="8"/>
  <c r="K691" i="8"/>
  <c r="G691" i="8"/>
  <c r="H691" i="8"/>
  <c r="J691" i="8"/>
  <c r="I691" i="8"/>
  <c r="K690" i="8"/>
  <c r="G690" i="8"/>
  <c r="H690" i="8"/>
  <c r="J690" i="8"/>
  <c r="I690" i="8"/>
  <c r="K689" i="8"/>
  <c r="G689" i="8"/>
  <c r="H689" i="8"/>
  <c r="J689" i="8"/>
  <c r="I689" i="8"/>
  <c r="K688" i="8"/>
  <c r="G688" i="8"/>
  <c r="H688" i="8"/>
  <c r="J688" i="8"/>
  <c r="I688" i="8"/>
  <c r="K687" i="8"/>
  <c r="G687" i="8"/>
  <c r="H687" i="8"/>
  <c r="J687" i="8"/>
  <c r="I687" i="8"/>
  <c r="K686" i="8"/>
  <c r="G686" i="8"/>
  <c r="H686" i="8"/>
  <c r="J686" i="8"/>
  <c r="I686" i="8"/>
  <c r="K685" i="8"/>
  <c r="G685" i="8"/>
  <c r="H685" i="8"/>
  <c r="J685" i="8"/>
  <c r="I685" i="8"/>
  <c r="K684" i="8"/>
  <c r="G684" i="8"/>
  <c r="H684" i="8"/>
  <c r="J684" i="8"/>
  <c r="I684" i="8"/>
  <c r="K683" i="8"/>
  <c r="G683" i="8"/>
  <c r="H683" i="8"/>
  <c r="J683" i="8"/>
  <c r="I683" i="8"/>
  <c r="K682" i="8"/>
  <c r="G682" i="8"/>
  <c r="H682" i="8"/>
  <c r="J682" i="8"/>
  <c r="I682" i="8"/>
  <c r="K681" i="8"/>
  <c r="G681" i="8"/>
  <c r="H681" i="8"/>
  <c r="J681" i="8"/>
  <c r="I681" i="8"/>
  <c r="K680" i="8"/>
  <c r="G680" i="8"/>
  <c r="H680" i="8"/>
  <c r="J680" i="8"/>
  <c r="I680" i="8"/>
  <c r="K679" i="8"/>
  <c r="G679" i="8"/>
  <c r="H679" i="8"/>
  <c r="J679" i="8"/>
  <c r="I679" i="8"/>
  <c r="K678" i="8"/>
  <c r="G678" i="8"/>
  <c r="H678" i="8"/>
  <c r="J678" i="8"/>
  <c r="I678" i="8"/>
  <c r="K677" i="8"/>
  <c r="G677" i="8"/>
  <c r="H677" i="8"/>
  <c r="J677" i="8"/>
  <c r="I677" i="8"/>
  <c r="K676" i="8"/>
  <c r="G676" i="8"/>
  <c r="H676" i="8"/>
  <c r="J676" i="8"/>
  <c r="I676" i="8"/>
  <c r="K675" i="8"/>
  <c r="G675" i="8"/>
  <c r="H675" i="8"/>
  <c r="J675" i="8"/>
  <c r="I675" i="8"/>
  <c r="K674" i="8"/>
  <c r="G674" i="8"/>
  <c r="H674" i="8"/>
  <c r="J674" i="8"/>
  <c r="I674" i="8"/>
  <c r="K673" i="8"/>
  <c r="G673" i="8"/>
  <c r="H673" i="8"/>
  <c r="J673" i="8"/>
  <c r="I673" i="8"/>
  <c r="K672" i="8"/>
  <c r="G672" i="8"/>
  <c r="H672" i="8"/>
  <c r="J672" i="8"/>
  <c r="I672" i="8"/>
  <c r="K671" i="8"/>
  <c r="G671" i="8"/>
  <c r="H671" i="8"/>
  <c r="J671" i="8"/>
  <c r="I671" i="8"/>
  <c r="K670" i="8"/>
  <c r="G670" i="8"/>
  <c r="H670" i="8"/>
  <c r="J670" i="8"/>
  <c r="I670" i="8"/>
  <c r="K669" i="8"/>
  <c r="G669" i="8"/>
  <c r="H669" i="8"/>
  <c r="J669" i="8"/>
  <c r="I669" i="8"/>
  <c r="K668" i="8"/>
  <c r="G668" i="8"/>
  <c r="H668" i="8"/>
  <c r="J668" i="8"/>
  <c r="I668" i="8"/>
  <c r="K667" i="8"/>
  <c r="G667" i="8"/>
  <c r="H667" i="8"/>
  <c r="J667" i="8"/>
  <c r="I667" i="8"/>
  <c r="K666" i="8"/>
  <c r="G666" i="8"/>
  <c r="H666" i="8"/>
  <c r="J666" i="8"/>
  <c r="I666" i="8"/>
  <c r="K665" i="8"/>
  <c r="G665" i="8"/>
  <c r="H665" i="8"/>
  <c r="J665" i="8"/>
  <c r="I665" i="8"/>
  <c r="K664" i="8"/>
  <c r="G664" i="8"/>
  <c r="H664" i="8"/>
  <c r="J664" i="8"/>
  <c r="I664" i="8"/>
  <c r="K663" i="8"/>
  <c r="G663" i="8"/>
  <c r="H663" i="8"/>
  <c r="J663" i="8"/>
  <c r="I663" i="8"/>
  <c r="K662" i="8"/>
  <c r="G662" i="8"/>
  <c r="H662" i="8"/>
  <c r="J662" i="8"/>
  <c r="I662" i="8"/>
  <c r="K661" i="8"/>
  <c r="G661" i="8"/>
  <c r="H661" i="8"/>
  <c r="J661" i="8"/>
  <c r="I661" i="8"/>
  <c r="K660" i="8"/>
  <c r="G660" i="8"/>
  <c r="H660" i="8"/>
  <c r="J660" i="8"/>
  <c r="I660" i="8"/>
  <c r="K659" i="8"/>
  <c r="G659" i="8"/>
  <c r="H659" i="8"/>
  <c r="J659" i="8"/>
  <c r="I659" i="8"/>
  <c r="K658" i="8"/>
  <c r="G658" i="8"/>
  <c r="H658" i="8"/>
  <c r="J658" i="8"/>
  <c r="I658" i="8"/>
  <c r="K657" i="8"/>
  <c r="G657" i="8"/>
  <c r="H657" i="8"/>
  <c r="J657" i="8"/>
  <c r="I657" i="8"/>
  <c r="K656" i="8"/>
  <c r="G656" i="8"/>
  <c r="H656" i="8"/>
  <c r="J656" i="8"/>
  <c r="I656" i="8"/>
  <c r="K655" i="8"/>
  <c r="G655" i="8"/>
  <c r="H655" i="8"/>
  <c r="J655" i="8"/>
  <c r="I655" i="8"/>
  <c r="K654" i="8"/>
  <c r="G654" i="8"/>
  <c r="H654" i="8"/>
  <c r="J654" i="8"/>
  <c r="I654" i="8"/>
  <c r="K653" i="8"/>
  <c r="G653" i="8"/>
  <c r="H653" i="8"/>
  <c r="J653" i="8"/>
  <c r="I653" i="8"/>
  <c r="K652" i="8"/>
  <c r="G652" i="8"/>
  <c r="H652" i="8"/>
  <c r="J652" i="8"/>
  <c r="I652" i="8"/>
  <c r="K651" i="8"/>
  <c r="G651" i="8"/>
  <c r="H651" i="8"/>
  <c r="J651" i="8"/>
  <c r="I651" i="8"/>
  <c r="K650" i="8"/>
  <c r="G650" i="8"/>
  <c r="H650" i="8"/>
  <c r="J650" i="8"/>
  <c r="I650" i="8"/>
  <c r="K649" i="8"/>
  <c r="G649" i="8"/>
  <c r="H649" i="8"/>
  <c r="J649" i="8"/>
  <c r="I649" i="8"/>
  <c r="K648" i="8"/>
  <c r="G648" i="8"/>
  <c r="H648" i="8"/>
  <c r="J648" i="8"/>
  <c r="I648" i="8"/>
  <c r="K647" i="8"/>
  <c r="G647" i="8"/>
  <c r="H647" i="8"/>
  <c r="J647" i="8"/>
  <c r="I647" i="8"/>
  <c r="K646" i="8"/>
  <c r="G646" i="8"/>
  <c r="H646" i="8"/>
  <c r="J646" i="8"/>
  <c r="I646" i="8"/>
  <c r="K645" i="8"/>
  <c r="G645" i="8"/>
  <c r="H645" i="8"/>
  <c r="J645" i="8"/>
  <c r="I645" i="8"/>
  <c r="K644" i="8"/>
  <c r="G644" i="8"/>
  <c r="H644" i="8"/>
  <c r="J644" i="8"/>
  <c r="I644" i="8"/>
  <c r="K643" i="8"/>
  <c r="G643" i="8"/>
  <c r="H643" i="8"/>
  <c r="J643" i="8"/>
  <c r="I643" i="8"/>
  <c r="K642" i="8"/>
  <c r="G642" i="8"/>
  <c r="H642" i="8"/>
  <c r="J642" i="8"/>
  <c r="I642" i="8"/>
  <c r="K641" i="8"/>
  <c r="G641" i="8"/>
  <c r="H641" i="8"/>
  <c r="J641" i="8"/>
  <c r="I641" i="8"/>
  <c r="K640" i="8"/>
  <c r="G640" i="8"/>
  <c r="H640" i="8"/>
  <c r="J640" i="8"/>
  <c r="I640" i="8"/>
  <c r="K639" i="8"/>
  <c r="G639" i="8"/>
  <c r="H639" i="8"/>
  <c r="J639" i="8"/>
  <c r="I639" i="8"/>
  <c r="K638" i="8"/>
  <c r="G638" i="8"/>
  <c r="H638" i="8"/>
  <c r="J638" i="8"/>
  <c r="I638" i="8"/>
  <c r="K637" i="8"/>
  <c r="G637" i="8"/>
  <c r="H637" i="8"/>
  <c r="J637" i="8"/>
  <c r="I637" i="8"/>
  <c r="K636" i="8"/>
  <c r="G636" i="8"/>
  <c r="H636" i="8"/>
  <c r="J636" i="8"/>
  <c r="I636" i="8"/>
  <c r="K635" i="8"/>
  <c r="G635" i="8"/>
  <c r="H635" i="8"/>
  <c r="J635" i="8"/>
  <c r="I635" i="8"/>
  <c r="K634" i="8"/>
  <c r="G634" i="8"/>
  <c r="H634" i="8"/>
  <c r="J634" i="8"/>
  <c r="I634" i="8"/>
  <c r="K633" i="8"/>
  <c r="G633" i="8"/>
  <c r="H633" i="8"/>
  <c r="J633" i="8"/>
  <c r="I633" i="8"/>
  <c r="K632" i="8"/>
  <c r="G632" i="8"/>
  <c r="H632" i="8"/>
  <c r="J632" i="8"/>
  <c r="I632" i="8"/>
  <c r="K631" i="8"/>
  <c r="G631" i="8"/>
  <c r="H631" i="8"/>
  <c r="J631" i="8"/>
  <c r="I631" i="8"/>
  <c r="K630" i="8"/>
  <c r="G630" i="8"/>
  <c r="H630" i="8"/>
  <c r="J630" i="8"/>
  <c r="I630" i="8"/>
  <c r="K629" i="8"/>
  <c r="G629" i="8"/>
  <c r="H629" i="8"/>
  <c r="J629" i="8"/>
  <c r="I629" i="8"/>
  <c r="K628" i="8"/>
  <c r="G628" i="8"/>
  <c r="H628" i="8"/>
  <c r="J628" i="8"/>
  <c r="I628" i="8"/>
  <c r="K627" i="8"/>
  <c r="G627" i="8"/>
  <c r="H627" i="8"/>
  <c r="J627" i="8"/>
  <c r="I627" i="8"/>
  <c r="K626" i="8"/>
  <c r="G626" i="8"/>
  <c r="H626" i="8"/>
  <c r="J626" i="8"/>
  <c r="I626" i="8"/>
  <c r="K625" i="8"/>
  <c r="G625" i="8"/>
  <c r="H625" i="8"/>
  <c r="J625" i="8"/>
  <c r="I625" i="8"/>
  <c r="K624" i="8"/>
  <c r="G624" i="8"/>
  <c r="H624" i="8"/>
  <c r="J624" i="8"/>
  <c r="I624" i="8"/>
  <c r="K623" i="8"/>
  <c r="G623" i="8"/>
  <c r="H623" i="8"/>
  <c r="J623" i="8"/>
  <c r="I623" i="8"/>
  <c r="K622" i="8"/>
  <c r="G622" i="8"/>
  <c r="H622" i="8"/>
  <c r="J622" i="8"/>
  <c r="I622" i="8"/>
  <c r="K621" i="8"/>
  <c r="G621" i="8"/>
  <c r="H621" i="8"/>
  <c r="J621" i="8"/>
  <c r="I621" i="8"/>
  <c r="K620" i="8"/>
  <c r="G620" i="8"/>
  <c r="H620" i="8"/>
  <c r="J620" i="8"/>
  <c r="I620" i="8"/>
  <c r="K619" i="8"/>
  <c r="G619" i="8"/>
  <c r="H619" i="8"/>
  <c r="J619" i="8"/>
  <c r="I619" i="8"/>
  <c r="K618" i="8"/>
  <c r="G618" i="8"/>
  <c r="H618" i="8"/>
  <c r="J618" i="8"/>
  <c r="I618" i="8"/>
  <c r="K617" i="8"/>
  <c r="G617" i="8"/>
  <c r="H617" i="8"/>
  <c r="J617" i="8"/>
  <c r="I617" i="8"/>
  <c r="K616" i="8"/>
  <c r="G616" i="8"/>
  <c r="H616" i="8"/>
  <c r="J616" i="8"/>
  <c r="I616" i="8"/>
  <c r="K615" i="8"/>
  <c r="G615" i="8"/>
  <c r="H615" i="8"/>
  <c r="J615" i="8"/>
  <c r="I615" i="8"/>
  <c r="K614" i="8"/>
  <c r="G614" i="8"/>
  <c r="H614" i="8"/>
  <c r="J614" i="8"/>
  <c r="I614" i="8"/>
  <c r="K613" i="8"/>
  <c r="G613" i="8"/>
  <c r="H613" i="8"/>
  <c r="J613" i="8"/>
  <c r="I613" i="8"/>
  <c r="K612" i="8"/>
  <c r="G612" i="8"/>
  <c r="H612" i="8"/>
  <c r="J612" i="8"/>
  <c r="I612" i="8"/>
  <c r="K611" i="8"/>
  <c r="G611" i="8"/>
  <c r="H611" i="8"/>
  <c r="J611" i="8"/>
  <c r="I611" i="8"/>
  <c r="K610" i="8"/>
  <c r="G610" i="8"/>
  <c r="H610" i="8"/>
  <c r="J610" i="8"/>
  <c r="I610" i="8"/>
  <c r="K609" i="8"/>
  <c r="G609" i="8"/>
  <c r="H609" i="8"/>
  <c r="J609" i="8"/>
  <c r="I609" i="8"/>
  <c r="K608" i="8"/>
  <c r="G608" i="8"/>
  <c r="H608" i="8"/>
  <c r="J608" i="8"/>
  <c r="I608" i="8"/>
  <c r="K607" i="8"/>
  <c r="G607" i="8"/>
  <c r="H607" i="8"/>
  <c r="J607" i="8"/>
  <c r="I607" i="8"/>
  <c r="K606" i="8"/>
  <c r="G606" i="8"/>
  <c r="H606" i="8"/>
  <c r="J606" i="8"/>
  <c r="I606" i="8"/>
  <c r="K605" i="8"/>
  <c r="G605" i="8"/>
  <c r="H605" i="8"/>
  <c r="J605" i="8"/>
  <c r="I605" i="8"/>
  <c r="K604" i="8"/>
  <c r="G604" i="8"/>
  <c r="H604" i="8"/>
  <c r="J604" i="8"/>
  <c r="I604" i="8"/>
  <c r="K603" i="8"/>
  <c r="G603" i="8"/>
  <c r="H603" i="8"/>
  <c r="J603" i="8"/>
  <c r="I603" i="8"/>
  <c r="K602" i="8"/>
  <c r="G602" i="8"/>
  <c r="H602" i="8"/>
  <c r="J602" i="8"/>
  <c r="I602" i="8"/>
  <c r="K601" i="8"/>
  <c r="G601" i="8"/>
  <c r="H601" i="8"/>
  <c r="J601" i="8"/>
  <c r="I601" i="8"/>
  <c r="K600" i="8"/>
  <c r="G600" i="8"/>
  <c r="H600" i="8"/>
  <c r="J600" i="8"/>
  <c r="I600" i="8"/>
  <c r="K599" i="8"/>
  <c r="G599" i="8"/>
  <c r="H599" i="8"/>
  <c r="J599" i="8"/>
  <c r="I599" i="8"/>
  <c r="K598" i="8"/>
  <c r="G598" i="8"/>
  <c r="H598" i="8"/>
  <c r="J598" i="8"/>
  <c r="I598" i="8"/>
  <c r="K597" i="8"/>
  <c r="G597" i="8"/>
  <c r="H597" i="8"/>
  <c r="J597" i="8"/>
  <c r="I597" i="8"/>
  <c r="K596" i="8"/>
  <c r="G596" i="8"/>
  <c r="H596" i="8"/>
  <c r="J596" i="8"/>
  <c r="I596" i="8"/>
  <c r="K595" i="8"/>
  <c r="G595" i="8"/>
  <c r="H595" i="8"/>
  <c r="J595" i="8"/>
  <c r="I595" i="8"/>
  <c r="K594" i="8"/>
  <c r="G594" i="8"/>
  <c r="H594" i="8"/>
  <c r="J594" i="8"/>
  <c r="I594" i="8"/>
  <c r="K593" i="8"/>
  <c r="G593" i="8"/>
  <c r="H593" i="8"/>
  <c r="J593" i="8"/>
  <c r="I593" i="8"/>
  <c r="K592" i="8"/>
  <c r="G592" i="8"/>
  <c r="H592" i="8"/>
  <c r="J592" i="8"/>
  <c r="I592" i="8"/>
  <c r="K591" i="8"/>
  <c r="G591" i="8"/>
  <c r="H591" i="8"/>
  <c r="J591" i="8"/>
  <c r="I591" i="8"/>
  <c r="K590" i="8"/>
  <c r="G590" i="8"/>
  <c r="H590" i="8"/>
  <c r="J590" i="8"/>
  <c r="I590" i="8"/>
  <c r="K589" i="8"/>
  <c r="G589" i="8"/>
  <c r="H589" i="8"/>
  <c r="J589" i="8"/>
  <c r="I589" i="8"/>
  <c r="K588" i="8"/>
  <c r="G588" i="8"/>
  <c r="H588" i="8"/>
  <c r="J588" i="8"/>
  <c r="I588" i="8"/>
  <c r="K587" i="8"/>
  <c r="G587" i="8"/>
  <c r="H587" i="8"/>
  <c r="J587" i="8"/>
  <c r="I587" i="8"/>
  <c r="K586" i="8"/>
  <c r="G586" i="8"/>
  <c r="H586" i="8"/>
  <c r="J586" i="8"/>
  <c r="I586" i="8"/>
  <c r="K585" i="8"/>
  <c r="G585" i="8"/>
  <c r="H585" i="8"/>
  <c r="J585" i="8"/>
  <c r="I585" i="8"/>
  <c r="K584" i="8"/>
  <c r="G584" i="8"/>
  <c r="H584" i="8"/>
  <c r="J584" i="8"/>
  <c r="I584" i="8"/>
  <c r="K583" i="8"/>
  <c r="G583" i="8"/>
  <c r="H583" i="8"/>
  <c r="J583" i="8"/>
  <c r="I583" i="8"/>
  <c r="K582" i="8"/>
  <c r="G582" i="8"/>
  <c r="H582" i="8"/>
  <c r="J582" i="8"/>
  <c r="I582" i="8"/>
  <c r="K581" i="8"/>
  <c r="G581" i="8"/>
  <c r="H581" i="8"/>
  <c r="J581" i="8"/>
  <c r="I581" i="8"/>
  <c r="K580" i="8"/>
  <c r="G580" i="8"/>
  <c r="H580" i="8"/>
  <c r="J580" i="8"/>
  <c r="I580" i="8"/>
  <c r="K579" i="8"/>
  <c r="G579" i="8"/>
  <c r="H579" i="8"/>
  <c r="J579" i="8"/>
  <c r="I579" i="8"/>
  <c r="K578" i="8"/>
  <c r="G578" i="8"/>
  <c r="H578" i="8"/>
  <c r="J578" i="8"/>
  <c r="I578" i="8"/>
  <c r="K577" i="8"/>
  <c r="G577" i="8"/>
  <c r="H577" i="8"/>
  <c r="J577" i="8"/>
  <c r="I577" i="8"/>
  <c r="K576" i="8"/>
  <c r="G576" i="8"/>
  <c r="H576" i="8"/>
  <c r="J576" i="8"/>
  <c r="I576" i="8"/>
  <c r="K575" i="8"/>
  <c r="G575" i="8"/>
  <c r="H575" i="8"/>
  <c r="J575" i="8"/>
  <c r="I575" i="8"/>
  <c r="K574" i="8"/>
  <c r="G574" i="8"/>
  <c r="H574" i="8"/>
  <c r="J574" i="8"/>
  <c r="I574" i="8"/>
  <c r="K573" i="8"/>
  <c r="G573" i="8"/>
  <c r="H573" i="8"/>
  <c r="J573" i="8"/>
  <c r="I573" i="8"/>
  <c r="K572" i="8"/>
  <c r="G572" i="8"/>
  <c r="H572" i="8"/>
  <c r="J572" i="8"/>
  <c r="I572" i="8"/>
  <c r="K571" i="8"/>
  <c r="G571" i="8"/>
  <c r="H571" i="8"/>
  <c r="J571" i="8"/>
  <c r="I571" i="8"/>
  <c r="K570" i="8"/>
  <c r="G570" i="8"/>
  <c r="H570" i="8"/>
  <c r="J570" i="8"/>
  <c r="I570" i="8"/>
  <c r="K569" i="8"/>
  <c r="G569" i="8"/>
  <c r="H569" i="8"/>
  <c r="J569" i="8"/>
  <c r="I569" i="8"/>
  <c r="K568" i="8"/>
  <c r="G568" i="8"/>
  <c r="H568" i="8"/>
  <c r="J568" i="8"/>
  <c r="I568" i="8"/>
  <c r="K567" i="8"/>
  <c r="G567" i="8"/>
  <c r="H567" i="8"/>
  <c r="J567" i="8"/>
  <c r="I567" i="8"/>
  <c r="K566" i="8"/>
  <c r="G566" i="8"/>
  <c r="H566" i="8"/>
  <c r="J566" i="8"/>
  <c r="I566" i="8"/>
  <c r="K565" i="8"/>
  <c r="G565" i="8"/>
  <c r="H565" i="8"/>
  <c r="J565" i="8"/>
  <c r="I565" i="8"/>
  <c r="K564" i="8"/>
  <c r="G564" i="8"/>
  <c r="H564" i="8"/>
  <c r="J564" i="8"/>
  <c r="I564" i="8"/>
  <c r="K563" i="8"/>
  <c r="G563" i="8"/>
  <c r="H563" i="8"/>
  <c r="J563" i="8"/>
  <c r="I563" i="8"/>
  <c r="K562" i="8"/>
  <c r="G562" i="8"/>
  <c r="H562" i="8"/>
  <c r="J562" i="8"/>
  <c r="I562" i="8"/>
  <c r="K561" i="8"/>
  <c r="G561" i="8"/>
  <c r="H561" i="8"/>
  <c r="J561" i="8"/>
  <c r="I561" i="8"/>
  <c r="K560" i="8"/>
  <c r="G560" i="8"/>
  <c r="H560" i="8"/>
  <c r="J560" i="8"/>
  <c r="I560" i="8"/>
  <c r="K559" i="8"/>
  <c r="G559" i="8"/>
  <c r="H559" i="8"/>
  <c r="J559" i="8"/>
  <c r="I559" i="8"/>
  <c r="K558" i="8"/>
  <c r="G558" i="8"/>
  <c r="H558" i="8"/>
  <c r="J558" i="8"/>
  <c r="I558" i="8"/>
  <c r="K557" i="8"/>
  <c r="G557" i="8"/>
  <c r="H557" i="8"/>
  <c r="J557" i="8"/>
  <c r="I557" i="8"/>
  <c r="K556" i="8"/>
  <c r="G556" i="8"/>
  <c r="H556" i="8"/>
  <c r="J556" i="8"/>
  <c r="I556" i="8"/>
  <c r="K555" i="8"/>
  <c r="G555" i="8"/>
  <c r="H555" i="8"/>
  <c r="J555" i="8"/>
  <c r="I555" i="8"/>
  <c r="K554" i="8"/>
  <c r="G554" i="8"/>
  <c r="H554" i="8"/>
  <c r="J554" i="8"/>
  <c r="I554" i="8"/>
  <c r="K553" i="8"/>
  <c r="G553" i="8"/>
  <c r="H553" i="8"/>
  <c r="J553" i="8"/>
  <c r="I553" i="8"/>
  <c r="K552" i="8"/>
  <c r="G552" i="8"/>
  <c r="H552" i="8"/>
  <c r="J552" i="8"/>
  <c r="I552" i="8"/>
  <c r="K551" i="8"/>
  <c r="G551" i="8"/>
  <c r="H551" i="8"/>
  <c r="J551" i="8"/>
  <c r="I551" i="8"/>
  <c r="K550" i="8"/>
  <c r="G550" i="8"/>
  <c r="H550" i="8"/>
  <c r="J550" i="8"/>
  <c r="I550" i="8"/>
  <c r="K549" i="8"/>
  <c r="G549" i="8"/>
  <c r="H549" i="8"/>
  <c r="J549" i="8"/>
  <c r="I549" i="8"/>
  <c r="K548" i="8"/>
  <c r="G548" i="8"/>
  <c r="H548" i="8"/>
  <c r="J548" i="8"/>
  <c r="I548" i="8"/>
  <c r="K547" i="8"/>
  <c r="G547" i="8"/>
  <c r="H547" i="8"/>
  <c r="J547" i="8"/>
  <c r="I547" i="8"/>
  <c r="K546" i="8"/>
  <c r="G546" i="8"/>
  <c r="H546" i="8"/>
  <c r="J546" i="8"/>
  <c r="I546" i="8"/>
  <c r="K545" i="8"/>
  <c r="G545" i="8"/>
  <c r="H545" i="8"/>
  <c r="J545" i="8"/>
  <c r="I545" i="8"/>
  <c r="K544" i="8"/>
  <c r="G544" i="8"/>
  <c r="H544" i="8"/>
  <c r="J544" i="8"/>
  <c r="I544" i="8"/>
  <c r="K543" i="8"/>
  <c r="G543" i="8"/>
  <c r="H543" i="8"/>
  <c r="J543" i="8"/>
  <c r="I543" i="8"/>
  <c r="K542" i="8"/>
  <c r="G542" i="8"/>
  <c r="H542" i="8"/>
  <c r="J542" i="8"/>
  <c r="I542" i="8"/>
  <c r="K541" i="8"/>
  <c r="G541" i="8"/>
  <c r="H541" i="8"/>
  <c r="J541" i="8"/>
  <c r="I541" i="8"/>
  <c r="K540" i="8"/>
  <c r="G540" i="8"/>
  <c r="H540" i="8"/>
  <c r="J540" i="8"/>
  <c r="I540" i="8"/>
  <c r="K539" i="8"/>
  <c r="G539" i="8"/>
  <c r="H539" i="8"/>
  <c r="J539" i="8"/>
  <c r="I539" i="8"/>
  <c r="K538" i="8"/>
  <c r="G538" i="8"/>
  <c r="H538" i="8"/>
  <c r="J538" i="8"/>
  <c r="I538" i="8"/>
  <c r="K537" i="8"/>
  <c r="G537" i="8"/>
  <c r="H537" i="8"/>
  <c r="J537" i="8"/>
  <c r="I537" i="8"/>
  <c r="K536" i="8"/>
  <c r="G536" i="8"/>
  <c r="H536" i="8"/>
  <c r="J536" i="8"/>
  <c r="I536" i="8"/>
  <c r="K535" i="8"/>
  <c r="G535" i="8"/>
  <c r="H535" i="8"/>
  <c r="J535" i="8"/>
  <c r="I535" i="8"/>
  <c r="K534" i="8"/>
  <c r="G534" i="8"/>
  <c r="H534" i="8"/>
  <c r="J534" i="8"/>
  <c r="I534" i="8"/>
  <c r="K533" i="8"/>
  <c r="G533" i="8"/>
  <c r="H533" i="8"/>
  <c r="J533" i="8"/>
  <c r="I533" i="8"/>
  <c r="K532" i="8"/>
  <c r="G532" i="8"/>
  <c r="H532" i="8"/>
  <c r="J532" i="8"/>
  <c r="I532" i="8"/>
  <c r="K531" i="8"/>
  <c r="G531" i="8"/>
  <c r="H531" i="8"/>
  <c r="J531" i="8"/>
  <c r="I531" i="8"/>
  <c r="K530" i="8"/>
  <c r="G530" i="8"/>
  <c r="H530" i="8"/>
  <c r="J530" i="8"/>
  <c r="I530" i="8"/>
  <c r="K529" i="8"/>
  <c r="G529" i="8"/>
  <c r="H529" i="8"/>
  <c r="J529" i="8"/>
  <c r="I529" i="8"/>
  <c r="K528" i="8"/>
  <c r="G528" i="8"/>
  <c r="H528" i="8"/>
  <c r="J528" i="8"/>
  <c r="I528" i="8"/>
  <c r="K527" i="8"/>
  <c r="G527" i="8"/>
  <c r="H527" i="8"/>
  <c r="J527" i="8"/>
  <c r="I527" i="8"/>
  <c r="K526" i="8"/>
  <c r="G526" i="8"/>
  <c r="H526" i="8"/>
  <c r="J526" i="8"/>
  <c r="I526" i="8"/>
  <c r="K525" i="8"/>
  <c r="G525" i="8"/>
  <c r="H525" i="8"/>
  <c r="J525" i="8"/>
  <c r="I525" i="8"/>
  <c r="K524" i="8"/>
  <c r="G524" i="8"/>
  <c r="H524" i="8"/>
  <c r="J524" i="8"/>
  <c r="I524" i="8"/>
  <c r="K523" i="8"/>
  <c r="G523" i="8"/>
  <c r="H523" i="8"/>
  <c r="J523" i="8"/>
  <c r="I523" i="8"/>
  <c r="K522" i="8"/>
  <c r="G522" i="8"/>
  <c r="H522" i="8"/>
  <c r="J522" i="8"/>
  <c r="I522" i="8"/>
  <c r="K521" i="8"/>
  <c r="G521" i="8"/>
  <c r="H521" i="8"/>
  <c r="J521" i="8"/>
  <c r="I521" i="8"/>
  <c r="K520" i="8"/>
  <c r="G520" i="8"/>
  <c r="H520" i="8"/>
  <c r="J520" i="8"/>
  <c r="I520" i="8"/>
  <c r="K519" i="8"/>
  <c r="G519" i="8"/>
  <c r="H519" i="8"/>
  <c r="J519" i="8"/>
  <c r="I519" i="8"/>
  <c r="K518" i="8"/>
  <c r="G518" i="8"/>
  <c r="H518" i="8"/>
  <c r="J518" i="8"/>
  <c r="I518" i="8"/>
  <c r="K517" i="8"/>
  <c r="G517" i="8"/>
  <c r="H517" i="8"/>
  <c r="J517" i="8"/>
  <c r="I517" i="8"/>
  <c r="K516" i="8"/>
  <c r="G516" i="8"/>
  <c r="H516" i="8"/>
  <c r="J516" i="8"/>
  <c r="I516" i="8"/>
  <c r="K515" i="8"/>
  <c r="G515" i="8"/>
  <c r="H515" i="8"/>
  <c r="J515" i="8"/>
  <c r="I515" i="8"/>
  <c r="K514" i="8"/>
  <c r="G514" i="8"/>
  <c r="H514" i="8"/>
  <c r="J514" i="8"/>
  <c r="I514" i="8"/>
  <c r="K513" i="8"/>
  <c r="G513" i="8"/>
  <c r="H513" i="8"/>
  <c r="J513" i="8"/>
  <c r="I513" i="8"/>
  <c r="K512" i="8"/>
  <c r="G512" i="8"/>
  <c r="H512" i="8"/>
  <c r="J512" i="8"/>
  <c r="I512" i="8"/>
  <c r="K511" i="8"/>
  <c r="G511" i="8"/>
  <c r="H511" i="8"/>
  <c r="J511" i="8"/>
  <c r="I511" i="8"/>
  <c r="K510" i="8"/>
  <c r="G510" i="8"/>
  <c r="H510" i="8"/>
  <c r="J510" i="8"/>
  <c r="I510" i="8"/>
  <c r="K509" i="8"/>
  <c r="G509" i="8"/>
  <c r="H509" i="8"/>
  <c r="J509" i="8"/>
  <c r="I509" i="8"/>
  <c r="K508" i="8"/>
  <c r="G508" i="8"/>
  <c r="H508" i="8"/>
  <c r="J508" i="8"/>
  <c r="I508" i="8"/>
  <c r="K507" i="8"/>
  <c r="G507" i="8"/>
  <c r="H507" i="8"/>
  <c r="J507" i="8"/>
  <c r="I507" i="8"/>
  <c r="K506" i="8"/>
  <c r="G506" i="8"/>
  <c r="H506" i="8"/>
  <c r="J506" i="8"/>
  <c r="I506" i="8"/>
  <c r="K505" i="8"/>
  <c r="G505" i="8"/>
  <c r="H505" i="8"/>
  <c r="J505" i="8"/>
  <c r="I505" i="8"/>
  <c r="K504" i="8"/>
  <c r="G504" i="8"/>
  <c r="H504" i="8"/>
  <c r="J504" i="8"/>
  <c r="I504" i="8"/>
  <c r="K503" i="8"/>
  <c r="G503" i="8"/>
  <c r="H503" i="8"/>
  <c r="J503" i="8"/>
  <c r="I503" i="8"/>
  <c r="K502" i="8"/>
  <c r="G502" i="8"/>
  <c r="H502" i="8"/>
  <c r="J502" i="8"/>
  <c r="I502" i="8"/>
  <c r="K501" i="8"/>
  <c r="G501" i="8"/>
  <c r="H501" i="8"/>
  <c r="J501" i="8"/>
  <c r="I501" i="8"/>
  <c r="K500" i="8"/>
  <c r="G500" i="8"/>
  <c r="H500" i="8"/>
  <c r="J500" i="8"/>
  <c r="I500" i="8"/>
  <c r="K499" i="8"/>
  <c r="G499" i="8"/>
  <c r="H499" i="8"/>
  <c r="J499" i="8"/>
  <c r="I499" i="8"/>
  <c r="K498" i="8"/>
  <c r="G498" i="8"/>
  <c r="H498" i="8"/>
  <c r="J498" i="8"/>
  <c r="I498" i="8"/>
  <c r="K497" i="8"/>
  <c r="G497" i="8"/>
  <c r="H497" i="8"/>
  <c r="J497" i="8"/>
  <c r="I497" i="8"/>
  <c r="K496" i="8"/>
  <c r="G496" i="8"/>
  <c r="H496" i="8"/>
  <c r="J496" i="8"/>
  <c r="I496" i="8"/>
  <c r="K495" i="8"/>
  <c r="G495" i="8"/>
  <c r="H495" i="8"/>
  <c r="J495" i="8"/>
  <c r="I495" i="8"/>
  <c r="K494" i="8"/>
  <c r="G494" i="8"/>
  <c r="H494" i="8"/>
  <c r="J494" i="8"/>
  <c r="I494" i="8"/>
  <c r="K493" i="8"/>
  <c r="G493" i="8"/>
  <c r="H493" i="8"/>
  <c r="J493" i="8"/>
  <c r="I493" i="8"/>
  <c r="K492" i="8"/>
  <c r="G492" i="8"/>
  <c r="H492" i="8"/>
  <c r="J492" i="8"/>
  <c r="I492" i="8"/>
  <c r="K491" i="8"/>
  <c r="G491" i="8"/>
  <c r="H491" i="8"/>
  <c r="J491" i="8"/>
  <c r="I491" i="8"/>
  <c r="K490" i="8"/>
  <c r="G490" i="8"/>
  <c r="H490" i="8"/>
  <c r="J490" i="8"/>
  <c r="I490" i="8"/>
  <c r="K489" i="8"/>
  <c r="G489" i="8"/>
  <c r="H489" i="8"/>
  <c r="J489" i="8"/>
  <c r="I489" i="8"/>
  <c r="K488" i="8"/>
  <c r="G488" i="8"/>
  <c r="H488" i="8"/>
  <c r="J488" i="8"/>
  <c r="I488" i="8"/>
  <c r="K487" i="8"/>
  <c r="G487" i="8"/>
  <c r="H487" i="8"/>
  <c r="J487" i="8"/>
  <c r="I487" i="8"/>
  <c r="K486" i="8"/>
  <c r="G486" i="8"/>
  <c r="H486" i="8"/>
  <c r="J486" i="8"/>
  <c r="I486" i="8"/>
  <c r="K485" i="8"/>
  <c r="G485" i="8"/>
  <c r="H485" i="8"/>
  <c r="J485" i="8"/>
  <c r="I485" i="8"/>
  <c r="K484" i="8"/>
  <c r="G484" i="8"/>
  <c r="H484" i="8"/>
  <c r="J484" i="8"/>
  <c r="I484" i="8"/>
  <c r="K483" i="8"/>
  <c r="G483" i="8"/>
  <c r="H483" i="8"/>
  <c r="J483" i="8"/>
  <c r="I483" i="8"/>
  <c r="K482" i="8"/>
  <c r="G482" i="8"/>
  <c r="H482" i="8"/>
  <c r="J482" i="8"/>
  <c r="I482" i="8"/>
  <c r="K481" i="8"/>
  <c r="G481" i="8"/>
  <c r="H481" i="8"/>
  <c r="J481" i="8"/>
  <c r="I481" i="8"/>
  <c r="K480" i="8"/>
  <c r="G480" i="8"/>
  <c r="H480" i="8"/>
  <c r="J480" i="8"/>
  <c r="I480" i="8"/>
  <c r="K479" i="8"/>
  <c r="G479" i="8"/>
  <c r="H479" i="8"/>
  <c r="J479" i="8"/>
  <c r="I479" i="8"/>
  <c r="K478" i="8"/>
  <c r="G478" i="8"/>
  <c r="H478" i="8"/>
  <c r="J478" i="8"/>
  <c r="I478" i="8"/>
  <c r="K477" i="8"/>
  <c r="G477" i="8"/>
  <c r="H477" i="8"/>
  <c r="J477" i="8"/>
  <c r="I477" i="8"/>
  <c r="K476" i="8"/>
  <c r="G476" i="8"/>
  <c r="H476" i="8"/>
  <c r="J476" i="8"/>
  <c r="I476" i="8"/>
  <c r="K475" i="8"/>
  <c r="G475" i="8"/>
  <c r="H475" i="8"/>
  <c r="J475" i="8"/>
  <c r="I475" i="8"/>
  <c r="K474" i="8"/>
  <c r="G474" i="8"/>
  <c r="H474" i="8"/>
  <c r="J474" i="8"/>
  <c r="I474" i="8"/>
  <c r="K473" i="8"/>
  <c r="G473" i="8"/>
  <c r="H473" i="8"/>
  <c r="J473" i="8"/>
  <c r="I473" i="8"/>
  <c r="K472" i="8"/>
  <c r="G472" i="8"/>
  <c r="H472" i="8"/>
  <c r="J472" i="8"/>
  <c r="I472" i="8"/>
  <c r="K471" i="8"/>
  <c r="G471" i="8"/>
  <c r="H471" i="8"/>
  <c r="J471" i="8"/>
  <c r="I471" i="8"/>
  <c r="K470" i="8"/>
  <c r="G470" i="8"/>
  <c r="H470" i="8"/>
  <c r="J470" i="8"/>
  <c r="I470" i="8"/>
  <c r="K469" i="8"/>
  <c r="G469" i="8"/>
  <c r="H469" i="8"/>
  <c r="J469" i="8"/>
  <c r="I469" i="8"/>
  <c r="K468" i="8"/>
  <c r="G468" i="8"/>
  <c r="H468" i="8"/>
  <c r="J468" i="8"/>
  <c r="I468" i="8"/>
  <c r="K467" i="8"/>
  <c r="G467" i="8"/>
  <c r="H467" i="8"/>
  <c r="J467" i="8"/>
  <c r="I467" i="8"/>
  <c r="K466" i="8"/>
  <c r="G466" i="8"/>
  <c r="H466" i="8"/>
  <c r="J466" i="8"/>
  <c r="I466" i="8"/>
  <c r="K465" i="8"/>
  <c r="G465" i="8"/>
  <c r="H465" i="8"/>
  <c r="J465" i="8"/>
  <c r="I465" i="8"/>
  <c r="K464" i="8"/>
  <c r="G464" i="8"/>
  <c r="H464" i="8"/>
  <c r="J464" i="8"/>
  <c r="I464" i="8"/>
  <c r="K463" i="8"/>
  <c r="G463" i="8"/>
  <c r="H463" i="8"/>
  <c r="J463" i="8"/>
  <c r="I463" i="8"/>
  <c r="K462" i="8"/>
  <c r="G462" i="8"/>
  <c r="H462" i="8"/>
  <c r="J462" i="8"/>
  <c r="I462" i="8"/>
  <c r="K461" i="8"/>
  <c r="G461" i="8"/>
  <c r="H461" i="8"/>
  <c r="J461" i="8"/>
  <c r="I461" i="8"/>
  <c r="K460" i="8"/>
  <c r="G460" i="8"/>
  <c r="H460" i="8"/>
  <c r="J460" i="8"/>
  <c r="I460" i="8"/>
  <c r="K459" i="8"/>
  <c r="G459" i="8"/>
  <c r="H459" i="8"/>
  <c r="J459" i="8"/>
  <c r="I459" i="8"/>
  <c r="K458" i="8"/>
  <c r="G458" i="8"/>
  <c r="H458" i="8"/>
  <c r="J458" i="8"/>
  <c r="I458" i="8"/>
  <c r="K457" i="8"/>
  <c r="G457" i="8"/>
  <c r="H457" i="8"/>
  <c r="J457" i="8"/>
  <c r="I457" i="8"/>
  <c r="K456" i="8"/>
  <c r="G456" i="8"/>
  <c r="H456" i="8"/>
  <c r="J456" i="8"/>
  <c r="I456" i="8"/>
  <c r="K455" i="8"/>
  <c r="G455" i="8"/>
  <c r="H455" i="8"/>
  <c r="J455" i="8"/>
  <c r="I455" i="8"/>
  <c r="K454" i="8"/>
  <c r="G454" i="8"/>
  <c r="H454" i="8"/>
  <c r="J454" i="8"/>
  <c r="I454" i="8"/>
  <c r="K453" i="8"/>
  <c r="G453" i="8"/>
  <c r="H453" i="8"/>
  <c r="J453" i="8"/>
  <c r="I453" i="8"/>
  <c r="K452" i="8"/>
  <c r="G452" i="8"/>
  <c r="H452" i="8"/>
  <c r="J452" i="8"/>
  <c r="I452" i="8"/>
  <c r="K451" i="8"/>
  <c r="G451" i="8"/>
  <c r="H451" i="8"/>
  <c r="J451" i="8"/>
  <c r="I451" i="8"/>
  <c r="K450" i="8"/>
  <c r="G450" i="8"/>
  <c r="H450" i="8"/>
  <c r="J450" i="8"/>
  <c r="I450" i="8"/>
  <c r="K449" i="8"/>
  <c r="G449" i="8"/>
  <c r="H449" i="8"/>
  <c r="J449" i="8"/>
  <c r="I449" i="8"/>
  <c r="K448" i="8"/>
  <c r="G448" i="8"/>
  <c r="H448" i="8"/>
  <c r="J448" i="8"/>
  <c r="I448" i="8"/>
  <c r="K447" i="8"/>
  <c r="G447" i="8"/>
  <c r="H447" i="8"/>
  <c r="J447" i="8"/>
  <c r="I447" i="8"/>
  <c r="K446" i="8"/>
  <c r="G446" i="8"/>
  <c r="H446" i="8"/>
  <c r="J446" i="8"/>
  <c r="I446" i="8"/>
  <c r="K445" i="8"/>
  <c r="G445" i="8"/>
  <c r="H445" i="8"/>
  <c r="J445" i="8"/>
  <c r="I445" i="8"/>
  <c r="K444" i="8"/>
  <c r="G444" i="8"/>
  <c r="H444" i="8"/>
  <c r="J444" i="8"/>
  <c r="I444" i="8"/>
  <c r="K443" i="8"/>
  <c r="G443" i="8"/>
  <c r="H443" i="8"/>
  <c r="J443" i="8"/>
  <c r="I443" i="8"/>
  <c r="K442" i="8"/>
  <c r="G442" i="8"/>
  <c r="H442" i="8"/>
  <c r="J442" i="8"/>
  <c r="I442" i="8"/>
  <c r="K441" i="8"/>
  <c r="G441" i="8"/>
  <c r="H441" i="8"/>
  <c r="J441" i="8"/>
  <c r="I441" i="8"/>
  <c r="K440" i="8"/>
  <c r="G440" i="8"/>
  <c r="H440" i="8"/>
  <c r="J440" i="8"/>
  <c r="I440" i="8"/>
  <c r="K439" i="8"/>
  <c r="G439" i="8"/>
  <c r="H439" i="8"/>
  <c r="J439" i="8"/>
  <c r="I439" i="8"/>
  <c r="K438" i="8"/>
  <c r="G438" i="8"/>
  <c r="H438" i="8"/>
  <c r="J438" i="8"/>
  <c r="I438" i="8"/>
  <c r="K437" i="8"/>
  <c r="G437" i="8"/>
  <c r="H437" i="8"/>
  <c r="J437" i="8"/>
  <c r="I437" i="8"/>
  <c r="K436" i="8"/>
  <c r="G436" i="8"/>
  <c r="H436" i="8"/>
  <c r="J436" i="8"/>
  <c r="I436" i="8"/>
  <c r="K435" i="8"/>
  <c r="G435" i="8"/>
  <c r="H435" i="8"/>
  <c r="J435" i="8"/>
  <c r="I435" i="8"/>
  <c r="K434" i="8"/>
  <c r="G434" i="8"/>
  <c r="H434" i="8"/>
  <c r="J434" i="8"/>
  <c r="I434" i="8"/>
  <c r="K433" i="8"/>
  <c r="G433" i="8"/>
  <c r="H433" i="8"/>
  <c r="J433" i="8"/>
  <c r="I433" i="8"/>
  <c r="K432" i="8"/>
  <c r="G432" i="8"/>
  <c r="H432" i="8"/>
  <c r="J432" i="8"/>
  <c r="I432" i="8"/>
  <c r="K431" i="8"/>
  <c r="G431" i="8"/>
  <c r="H431" i="8"/>
  <c r="J431" i="8"/>
  <c r="I431" i="8"/>
  <c r="K430" i="8"/>
  <c r="G430" i="8"/>
  <c r="H430" i="8"/>
  <c r="J430" i="8"/>
  <c r="I430" i="8"/>
  <c r="K429" i="8"/>
  <c r="G429" i="8"/>
  <c r="H429" i="8"/>
  <c r="J429" i="8"/>
  <c r="I429" i="8"/>
  <c r="K428" i="8"/>
  <c r="G428" i="8"/>
  <c r="H428" i="8"/>
  <c r="J428" i="8"/>
  <c r="I428" i="8"/>
  <c r="K427" i="8"/>
  <c r="G427" i="8"/>
  <c r="H427" i="8"/>
  <c r="J427" i="8"/>
  <c r="I427" i="8"/>
  <c r="K426" i="8"/>
  <c r="G426" i="8"/>
  <c r="H426" i="8"/>
  <c r="J426" i="8"/>
  <c r="I426" i="8"/>
  <c r="K425" i="8"/>
  <c r="G425" i="8"/>
  <c r="H425" i="8"/>
  <c r="J425" i="8"/>
  <c r="I425" i="8"/>
  <c r="K424" i="8"/>
  <c r="G424" i="8"/>
  <c r="H424" i="8"/>
  <c r="J424" i="8"/>
  <c r="I424" i="8"/>
  <c r="K423" i="8"/>
  <c r="G423" i="8"/>
  <c r="H423" i="8"/>
  <c r="J423" i="8"/>
  <c r="I423" i="8"/>
  <c r="K422" i="8"/>
  <c r="G422" i="8"/>
  <c r="H422" i="8"/>
  <c r="J422" i="8"/>
  <c r="I422" i="8"/>
  <c r="K421" i="8"/>
  <c r="G421" i="8"/>
  <c r="H421" i="8"/>
  <c r="J421" i="8"/>
  <c r="I421" i="8"/>
  <c r="K420" i="8"/>
  <c r="G420" i="8"/>
  <c r="H420" i="8"/>
  <c r="J420" i="8"/>
  <c r="I420" i="8"/>
  <c r="K419" i="8"/>
  <c r="G419" i="8"/>
  <c r="H419" i="8"/>
  <c r="J419" i="8"/>
  <c r="I419" i="8"/>
  <c r="K418" i="8"/>
  <c r="G418" i="8"/>
  <c r="H418" i="8"/>
  <c r="J418" i="8"/>
  <c r="I418" i="8"/>
  <c r="K417" i="8"/>
  <c r="G417" i="8"/>
  <c r="H417" i="8"/>
  <c r="J417" i="8"/>
  <c r="I417" i="8"/>
  <c r="K416" i="8"/>
  <c r="G416" i="8"/>
  <c r="H416" i="8"/>
  <c r="J416" i="8"/>
  <c r="I416" i="8"/>
  <c r="K415" i="8"/>
  <c r="G415" i="8"/>
  <c r="H415" i="8"/>
  <c r="J415" i="8"/>
  <c r="I415" i="8"/>
  <c r="K414" i="8"/>
  <c r="G414" i="8"/>
  <c r="H414" i="8"/>
  <c r="J414" i="8"/>
  <c r="I414" i="8"/>
  <c r="K413" i="8"/>
  <c r="G413" i="8"/>
  <c r="H413" i="8"/>
  <c r="J413" i="8"/>
  <c r="I413" i="8"/>
  <c r="K412" i="8"/>
  <c r="G412" i="8"/>
  <c r="H412" i="8"/>
  <c r="J412" i="8"/>
  <c r="I412" i="8"/>
  <c r="K411" i="8"/>
  <c r="G411" i="8"/>
  <c r="H411" i="8"/>
  <c r="J411" i="8"/>
  <c r="I411" i="8"/>
  <c r="K410" i="8"/>
  <c r="G410" i="8"/>
  <c r="H410" i="8"/>
  <c r="J410" i="8"/>
  <c r="I410" i="8"/>
  <c r="K409" i="8"/>
  <c r="G409" i="8"/>
  <c r="H409" i="8"/>
  <c r="J409" i="8"/>
  <c r="I409" i="8"/>
  <c r="K408" i="8"/>
  <c r="G408" i="8"/>
  <c r="H408" i="8"/>
  <c r="J408" i="8"/>
  <c r="I408" i="8"/>
  <c r="K407" i="8"/>
  <c r="G407" i="8"/>
  <c r="H407" i="8"/>
  <c r="J407" i="8"/>
  <c r="I407" i="8"/>
  <c r="K406" i="8"/>
  <c r="G406" i="8"/>
  <c r="H406" i="8"/>
  <c r="J406" i="8"/>
  <c r="I406" i="8"/>
  <c r="K405" i="8"/>
  <c r="G405" i="8"/>
  <c r="H405" i="8"/>
  <c r="J405" i="8"/>
  <c r="I405" i="8"/>
  <c r="K404" i="8"/>
  <c r="G404" i="8"/>
  <c r="H404" i="8"/>
  <c r="J404" i="8"/>
  <c r="I404" i="8"/>
  <c r="K403" i="8"/>
  <c r="G403" i="8"/>
  <c r="H403" i="8"/>
  <c r="J403" i="8"/>
  <c r="I403" i="8"/>
  <c r="K402" i="8"/>
  <c r="G402" i="8"/>
  <c r="H402" i="8"/>
  <c r="J402" i="8"/>
  <c r="I402" i="8"/>
  <c r="K401" i="8"/>
  <c r="G401" i="8"/>
  <c r="H401" i="8"/>
  <c r="J401" i="8"/>
  <c r="I401" i="8"/>
  <c r="K400" i="8"/>
  <c r="G400" i="8"/>
  <c r="H400" i="8"/>
  <c r="J400" i="8"/>
  <c r="I400" i="8"/>
  <c r="K399" i="8"/>
  <c r="G399" i="8"/>
  <c r="H399" i="8"/>
  <c r="J399" i="8"/>
  <c r="I399" i="8"/>
  <c r="K398" i="8"/>
  <c r="G398" i="8"/>
  <c r="H398" i="8"/>
  <c r="J398" i="8"/>
  <c r="I398" i="8"/>
  <c r="K397" i="8"/>
  <c r="G397" i="8"/>
  <c r="H397" i="8"/>
  <c r="J397" i="8"/>
  <c r="I397" i="8"/>
  <c r="K396" i="8"/>
  <c r="G396" i="8"/>
  <c r="H396" i="8"/>
  <c r="J396" i="8"/>
  <c r="I396" i="8"/>
  <c r="K395" i="8"/>
  <c r="G395" i="8"/>
  <c r="H395" i="8"/>
  <c r="J395" i="8"/>
  <c r="I395" i="8"/>
  <c r="K394" i="8"/>
  <c r="G394" i="8"/>
  <c r="H394" i="8"/>
  <c r="J394" i="8"/>
  <c r="I394" i="8"/>
  <c r="K393" i="8"/>
  <c r="G393" i="8"/>
  <c r="H393" i="8"/>
  <c r="J393" i="8"/>
  <c r="I393" i="8"/>
  <c r="K392" i="8"/>
  <c r="G392" i="8"/>
  <c r="H392" i="8"/>
  <c r="J392" i="8"/>
  <c r="I392" i="8"/>
  <c r="K391" i="8"/>
  <c r="G391" i="8"/>
  <c r="H391" i="8"/>
  <c r="J391" i="8"/>
  <c r="I391" i="8"/>
  <c r="K390" i="8"/>
  <c r="G390" i="8"/>
  <c r="H390" i="8"/>
  <c r="J390" i="8"/>
  <c r="I390" i="8"/>
  <c r="K389" i="8"/>
  <c r="G389" i="8"/>
  <c r="H389" i="8"/>
  <c r="J389" i="8"/>
  <c r="I389" i="8"/>
  <c r="K388" i="8"/>
  <c r="G388" i="8"/>
  <c r="H388" i="8"/>
  <c r="J388" i="8"/>
  <c r="I388" i="8"/>
  <c r="K387" i="8"/>
  <c r="G387" i="8"/>
  <c r="H387" i="8"/>
  <c r="J387" i="8"/>
  <c r="I387" i="8"/>
  <c r="K386" i="8"/>
  <c r="G386" i="8"/>
  <c r="H386" i="8"/>
  <c r="J386" i="8"/>
  <c r="I386" i="8"/>
  <c r="K385" i="8"/>
  <c r="G385" i="8"/>
  <c r="H385" i="8"/>
  <c r="J385" i="8"/>
  <c r="I385" i="8"/>
  <c r="K384" i="8"/>
  <c r="G384" i="8"/>
  <c r="H384" i="8"/>
  <c r="J384" i="8"/>
  <c r="I384" i="8"/>
  <c r="K383" i="8"/>
  <c r="G383" i="8"/>
  <c r="H383" i="8"/>
  <c r="J383" i="8"/>
  <c r="I383" i="8"/>
  <c r="K382" i="8"/>
  <c r="G382" i="8"/>
  <c r="H382" i="8"/>
  <c r="J382" i="8"/>
  <c r="I382" i="8"/>
  <c r="K381" i="8"/>
  <c r="G381" i="8"/>
  <c r="H381" i="8"/>
  <c r="J381" i="8"/>
  <c r="I381" i="8"/>
  <c r="K380" i="8"/>
  <c r="G380" i="8"/>
  <c r="H380" i="8"/>
  <c r="J380" i="8"/>
  <c r="I380" i="8"/>
  <c r="K379" i="8"/>
  <c r="G379" i="8"/>
  <c r="H379" i="8"/>
  <c r="J379" i="8"/>
  <c r="I379" i="8"/>
  <c r="K378" i="8"/>
  <c r="G378" i="8"/>
  <c r="H378" i="8"/>
  <c r="J378" i="8"/>
  <c r="I378" i="8"/>
  <c r="K377" i="8"/>
  <c r="G377" i="8"/>
  <c r="H377" i="8"/>
  <c r="J377" i="8"/>
  <c r="I377" i="8"/>
  <c r="K376" i="8"/>
  <c r="G376" i="8"/>
  <c r="H376" i="8"/>
  <c r="J376" i="8"/>
  <c r="I376" i="8"/>
  <c r="K375" i="8"/>
  <c r="G375" i="8"/>
  <c r="H375" i="8"/>
  <c r="J375" i="8"/>
  <c r="I375" i="8"/>
  <c r="K374" i="8"/>
  <c r="G374" i="8"/>
  <c r="H374" i="8"/>
  <c r="J374" i="8"/>
  <c r="I374" i="8"/>
  <c r="K373" i="8"/>
  <c r="G373" i="8"/>
  <c r="H373" i="8"/>
  <c r="J373" i="8"/>
  <c r="I373" i="8"/>
  <c r="K372" i="8"/>
  <c r="G372" i="8"/>
  <c r="H372" i="8"/>
  <c r="J372" i="8"/>
  <c r="I372" i="8"/>
  <c r="K371" i="8"/>
  <c r="G371" i="8"/>
  <c r="H371" i="8"/>
  <c r="J371" i="8"/>
  <c r="I371" i="8"/>
  <c r="K370" i="8"/>
  <c r="G370" i="8"/>
  <c r="H370" i="8"/>
  <c r="J370" i="8"/>
  <c r="I370" i="8"/>
  <c r="K369" i="8"/>
  <c r="G369" i="8"/>
  <c r="H369" i="8"/>
  <c r="J369" i="8"/>
  <c r="I369" i="8"/>
  <c r="K368" i="8"/>
  <c r="G368" i="8"/>
  <c r="H368" i="8"/>
  <c r="J368" i="8"/>
  <c r="I368" i="8"/>
  <c r="K367" i="8"/>
  <c r="G367" i="8"/>
  <c r="H367" i="8"/>
  <c r="J367" i="8"/>
  <c r="I367" i="8"/>
  <c r="K366" i="8"/>
  <c r="G366" i="8"/>
  <c r="H366" i="8"/>
  <c r="J366" i="8"/>
  <c r="I366" i="8"/>
  <c r="K365" i="8"/>
  <c r="G365" i="8"/>
  <c r="H365" i="8"/>
  <c r="J365" i="8"/>
  <c r="I365" i="8"/>
  <c r="K364" i="8"/>
  <c r="G364" i="8"/>
  <c r="H364" i="8"/>
  <c r="J364" i="8"/>
  <c r="I364" i="8"/>
  <c r="K363" i="8"/>
  <c r="G363" i="8"/>
  <c r="H363" i="8"/>
  <c r="J363" i="8"/>
  <c r="I363" i="8"/>
  <c r="K362" i="8"/>
  <c r="G362" i="8"/>
  <c r="H362" i="8"/>
  <c r="J362" i="8"/>
  <c r="I362" i="8"/>
  <c r="K361" i="8"/>
  <c r="G361" i="8"/>
  <c r="H361" i="8"/>
  <c r="J361" i="8"/>
  <c r="I361" i="8"/>
  <c r="K360" i="8"/>
  <c r="G360" i="8"/>
  <c r="H360" i="8"/>
  <c r="J360" i="8"/>
  <c r="I360" i="8"/>
  <c r="K359" i="8"/>
  <c r="G359" i="8"/>
  <c r="H359" i="8"/>
  <c r="J359" i="8"/>
  <c r="I359" i="8"/>
  <c r="K358" i="8"/>
  <c r="G358" i="8"/>
  <c r="H358" i="8"/>
  <c r="J358" i="8"/>
  <c r="I358" i="8"/>
  <c r="K357" i="8"/>
  <c r="G357" i="8"/>
  <c r="H357" i="8"/>
  <c r="J357" i="8"/>
  <c r="I357" i="8"/>
  <c r="K356" i="8"/>
  <c r="G356" i="8"/>
  <c r="H356" i="8"/>
  <c r="J356" i="8"/>
  <c r="I356" i="8"/>
  <c r="K355" i="8"/>
  <c r="G355" i="8"/>
  <c r="H355" i="8"/>
  <c r="J355" i="8"/>
  <c r="I355" i="8"/>
  <c r="K354" i="8"/>
  <c r="G354" i="8"/>
  <c r="H354" i="8"/>
  <c r="J354" i="8"/>
  <c r="I354" i="8"/>
  <c r="K353" i="8"/>
  <c r="G353" i="8"/>
  <c r="H353" i="8"/>
  <c r="J353" i="8"/>
  <c r="I353" i="8"/>
  <c r="K352" i="8"/>
  <c r="G352" i="8"/>
  <c r="H352" i="8"/>
  <c r="J352" i="8"/>
  <c r="I352" i="8"/>
  <c r="K351" i="8"/>
  <c r="G351" i="8"/>
  <c r="H351" i="8"/>
  <c r="J351" i="8"/>
  <c r="I351" i="8"/>
  <c r="K350" i="8"/>
  <c r="G350" i="8"/>
  <c r="H350" i="8"/>
  <c r="J350" i="8"/>
  <c r="I350" i="8"/>
  <c r="K349" i="8"/>
  <c r="G349" i="8"/>
  <c r="H349" i="8"/>
  <c r="J349" i="8"/>
  <c r="I349" i="8"/>
  <c r="K348" i="8"/>
  <c r="G348" i="8"/>
  <c r="H348" i="8"/>
  <c r="J348" i="8"/>
  <c r="I348" i="8"/>
  <c r="K347" i="8"/>
  <c r="G347" i="8"/>
  <c r="H347" i="8"/>
  <c r="J347" i="8"/>
  <c r="I347" i="8"/>
  <c r="K346" i="8"/>
  <c r="G346" i="8"/>
  <c r="H346" i="8"/>
  <c r="J346" i="8"/>
  <c r="I346" i="8"/>
  <c r="K345" i="8"/>
  <c r="G345" i="8"/>
  <c r="H345" i="8"/>
  <c r="J345" i="8"/>
  <c r="I345" i="8"/>
  <c r="K344" i="8"/>
  <c r="G344" i="8"/>
  <c r="H344" i="8"/>
  <c r="J344" i="8"/>
  <c r="I344" i="8"/>
  <c r="K343" i="8"/>
  <c r="G343" i="8"/>
  <c r="H343" i="8"/>
  <c r="J343" i="8"/>
  <c r="I343" i="8"/>
  <c r="K342" i="8"/>
  <c r="G342" i="8"/>
  <c r="H342" i="8"/>
  <c r="J342" i="8"/>
  <c r="I342" i="8"/>
  <c r="K341" i="8"/>
  <c r="G341" i="8"/>
  <c r="H341" i="8"/>
  <c r="J341" i="8"/>
  <c r="I341" i="8"/>
  <c r="K340" i="8"/>
  <c r="G340" i="8"/>
  <c r="H340" i="8"/>
  <c r="J340" i="8"/>
  <c r="I340" i="8"/>
  <c r="K339" i="8"/>
  <c r="G339" i="8"/>
  <c r="H339" i="8"/>
  <c r="J339" i="8"/>
  <c r="I339" i="8"/>
  <c r="K338" i="8"/>
  <c r="G338" i="8"/>
  <c r="H338" i="8"/>
  <c r="J338" i="8"/>
  <c r="I338" i="8"/>
  <c r="K337" i="8"/>
  <c r="G337" i="8"/>
  <c r="H337" i="8"/>
  <c r="J337" i="8"/>
  <c r="I337" i="8"/>
  <c r="K336" i="8"/>
  <c r="G336" i="8"/>
  <c r="H336" i="8"/>
  <c r="J336" i="8"/>
  <c r="I336" i="8"/>
  <c r="K335" i="8"/>
  <c r="G335" i="8"/>
  <c r="H335" i="8"/>
  <c r="J335" i="8"/>
  <c r="I335" i="8"/>
  <c r="K334" i="8"/>
  <c r="G334" i="8"/>
  <c r="H334" i="8"/>
  <c r="J334" i="8"/>
  <c r="I334" i="8"/>
  <c r="K333" i="8"/>
  <c r="G333" i="8"/>
  <c r="H333" i="8"/>
  <c r="J333" i="8"/>
  <c r="I333" i="8"/>
  <c r="K332" i="8"/>
  <c r="G332" i="8"/>
  <c r="H332" i="8"/>
  <c r="J332" i="8"/>
  <c r="I332" i="8"/>
  <c r="K331" i="8"/>
  <c r="G331" i="8"/>
  <c r="H331" i="8"/>
  <c r="J331" i="8"/>
  <c r="I331" i="8"/>
  <c r="K330" i="8"/>
  <c r="G330" i="8"/>
  <c r="H330" i="8"/>
  <c r="J330" i="8"/>
  <c r="I330" i="8"/>
  <c r="K329" i="8"/>
  <c r="G329" i="8"/>
  <c r="H329" i="8"/>
  <c r="J329" i="8"/>
  <c r="I329" i="8"/>
  <c r="K328" i="8"/>
  <c r="G328" i="8"/>
  <c r="H328" i="8"/>
  <c r="J328" i="8"/>
  <c r="I328" i="8"/>
  <c r="K327" i="8"/>
  <c r="G327" i="8"/>
  <c r="H327" i="8"/>
  <c r="J327" i="8"/>
  <c r="I327" i="8"/>
  <c r="K326" i="8"/>
  <c r="G326" i="8"/>
  <c r="H326" i="8"/>
  <c r="J326" i="8"/>
  <c r="I326" i="8"/>
  <c r="K325" i="8"/>
  <c r="G325" i="8"/>
  <c r="H325" i="8"/>
  <c r="J325" i="8"/>
  <c r="I325" i="8"/>
  <c r="K324" i="8"/>
  <c r="G324" i="8"/>
  <c r="H324" i="8"/>
  <c r="J324" i="8"/>
  <c r="I324" i="8"/>
  <c r="K323" i="8"/>
  <c r="G323" i="8"/>
  <c r="H323" i="8"/>
  <c r="J323" i="8"/>
  <c r="I323" i="8"/>
  <c r="K322" i="8"/>
  <c r="G322" i="8"/>
  <c r="H322" i="8"/>
  <c r="J322" i="8"/>
  <c r="I322" i="8"/>
  <c r="K321" i="8"/>
  <c r="G321" i="8"/>
  <c r="H321" i="8"/>
  <c r="J321" i="8"/>
  <c r="I321" i="8"/>
  <c r="K320" i="8"/>
  <c r="G320" i="8"/>
  <c r="H320" i="8"/>
  <c r="J320" i="8"/>
  <c r="I320" i="8"/>
  <c r="K319" i="8"/>
  <c r="G319" i="8"/>
  <c r="H319" i="8"/>
  <c r="J319" i="8"/>
  <c r="I319" i="8"/>
  <c r="K318" i="8"/>
  <c r="G318" i="8"/>
  <c r="H318" i="8"/>
  <c r="J318" i="8"/>
  <c r="I318" i="8"/>
  <c r="K317" i="8"/>
  <c r="G317" i="8"/>
  <c r="H317" i="8"/>
  <c r="J317" i="8"/>
  <c r="I317" i="8"/>
  <c r="K316" i="8"/>
  <c r="G316" i="8"/>
  <c r="H316" i="8"/>
  <c r="J316" i="8"/>
  <c r="I316" i="8"/>
  <c r="K315" i="8"/>
  <c r="G315" i="8"/>
  <c r="H315" i="8"/>
  <c r="J315" i="8"/>
  <c r="I315" i="8"/>
  <c r="K314" i="8"/>
  <c r="G314" i="8"/>
  <c r="H314" i="8"/>
  <c r="J314" i="8"/>
  <c r="I314" i="8"/>
  <c r="K313" i="8"/>
  <c r="G313" i="8"/>
  <c r="H313" i="8"/>
  <c r="J313" i="8"/>
  <c r="I313" i="8"/>
  <c r="K312" i="8"/>
  <c r="G312" i="8"/>
  <c r="H312" i="8"/>
  <c r="J312" i="8"/>
  <c r="I312" i="8"/>
  <c r="K311" i="8"/>
  <c r="G311" i="8"/>
  <c r="H311" i="8"/>
  <c r="J311" i="8"/>
  <c r="I311" i="8"/>
  <c r="K310" i="8"/>
  <c r="G310" i="8"/>
  <c r="H310" i="8"/>
  <c r="J310" i="8"/>
  <c r="I310" i="8"/>
  <c r="K309" i="8"/>
  <c r="G309" i="8"/>
  <c r="H309" i="8"/>
  <c r="J309" i="8"/>
  <c r="I309" i="8"/>
  <c r="K308" i="8"/>
  <c r="G308" i="8"/>
  <c r="H308" i="8"/>
  <c r="J308" i="8"/>
  <c r="I308" i="8"/>
  <c r="K307" i="8"/>
  <c r="G307" i="8"/>
  <c r="H307" i="8"/>
  <c r="J307" i="8"/>
  <c r="I307" i="8"/>
  <c r="K306" i="8"/>
  <c r="G306" i="8"/>
  <c r="H306" i="8"/>
  <c r="J306" i="8"/>
  <c r="I306" i="8"/>
  <c r="K305" i="8"/>
  <c r="G305" i="8"/>
  <c r="H305" i="8"/>
  <c r="J305" i="8"/>
  <c r="I305" i="8"/>
  <c r="K304" i="8"/>
  <c r="G304" i="8"/>
  <c r="H304" i="8"/>
  <c r="J304" i="8"/>
  <c r="I304" i="8"/>
  <c r="K303" i="8"/>
  <c r="G303" i="8"/>
  <c r="H303" i="8"/>
  <c r="J303" i="8"/>
  <c r="I303" i="8"/>
  <c r="K302" i="8"/>
  <c r="G302" i="8"/>
  <c r="H302" i="8"/>
  <c r="J302" i="8"/>
  <c r="I302" i="8"/>
  <c r="K301" i="8"/>
  <c r="G301" i="8"/>
  <c r="H301" i="8"/>
  <c r="J301" i="8"/>
  <c r="I301" i="8"/>
  <c r="K300" i="8"/>
  <c r="G300" i="8"/>
  <c r="H300" i="8"/>
  <c r="J300" i="8"/>
  <c r="I300" i="8"/>
  <c r="K299" i="8"/>
  <c r="G299" i="8"/>
  <c r="H299" i="8"/>
  <c r="J299" i="8"/>
  <c r="I299" i="8"/>
  <c r="K298" i="8"/>
  <c r="G298" i="8"/>
  <c r="H298" i="8"/>
  <c r="J298" i="8"/>
  <c r="I298" i="8"/>
  <c r="K297" i="8"/>
  <c r="G297" i="8"/>
  <c r="H297" i="8"/>
  <c r="J297" i="8"/>
  <c r="I297" i="8"/>
  <c r="K296" i="8"/>
  <c r="G296" i="8"/>
  <c r="H296" i="8"/>
  <c r="J296" i="8"/>
  <c r="I296" i="8"/>
  <c r="K295" i="8"/>
  <c r="G295" i="8"/>
  <c r="H295" i="8"/>
  <c r="J295" i="8"/>
  <c r="I295" i="8"/>
  <c r="K294" i="8"/>
  <c r="G294" i="8"/>
  <c r="H294" i="8"/>
  <c r="J294" i="8"/>
  <c r="I294" i="8"/>
  <c r="K293" i="8"/>
  <c r="G293" i="8"/>
  <c r="H293" i="8"/>
  <c r="J293" i="8"/>
  <c r="I293" i="8"/>
  <c r="K292" i="8"/>
  <c r="G292" i="8"/>
  <c r="H292" i="8"/>
  <c r="J292" i="8"/>
  <c r="I292" i="8"/>
  <c r="K291" i="8"/>
  <c r="G291" i="8"/>
  <c r="H291" i="8"/>
  <c r="J291" i="8"/>
  <c r="I291" i="8"/>
  <c r="K290" i="8"/>
  <c r="G290" i="8"/>
  <c r="H290" i="8"/>
  <c r="J290" i="8"/>
  <c r="I290" i="8"/>
  <c r="K289" i="8"/>
  <c r="G289" i="8"/>
  <c r="H289" i="8"/>
  <c r="J289" i="8"/>
  <c r="I289" i="8"/>
  <c r="K288" i="8"/>
  <c r="G288" i="8"/>
  <c r="H288" i="8"/>
  <c r="J288" i="8"/>
  <c r="I288" i="8"/>
  <c r="K287" i="8"/>
  <c r="G287" i="8"/>
  <c r="H287" i="8"/>
  <c r="J287" i="8"/>
  <c r="I287" i="8"/>
  <c r="K286" i="8"/>
  <c r="G286" i="8"/>
  <c r="H286" i="8"/>
  <c r="J286" i="8"/>
  <c r="I286" i="8"/>
  <c r="K285" i="8"/>
  <c r="G285" i="8"/>
  <c r="H285" i="8"/>
  <c r="J285" i="8"/>
  <c r="I285" i="8"/>
  <c r="K284" i="8"/>
  <c r="G284" i="8"/>
  <c r="H284" i="8"/>
  <c r="J284" i="8"/>
  <c r="I284" i="8"/>
  <c r="K283" i="8"/>
  <c r="G283" i="8"/>
  <c r="H283" i="8"/>
  <c r="J283" i="8"/>
  <c r="I283" i="8"/>
  <c r="K282" i="8"/>
  <c r="G282" i="8"/>
  <c r="H282" i="8"/>
  <c r="J282" i="8"/>
  <c r="I282" i="8"/>
  <c r="K281" i="8"/>
  <c r="G281" i="8"/>
  <c r="H281" i="8"/>
  <c r="J281" i="8"/>
  <c r="I281" i="8"/>
  <c r="K280" i="8"/>
  <c r="G280" i="8"/>
  <c r="H280" i="8"/>
  <c r="J280" i="8"/>
  <c r="I280" i="8"/>
  <c r="K279" i="8"/>
  <c r="G279" i="8"/>
  <c r="H279" i="8"/>
  <c r="J279" i="8"/>
  <c r="I279" i="8"/>
  <c r="K278" i="8"/>
  <c r="G278" i="8"/>
  <c r="H278" i="8"/>
  <c r="J278" i="8"/>
  <c r="I278" i="8"/>
  <c r="K277" i="8"/>
  <c r="G277" i="8"/>
  <c r="H277" i="8"/>
  <c r="J277" i="8"/>
  <c r="I277" i="8"/>
  <c r="K276" i="8"/>
  <c r="G276" i="8"/>
  <c r="H276" i="8"/>
  <c r="J276" i="8"/>
  <c r="I276" i="8"/>
  <c r="K275" i="8"/>
  <c r="G275" i="8"/>
  <c r="H275" i="8"/>
  <c r="J275" i="8"/>
  <c r="I275" i="8"/>
  <c r="K274" i="8"/>
  <c r="G274" i="8"/>
  <c r="H274" i="8"/>
  <c r="J274" i="8"/>
  <c r="I274" i="8"/>
  <c r="K273" i="8"/>
  <c r="G273" i="8"/>
  <c r="H273" i="8"/>
  <c r="J273" i="8"/>
  <c r="I273" i="8"/>
  <c r="K272" i="8"/>
  <c r="G272" i="8"/>
  <c r="H272" i="8"/>
  <c r="J272" i="8"/>
  <c r="I272" i="8"/>
  <c r="K271" i="8"/>
  <c r="G271" i="8"/>
  <c r="H271" i="8"/>
  <c r="J271" i="8"/>
  <c r="I271" i="8"/>
  <c r="K270" i="8"/>
  <c r="G270" i="8"/>
  <c r="H270" i="8"/>
  <c r="J270" i="8"/>
  <c r="I270" i="8"/>
  <c r="K269" i="8"/>
  <c r="G269" i="8"/>
  <c r="H269" i="8"/>
  <c r="J269" i="8"/>
  <c r="I269" i="8"/>
  <c r="K268" i="8"/>
  <c r="G268" i="8"/>
  <c r="H268" i="8"/>
  <c r="J268" i="8"/>
  <c r="I268" i="8"/>
  <c r="K267" i="8"/>
  <c r="G267" i="8"/>
  <c r="H267" i="8"/>
  <c r="J267" i="8"/>
  <c r="I267" i="8"/>
  <c r="K266" i="8"/>
  <c r="G266" i="8"/>
  <c r="H266" i="8"/>
  <c r="J266" i="8"/>
  <c r="I266" i="8"/>
  <c r="K265" i="8"/>
  <c r="G265" i="8"/>
  <c r="H265" i="8"/>
  <c r="J265" i="8"/>
  <c r="I265" i="8"/>
  <c r="K264" i="8"/>
  <c r="G264" i="8"/>
  <c r="H264" i="8"/>
  <c r="J264" i="8"/>
  <c r="I264" i="8"/>
  <c r="K263" i="8"/>
  <c r="G263" i="8"/>
  <c r="H263" i="8"/>
  <c r="J263" i="8"/>
  <c r="I263" i="8"/>
  <c r="K262" i="8"/>
  <c r="G262" i="8"/>
  <c r="H262" i="8"/>
  <c r="J262" i="8"/>
  <c r="I262" i="8"/>
  <c r="K261" i="8"/>
  <c r="G261" i="8"/>
  <c r="H261" i="8"/>
  <c r="J261" i="8"/>
  <c r="I261" i="8"/>
  <c r="K260" i="8"/>
  <c r="G260" i="8"/>
  <c r="H260" i="8"/>
  <c r="J260" i="8"/>
  <c r="I260" i="8"/>
  <c r="K259" i="8"/>
  <c r="G259" i="8"/>
  <c r="H259" i="8"/>
  <c r="J259" i="8"/>
  <c r="I259" i="8"/>
  <c r="K258" i="8"/>
  <c r="G258" i="8"/>
  <c r="H258" i="8"/>
  <c r="J258" i="8"/>
  <c r="I258" i="8"/>
  <c r="K257" i="8"/>
  <c r="G257" i="8"/>
  <c r="H257" i="8"/>
  <c r="J257" i="8"/>
  <c r="I257" i="8"/>
  <c r="K256" i="8"/>
  <c r="G256" i="8"/>
  <c r="H256" i="8"/>
  <c r="J256" i="8"/>
  <c r="I256" i="8"/>
  <c r="K255" i="8"/>
  <c r="G255" i="8"/>
  <c r="H255" i="8"/>
  <c r="J255" i="8"/>
  <c r="I255" i="8"/>
  <c r="K254" i="8"/>
  <c r="G254" i="8"/>
  <c r="H254" i="8"/>
  <c r="J254" i="8"/>
  <c r="I254" i="8"/>
  <c r="K253" i="8"/>
  <c r="G253" i="8"/>
  <c r="H253" i="8"/>
  <c r="J253" i="8"/>
  <c r="I253" i="8"/>
  <c r="K252" i="8"/>
  <c r="G252" i="8"/>
  <c r="H252" i="8"/>
  <c r="J252" i="8"/>
  <c r="I252" i="8"/>
  <c r="K251" i="8"/>
  <c r="G251" i="8"/>
  <c r="H251" i="8"/>
  <c r="J251" i="8"/>
  <c r="I251" i="8"/>
  <c r="K250" i="8"/>
  <c r="G250" i="8"/>
  <c r="H250" i="8"/>
  <c r="J250" i="8"/>
  <c r="I250" i="8"/>
  <c r="K249" i="8"/>
  <c r="G249" i="8"/>
  <c r="H249" i="8"/>
  <c r="J249" i="8"/>
  <c r="I249" i="8"/>
  <c r="K248" i="8"/>
  <c r="G248" i="8"/>
  <c r="H248" i="8"/>
  <c r="J248" i="8"/>
  <c r="I248" i="8"/>
  <c r="K247" i="8"/>
  <c r="G247" i="8"/>
  <c r="H247" i="8"/>
  <c r="J247" i="8"/>
  <c r="I247" i="8"/>
  <c r="K246" i="8"/>
  <c r="G246" i="8"/>
  <c r="H246" i="8"/>
  <c r="J246" i="8"/>
  <c r="I246" i="8"/>
  <c r="K245" i="8"/>
  <c r="G245" i="8"/>
  <c r="H245" i="8"/>
  <c r="J245" i="8"/>
  <c r="I245" i="8"/>
  <c r="K244" i="8"/>
  <c r="G244" i="8"/>
  <c r="H244" i="8"/>
  <c r="J244" i="8"/>
  <c r="I244" i="8"/>
  <c r="K243" i="8"/>
  <c r="G243" i="8"/>
  <c r="H243" i="8"/>
  <c r="J243" i="8"/>
  <c r="I243" i="8"/>
  <c r="K242" i="8"/>
  <c r="G242" i="8"/>
  <c r="H242" i="8"/>
  <c r="J242" i="8"/>
  <c r="I242" i="8"/>
  <c r="K241" i="8"/>
  <c r="G241" i="8"/>
  <c r="H241" i="8"/>
  <c r="J241" i="8"/>
  <c r="I241" i="8"/>
  <c r="K240" i="8"/>
  <c r="G240" i="8"/>
  <c r="H240" i="8"/>
  <c r="J240" i="8"/>
  <c r="I240" i="8"/>
  <c r="K239" i="8"/>
  <c r="G239" i="8"/>
  <c r="H239" i="8"/>
  <c r="J239" i="8"/>
  <c r="I239" i="8"/>
  <c r="K238" i="8"/>
  <c r="G238" i="8"/>
  <c r="H238" i="8"/>
  <c r="J238" i="8"/>
  <c r="I238" i="8"/>
  <c r="K237" i="8"/>
  <c r="G237" i="8"/>
  <c r="H237" i="8"/>
  <c r="J237" i="8"/>
  <c r="I237" i="8"/>
  <c r="K236" i="8"/>
  <c r="G236" i="8"/>
  <c r="H236" i="8"/>
  <c r="J236" i="8"/>
  <c r="I236" i="8"/>
  <c r="K235" i="8"/>
  <c r="G235" i="8"/>
  <c r="H235" i="8"/>
  <c r="J235" i="8"/>
  <c r="I235" i="8"/>
  <c r="K234" i="8"/>
  <c r="G234" i="8"/>
  <c r="H234" i="8"/>
  <c r="J234" i="8"/>
  <c r="I234" i="8"/>
  <c r="K233" i="8"/>
  <c r="G233" i="8"/>
  <c r="H233" i="8"/>
  <c r="J233" i="8"/>
  <c r="I233" i="8"/>
  <c r="K232" i="8"/>
  <c r="G232" i="8"/>
  <c r="H232" i="8"/>
  <c r="J232" i="8"/>
  <c r="I232" i="8"/>
  <c r="K231" i="8"/>
  <c r="G231" i="8"/>
  <c r="H231" i="8"/>
  <c r="J231" i="8"/>
  <c r="I231" i="8"/>
  <c r="K230" i="8"/>
  <c r="G230" i="8"/>
  <c r="H230" i="8"/>
  <c r="J230" i="8"/>
  <c r="I230" i="8"/>
  <c r="K229" i="8"/>
  <c r="G229" i="8"/>
  <c r="H229" i="8"/>
  <c r="J229" i="8"/>
  <c r="I229" i="8"/>
  <c r="K228" i="8"/>
  <c r="G228" i="8"/>
  <c r="H228" i="8"/>
  <c r="J228" i="8"/>
  <c r="I228" i="8"/>
  <c r="K227" i="8"/>
  <c r="G227" i="8"/>
  <c r="H227" i="8"/>
  <c r="J227" i="8"/>
  <c r="I227" i="8"/>
  <c r="K226" i="8"/>
  <c r="G226" i="8"/>
  <c r="H226" i="8"/>
  <c r="J226" i="8"/>
  <c r="I226" i="8"/>
  <c r="K225" i="8"/>
  <c r="G225" i="8"/>
  <c r="H225" i="8"/>
  <c r="J225" i="8"/>
  <c r="I225" i="8"/>
  <c r="K224" i="8"/>
  <c r="G224" i="8"/>
  <c r="H224" i="8"/>
  <c r="J224" i="8"/>
  <c r="I224" i="8"/>
  <c r="K223" i="8"/>
  <c r="G223" i="8"/>
  <c r="H223" i="8"/>
  <c r="J223" i="8"/>
  <c r="I223" i="8"/>
  <c r="K222" i="8"/>
  <c r="G222" i="8"/>
  <c r="H222" i="8"/>
  <c r="J222" i="8"/>
  <c r="I222" i="8"/>
  <c r="K221" i="8"/>
  <c r="G221" i="8"/>
  <c r="H221" i="8"/>
  <c r="J221" i="8"/>
  <c r="I221" i="8"/>
  <c r="K220" i="8"/>
  <c r="G220" i="8"/>
  <c r="H220" i="8"/>
  <c r="J220" i="8"/>
  <c r="I220" i="8"/>
  <c r="K219" i="8"/>
  <c r="G219" i="8"/>
  <c r="H219" i="8"/>
  <c r="J219" i="8"/>
  <c r="I219" i="8"/>
  <c r="K218" i="8"/>
  <c r="G218" i="8"/>
  <c r="H218" i="8"/>
  <c r="J218" i="8"/>
  <c r="I218" i="8"/>
  <c r="K217" i="8"/>
  <c r="G217" i="8"/>
  <c r="H217" i="8"/>
  <c r="J217" i="8"/>
  <c r="I217" i="8"/>
  <c r="K216" i="8"/>
  <c r="G216" i="8"/>
  <c r="H216" i="8"/>
  <c r="J216" i="8"/>
  <c r="I216" i="8"/>
  <c r="K215" i="8"/>
  <c r="G215" i="8"/>
  <c r="H215" i="8"/>
  <c r="J215" i="8"/>
  <c r="I215" i="8"/>
  <c r="K214" i="8"/>
  <c r="G214" i="8"/>
  <c r="H214" i="8"/>
  <c r="J214" i="8"/>
  <c r="I214" i="8"/>
  <c r="K213" i="8"/>
  <c r="G213" i="8"/>
  <c r="H213" i="8"/>
  <c r="J213" i="8"/>
  <c r="I213" i="8"/>
  <c r="K212" i="8"/>
  <c r="G212" i="8"/>
  <c r="H212" i="8"/>
  <c r="J212" i="8"/>
  <c r="I212" i="8"/>
  <c r="K211" i="8"/>
  <c r="G211" i="8"/>
  <c r="H211" i="8"/>
  <c r="J211" i="8"/>
  <c r="I211" i="8"/>
  <c r="K210" i="8"/>
  <c r="G210" i="8"/>
  <c r="H210" i="8"/>
  <c r="J210" i="8"/>
  <c r="I210" i="8"/>
  <c r="K209" i="8"/>
  <c r="G209" i="8"/>
  <c r="H209" i="8"/>
  <c r="J209" i="8"/>
  <c r="I209" i="8"/>
  <c r="K208" i="8"/>
  <c r="G208" i="8"/>
  <c r="H208" i="8"/>
  <c r="J208" i="8"/>
  <c r="I208" i="8"/>
  <c r="K207" i="8"/>
  <c r="G207" i="8"/>
  <c r="H207" i="8"/>
  <c r="J207" i="8"/>
  <c r="I207" i="8"/>
  <c r="K206" i="8"/>
  <c r="G206" i="8"/>
  <c r="H206" i="8"/>
  <c r="J206" i="8"/>
  <c r="I206" i="8"/>
  <c r="K205" i="8"/>
  <c r="G205" i="8"/>
  <c r="H205" i="8"/>
  <c r="J205" i="8"/>
  <c r="I205" i="8"/>
  <c r="K204" i="8"/>
  <c r="G204" i="8"/>
  <c r="H204" i="8"/>
  <c r="J204" i="8"/>
  <c r="I204" i="8"/>
  <c r="K203" i="8"/>
  <c r="G203" i="8"/>
  <c r="H203" i="8"/>
  <c r="J203" i="8"/>
  <c r="I203" i="8"/>
  <c r="K202" i="8"/>
  <c r="G202" i="8"/>
  <c r="H202" i="8"/>
  <c r="J202" i="8"/>
  <c r="I202" i="8"/>
  <c r="K201" i="8"/>
  <c r="G201" i="8"/>
  <c r="H201" i="8"/>
  <c r="J201" i="8"/>
  <c r="I201" i="8"/>
  <c r="K200" i="8"/>
  <c r="G200" i="8"/>
  <c r="H200" i="8"/>
  <c r="J200" i="8"/>
  <c r="I200" i="8"/>
  <c r="K199" i="8"/>
  <c r="G199" i="8"/>
  <c r="H199" i="8"/>
  <c r="J199" i="8"/>
  <c r="I199" i="8"/>
  <c r="K198" i="8"/>
  <c r="G198" i="8"/>
  <c r="H198" i="8"/>
  <c r="J198" i="8"/>
  <c r="I198" i="8"/>
  <c r="K197" i="8"/>
  <c r="G197" i="8"/>
  <c r="H197" i="8"/>
  <c r="J197" i="8"/>
  <c r="I197" i="8"/>
  <c r="K196" i="8"/>
  <c r="G196" i="8"/>
  <c r="H196" i="8"/>
  <c r="J196" i="8"/>
  <c r="I196" i="8"/>
  <c r="K195" i="8"/>
  <c r="G195" i="8"/>
  <c r="H195" i="8"/>
  <c r="J195" i="8"/>
  <c r="I195" i="8"/>
  <c r="K194" i="8"/>
  <c r="G194" i="8"/>
  <c r="H194" i="8"/>
  <c r="J194" i="8"/>
  <c r="I194" i="8"/>
  <c r="K193" i="8"/>
  <c r="G193" i="8"/>
  <c r="H193" i="8"/>
  <c r="J193" i="8"/>
  <c r="I193" i="8"/>
  <c r="K192" i="8"/>
  <c r="G192" i="8"/>
  <c r="H192" i="8"/>
  <c r="J192" i="8"/>
  <c r="I192" i="8"/>
  <c r="K191" i="8"/>
  <c r="G191" i="8"/>
  <c r="H191" i="8"/>
  <c r="J191" i="8"/>
  <c r="I191" i="8"/>
  <c r="K190" i="8"/>
  <c r="G190" i="8"/>
  <c r="H190" i="8"/>
  <c r="J190" i="8"/>
  <c r="I190" i="8"/>
  <c r="K189" i="8"/>
  <c r="G189" i="8"/>
  <c r="H189" i="8"/>
  <c r="J189" i="8"/>
  <c r="I189" i="8"/>
  <c r="K188" i="8"/>
  <c r="G188" i="8"/>
  <c r="H188" i="8"/>
  <c r="J188" i="8"/>
  <c r="I188" i="8"/>
  <c r="K187" i="8"/>
  <c r="G187" i="8"/>
  <c r="H187" i="8"/>
  <c r="J187" i="8"/>
  <c r="I187" i="8"/>
  <c r="K186" i="8"/>
  <c r="G186" i="8"/>
  <c r="H186" i="8"/>
  <c r="J186" i="8"/>
  <c r="I186" i="8"/>
  <c r="K185" i="8"/>
  <c r="G185" i="8"/>
  <c r="H185" i="8"/>
  <c r="J185" i="8"/>
  <c r="I185" i="8"/>
  <c r="K184" i="8"/>
  <c r="G184" i="8"/>
  <c r="H184" i="8"/>
  <c r="J184" i="8"/>
  <c r="I184" i="8"/>
  <c r="K183" i="8"/>
  <c r="G183" i="8"/>
  <c r="H183" i="8"/>
  <c r="J183" i="8"/>
  <c r="I183" i="8"/>
  <c r="K182" i="8"/>
  <c r="G182" i="8"/>
  <c r="H182" i="8"/>
  <c r="J182" i="8"/>
  <c r="I182" i="8"/>
  <c r="K181" i="8"/>
  <c r="G181" i="8"/>
  <c r="H181" i="8"/>
  <c r="J181" i="8"/>
  <c r="I181" i="8"/>
  <c r="K180" i="8"/>
  <c r="G180" i="8"/>
  <c r="H180" i="8"/>
  <c r="J180" i="8"/>
  <c r="I180" i="8"/>
  <c r="K179" i="8"/>
  <c r="G179" i="8"/>
  <c r="H179" i="8"/>
  <c r="J179" i="8"/>
  <c r="I179" i="8"/>
  <c r="K178" i="8"/>
  <c r="G178" i="8"/>
  <c r="H178" i="8"/>
  <c r="J178" i="8"/>
  <c r="I178" i="8"/>
  <c r="K177" i="8"/>
  <c r="G177" i="8"/>
  <c r="H177" i="8"/>
  <c r="J177" i="8"/>
  <c r="I177" i="8"/>
  <c r="K176" i="8"/>
  <c r="G176" i="8"/>
  <c r="H176" i="8"/>
  <c r="J176" i="8"/>
  <c r="I176" i="8"/>
  <c r="K175" i="8"/>
  <c r="G175" i="8"/>
  <c r="H175" i="8"/>
  <c r="J175" i="8"/>
  <c r="I175" i="8"/>
  <c r="K174" i="8"/>
  <c r="G174" i="8"/>
  <c r="H174" i="8"/>
  <c r="J174" i="8"/>
  <c r="I174" i="8"/>
  <c r="K173" i="8"/>
  <c r="G173" i="8"/>
  <c r="H173" i="8"/>
  <c r="J173" i="8"/>
  <c r="I173" i="8"/>
  <c r="K172" i="8"/>
  <c r="G172" i="8"/>
  <c r="H172" i="8"/>
  <c r="J172" i="8"/>
  <c r="I172" i="8"/>
  <c r="K171" i="8"/>
  <c r="G171" i="8"/>
  <c r="H171" i="8"/>
  <c r="J171" i="8"/>
  <c r="I171" i="8"/>
  <c r="K170" i="8"/>
  <c r="G170" i="8"/>
  <c r="H170" i="8"/>
  <c r="J170" i="8"/>
  <c r="I170" i="8"/>
  <c r="K169" i="8"/>
  <c r="G169" i="8"/>
  <c r="H169" i="8"/>
  <c r="J169" i="8"/>
  <c r="I169" i="8"/>
  <c r="K168" i="8"/>
  <c r="G168" i="8"/>
  <c r="H168" i="8"/>
  <c r="J168" i="8"/>
  <c r="I168" i="8"/>
  <c r="K167" i="8"/>
  <c r="G167" i="8"/>
  <c r="H167" i="8"/>
  <c r="J167" i="8"/>
  <c r="I167" i="8"/>
  <c r="K166" i="8"/>
  <c r="G166" i="8"/>
  <c r="H166" i="8"/>
  <c r="J166" i="8"/>
  <c r="I166" i="8"/>
  <c r="K165" i="8"/>
  <c r="G165" i="8"/>
  <c r="H165" i="8"/>
  <c r="J165" i="8"/>
  <c r="I165" i="8"/>
  <c r="K164" i="8"/>
  <c r="G164" i="8"/>
  <c r="H164" i="8"/>
  <c r="J164" i="8"/>
  <c r="I164" i="8"/>
  <c r="K163" i="8"/>
  <c r="G163" i="8"/>
  <c r="H163" i="8"/>
  <c r="J163" i="8"/>
  <c r="I163" i="8"/>
  <c r="K162" i="8"/>
  <c r="G162" i="8"/>
  <c r="H162" i="8"/>
  <c r="J162" i="8"/>
  <c r="I162" i="8"/>
  <c r="K161" i="8"/>
  <c r="G161" i="8"/>
  <c r="H161" i="8"/>
  <c r="J161" i="8"/>
  <c r="I161" i="8"/>
  <c r="K160" i="8"/>
  <c r="G160" i="8"/>
  <c r="H160" i="8"/>
  <c r="J160" i="8"/>
  <c r="I160" i="8"/>
  <c r="K159" i="8"/>
  <c r="G159" i="8"/>
  <c r="H159" i="8"/>
  <c r="J159" i="8"/>
  <c r="I159" i="8"/>
  <c r="K158" i="8"/>
  <c r="G158" i="8"/>
  <c r="H158" i="8"/>
  <c r="J158" i="8"/>
  <c r="I158" i="8"/>
  <c r="K157" i="8"/>
  <c r="G157" i="8"/>
  <c r="H157" i="8"/>
  <c r="J157" i="8"/>
  <c r="I157" i="8"/>
  <c r="K156" i="8"/>
  <c r="G156" i="8"/>
  <c r="H156" i="8"/>
  <c r="J156" i="8"/>
  <c r="I156" i="8"/>
  <c r="K155" i="8"/>
  <c r="G155" i="8"/>
  <c r="H155" i="8"/>
  <c r="J155" i="8"/>
  <c r="I155" i="8"/>
  <c r="K154" i="8"/>
  <c r="G154" i="8"/>
  <c r="H154" i="8"/>
  <c r="J154" i="8"/>
  <c r="I154" i="8"/>
  <c r="K153" i="8"/>
  <c r="G153" i="8"/>
  <c r="H153" i="8"/>
  <c r="J153" i="8"/>
  <c r="I153" i="8"/>
  <c r="K152" i="8"/>
  <c r="G152" i="8"/>
  <c r="H152" i="8"/>
  <c r="J152" i="8"/>
  <c r="I152" i="8"/>
  <c r="K151" i="8"/>
  <c r="G151" i="8"/>
  <c r="H151" i="8"/>
  <c r="J151" i="8"/>
  <c r="I151" i="8"/>
  <c r="K150" i="8"/>
  <c r="G150" i="8"/>
  <c r="H150" i="8"/>
  <c r="J150" i="8"/>
  <c r="I150" i="8"/>
  <c r="K149" i="8"/>
  <c r="G149" i="8"/>
  <c r="H149" i="8"/>
  <c r="J149" i="8"/>
  <c r="I149" i="8"/>
  <c r="K148" i="8"/>
  <c r="G148" i="8"/>
  <c r="H148" i="8"/>
  <c r="J148" i="8"/>
  <c r="I148" i="8"/>
  <c r="K147" i="8"/>
  <c r="G147" i="8"/>
  <c r="H147" i="8"/>
  <c r="J147" i="8"/>
  <c r="I147" i="8"/>
  <c r="K146" i="8"/>
  <c r="G146" i="8"/>
  <c r="H146" i="8"/>
  <c r="J146" i="8"/>
  <c r="I146" i="8"/>
  <c r="K145" i="8"/>
  <c r="G145" i="8"/>
  <c r="H145" i="8"/>
  <c r="J145" i="8"/>
  <c r="I145" i="8"/>
  <c r="K144" i="8"/>
  <c r="G144" i="8"/>
  <c r="H144" i="8"/>
  <c r="J144" i="8"/>
  <c r="I144" i="8"/>
  <c r="K143" i="8"/>
  <c r="G143" i="8"/>
  <c r="H143" i="8"/>
  <c r="J143" i="8"/>
  <c r="I143" i="8"/>
  <c r="K142" i="8"/>
  <c r="G142" i="8"/>
  <c r="H142" i="8"/>
  <c r="J142" i="8"/>
  <c r="I142" i="8"/>
  <c r="K141" i="8"/>
  <c r="G141" i="8"/>
  <c r="H141" i="8"/>
  <c r="J141" i="8"/>
  <c r="I141" i="8"/>
  <c r="K140" i="8"/>
  <c r="G140" i="8"/>
  <c r="H140" i="8"/>
  <c r="J140" i="8"/>
  <c r="I140" i="8"/>
  <c r="K139" i="8"/>
  <c r="G139" i="8"/>
  <c r="H139" i="8"/>
  <c r="J139" i="8"/>
  <c r="I139" i="8"/>
  <c r="K138" i="8"/>
  <c r="G138" i="8"/>
  <c r="H138" i="8"/>
  <c r="J138" i="8"/>
  <c r="I138" i="8"/>
  <c r="K137" i="8"/>
  <c r="G137" i="8"/>
  <c r="H137" i="8"/>
  <c r="J137" i="8"/>
  <c r="I137" i="8"/>
  <c r="K136" i="8"/>
  <c r="G136" i="8"/>
  <c r="H136" i="8"/>
  <c r="J136" i="8"/>
  <c r="I136" i="8"/>
  <c r="K135" i="8"/>
  <c r="G135" i="8"/>
  <c r="H135" i="8"/>
  <c r="J135" i="8"/>
  <c r="I135" i="8"/>
  <c r="K134" i="8"/>
  <c r="G134" i="8"/>
  <c r="H134" i="8"/>
  <c r="J134" i="8"/>
  <c r="I134" i="8"/>
  <c r="K133" i="8"/>
  <c r="G133" i="8"/>
  <c r="H133" i="8"/>
  <c r="J133" i="8"/>
  <c r="I133" i="8"/>
  <c r="K132" i="8"/>
  <c r="G132" i="8"/>
  <c r="H132" i="8"/>
  <c r="J132" i="8"/>
  <c r="I132" i="8"/>
  <c r="K131" i="8"/>
  <c r="G131" i="8"/>
  <c r="H131" i="8"/>
  <c r="J131" i="8"/>
  <c r="I131" i="8"/>
  <c r="K130" i="8"/>
  <c r="G130" i="8"/>
  <c r="H130" i="8"/>
  <c r="J130" i="8"/>
  <c r="I130" i="8"/>
  <c r="K129" i="8"/>
  <c r="G129" i="8"/>
  <c r="H129" i="8"/>
  <c r="J129" i="8"/>
  <c r="I129" i="8"/>
  <c r="K128" i="8"/>
  <c r="G128" i="8"/>
  <c r="H128" i="8"/>
  <c r="J128" i="8"/>
  <c r="I128" i="8"/>
  <c r="K127" i="8"/>
  <c r="G127" i="8"/>
  <c r="H127" i="8"/>
  <c r="J127" i="8"/>
  <c r="I127" i="8"/>
  <c r="K126" i="8"/>
  <c r="G126" i="8"/>
  <c r="H126" i="8"/>
  <c r="J126" i="8"/>
  <c r="I126" i="8"/>
  <c r="K125" i="8"/>
  <c r="G125" i="8"/>
  <c r="H125" i="8"/>
  <c r="J125" i="8"/>
  <c r="I125" i="8"/>
  <c r="K124" i="8"/>
  <c r="G124" i="8"/>
  <c r="H124" i="8"/>
  <c r="J124" i="8"/>
  <c r="I124" i="8"/>
  <c r="K123" i="8"/>
  <c r="G123" i="8"/>
  <c r="H123" i="8"/>
  <c r="J123" i="8"/>
  <c r="I123" i="8"/>
  <c r="K122" i="8"/>
  <c r="G122" i="8"/>
  <c r="H122" i="8"/>
  <c r="J122" i="8"/>
  <c r="I122" i="8"/>
  <c r="K121" i="8"/>
  <c r="G121" i="8"/>
  <c r="H121" i="8"/>
  <c r="J121" i="8"/>
  <c r="I121" i="8"/>
  <c r="K120" i="8"/>
  <c r="G120" i="8"/>
  <c r="H120" i="8"/>
  <c r="J120" i="8"/>
  <c r="I120" i="8"/>
  <c r="K119" i="8"/>
  <c r="G119" i="8"/>
  <c r="H119" i="8"/>
  <c r="J119" i="8"/>
  <c r="I119" i="8"/>
  <c r="K118" i="8"/>
  <c r="G118" i="8"/>
  <c r="H118" i="8"/>
  <c r="J118" i="8"/>
  <c r="I118" i="8"/>
  <c r="K117" i="8"/>
  <c r="G117" i="8"/>
  <c r="H117" i="8"/>
  <c r="J117" i="8"/>
  <c r="I117" i="8"/>
  <c r="K116" i="8"/>
  <c r="G116" i="8"/>
  <c r="H116" i="8"/>
  <c r="J116" i="8"/>
  <c r="I116" i="8"/>
  <c r="K115" i="8"/>
  <c r="G115" i="8"/>
  <c r="H115" i="8"/>
  <c r="J115" i="8"/>
  <c r="I115" i="8"/>
  <c r="K114" i="8"/>
  <c r="G114" i="8"/>
  <c r="H114" i="8"/>
  <c r="J114" i="8"/>
  <c r="I114" i="8"/>
  <c r="K113" i="8"/>
  <c r="G113" i="8"/>
  <c r="H113" i="8"/>
  <c r="J113" i="8"/>
  <c r="I113" i="8"/>
  <c r="K112" i="8"/>
  <c r="G112" i="8"/>
  <c r="H112" i="8"/>
  <c r="J112" i="8"/>
  <c r="I112" i="8"/>
  <c r="K111" i="8"/>
  <c r="G111" i="8"/>
  <c r="H111" i="8"/>
  <c r="J111" i="8"/>
  <c r="I111" i="8"/>
  <c r="K110" i="8"/>
  <c r="G110" i="8"/>
  <c r="H110" i="8"/>
  <c r="J110" i="8"/>
  <c r="I110" i="8"/>
  <c r="K109" i="8"/>
  <c r="G109" i="8"/>
  <c r="H109" i="8"/>
  <c r="J109" i="8"/>
  <c r="I109" i="8"/>
  <c r="K108" i="8"/>
  <c r="G108" i="8"/>
  <c r="H108" i="8"/>
  <c r="J108" i="8"/>
  <c r="I108" i="8"/>
  <c r="K107" i="8"/>
  <c r="G107" i="8"/>
  <c r="H107" i="8"/>
  <c r="J107" i="8"/>
  <c r="I107" i="8"/>
  <c r="K106" i="8"/>
  <c r="G106" i="8"/>
  <c r="H106" i="8"/>
  <c r="J106" i="8"/>
  <c r="I106" i="8"/>
  <c r="K105" i="8"/>
  <c r="G105" i="8"/>
  <c r="H105" i="8"/>
  <c r="J105" i="8"/>
  <c r="I105" i="8"/>
  <c r="K104" i="8"/>
  <c r="G104" i="8"/>
  <c r="H104" i="8"/>
  <c r="J104" i="8"/>
  <c r="I104" i="8"/>
  <c r="K103" i="8"/>
  <c r="G103" i="8"/>
  <c r="H103" i="8"/>
  <c r="J103" i="8"/>
  <c r="I103" i="8"/>
  <c r="K102" i="8"/>
  <c r="G102" i="8"/>
  <c r="H102" i="8"/>
  <c r="J102" i="8"/>
  <c r="I102" i="8"/>
  <c r="K101" i="8"/>
  <c r="G101" i="8"/>
  <c r="H101" i="8"/>
  <c r="J101" i="8"/>
  <c r="I101" i="8"/>
  <c r="K100" i="8"/>
  <c r="G100" i="8"/>
  <c r="H100" i="8"/>
  <c r="J100" i="8"/>
  <c r="I100" i="8"/>
  <c r="K99" i="8"/>
  <c r="G99" i="8"/>
  <c r="H99" i="8"/>
  <c r="J99" i="8"/>
  <c r="I99" i="8"/>
  <c r="K98" i="8"/>
  <c r="G98" i="8"/>
  <c r="H98" i="8"/>
  <c r="J98" i="8"/>
  <c r="I98" i="8"/>
  <c r="K97" i="8"/>
  <c r="G97" i="8"/>
  <c r="H97" i="8"/>
  <c r="J97" i="8"/>
  <c r="I97" i="8"/>
  <c r="K96" i="8"/>
  <c r="G96" i="8"/>
  <c r="H96" i="8"/>
  <c r="J96" i="8"/>
  <c r="I96" i="8"/>
  <c r="K95" i="8"/>
  <c r="G95" i="8"/>
  <c r="H95" i="8"/>
  <c r="J95" i="8"/>
  <c r="I95" i="8"/>
  <c r="K94" i="8"/>
  <c r="G94" i="8"/>
  <c r="H94" i="8"/>
  <c r="J94" i="8"/>
  <c r="I94" i="8"/>
  <c r="K93" i="8"/>
  <c r="G93" i="8"/>
  <c r="H93" i="8"/>
  <c r="J93" i="8"/>
  <c r="I93" i="8"/>
  <c r="K92" i="8"/>
  <c r="G92" i="8"/>
  <c r="H92" i="8"/>
  <c r="J92" i="8"/>
  <c r="I92" i="8"/>
  <c r="K91" i="8"/>
  <c r="G91" i="8"/>
  <c r="H91" i="8"/>
  <c r="J91" i="8"/>
  <c r="I91" i="8"/>
  <c r="K90" i="8"/>
  <c r="G90" i="8"/>
  <c r="H90" i="8"/>
  <c r="J90" i="8"/>
  <c r="I90" i="8"/>
  <c r="K89" i="8"/>
  <c r="G89" i="8"/>
  <c r="H89" i="8"/>
  <c r="J89" i="8"/>
  <c r="I89" i="8"/>
  <c r="K88" i="8"/>
  <c r="G88" i="8"/>
  <c r="H88" i="8"/>
  <c r="J88" i="8"/>
  <c r="I88" i="8"/>
  <c r="K87" i="8"/>
  <c r="G87" i="8"/>
  <c r="H87" i="8"/>
  <c r="J87" i="8"/>
  <c r="I87" i="8"/>
  <c r="K86" i="8"/>
  <c r="G86" i="8"/>
  <c r="H86" i="8"/>
  <c r="J86" i="8"/>
  <c r="I86" i="8"/>
  <c r="K85" i="8"/>
  <c r="G85" i="8"/>
  <c r="H85" i="8"/>
  <c r="J85" i="8"/>
  <c r="I85" i="8"/>
  <c r="K84" i="8"/>
  <c r="G84" i="8"/>
  <c r="H84" i="8"/>
  <c r="J84" i="8"/>
  <c r="I84" i="8"/>
  <c r="K83" i="8"/>
  <c r="G83" i="8"/>
  <c r="H83" i="8"/>
  <c r="J83" i="8"/>
  <c r="I83" i="8"/>
  <c r="K82" i="8"/>
  <c r="G82" i="8"/>
  <c r="H82" i="8"/>
  <c r="J82" i="8"/>
  <c r="I82" i="8"/>
  <c r="K81" i="8"/>
  <c r="G81" i="8"/>
  <c r="H81" i="8"/>
  <c r="J81" i="8"/>
  <c r="I81" i="8"/>
  <c r="K80" i="8"/>
  <c r="G80" i="8"/>
  <c r="H80" i="8"/>
  <c r="J80" i="8"/>
  <c r="I80" i="8"/>
  <c r="K79" i="8"/>
  <c r="G79" i="8"/>
  <c r="H79" i="8"/>
  <c r="J79" i="8"/>
  <c r="I79" i="8"/>
  <c r="K78" i="8"/>
  <c r="G78" i="8"/>
  <c r="H78" i="8"/>
  <c r="J78" i="8"/>
  <c r="I78" i="8"/>
  <c r="K77" i="8"/>
  <c r="G77" i="8"/>
  <c r="H77" i="8"/>
  <c r="J77" i="8"/>
  <c r="I77" i="8"/>
  <c r="K76" i="8"/>
  <c r="G76" i="8"/>
  <c r="H76" i="8"/>
  <c r="J76" i="8"/>
  <c r="I76" i="8"/>
  <c r="K75" i="8"/>
  <c r="G75" i="8"/>
  <c r="H75" i="8"/>
  <c r="J75" i="8"/>
  <c r="I75" i="8"/>
  <c r="K74" i="8"/>
  <c r="G74" i="8"/>
  <c r="H74" i="8"/>
  <c r="J74" i="8"/>
  <c r="I74" i="8"/>
  <c r="K73" i="8"/>
  <c r="G73" i="8"/>
  <c r="H73" i="8"/>
  <c r="J73" i="8"/>
  <c r="I73" i="8"/>
  <c r="K72" i="8"/>
  <c r="G72" i="8"/>
  <c r="H72" i="8"/>
  <c r="J72" i="8"/>
  <c r="I72" i="8"/>
  <c r="K71" i="8"/>
  <c r="G71" i="8"/>
  <c r="H71" i="8"/>
  <c r="J71" i="8"/>
  <c r="I71" i="8"/>
  <c r="K70" i="8"/>
  <c r="G70" i="8"/>
  <c r="H70" i="8"/>
  <c r="J70" i="8"/>
  <c r="I70" i="8"/>
  <c r="K69" i="8"/>
  <c r="G69" i="8"/>
  <c r="H69" i="8"/>
  <c r="J69" i="8"/>
  <c r="I69" i="8"/>
  <c r="K68" i="8"/>
  <c r="G68" i="8"/>
  <c r="H68" i="8"/>
  <c r="J68" i="8"/>
  <c r="I68" i="8"/>
  <c r="K67" i="8"/>
  <c r="G67" i="8"/>
  <c r="H67" i="8"/>
  <c r="J67" i="8"/>
  <c r="I67" i="8"/>
  <c r="K66" i="8"/>
  <c r="G66" i="8"/>
  <c r="H66" i="8"/>
  <c r="J66" i="8"/>
  <c r="I66" i="8"/>
  <c r="K65" i="8"/>
  <c r="G65" i="8"/>
  <c r="H65" i="8"/>
  <c r="J65" i="8"/>
  <c r="I65" i="8"/>
  <c r="K64" i="8"/>
  <c r="G64" i="8"/>
  <c r="H64" i="8"/>
  <c r="J64" i="8"/>
  <c r="I64" i="8"/>
  <c r="K63" i="8"/>
  <c r="G63" i="8"/>
  <c r="H63" i="8"/>
  <c r="J63" i="8"/>
  <c r="I63" i="8"/>
  <c r="K62" i="8"/>
  <c r="G62" i="8"/>
  <c r="H62" i="8"/>
  <c r="J62" i="8"/>
  <c r="I62" i="8"/>
  <c r="K61" i="8"/>
  <c r="G61" i="8"/>
  <c r="H61" i="8"/>
  <c r="J61" i="8"/>
  <c r="I61" i="8"/>
  <c r="K60" i="8"/>
  <c r="G60" i="8"/>
  <c r="H60" i="8"/>
  <c r="J60" i="8"/>
  <c r="I60" i="8"/>
  <c r="K59" i="8"/>
  <c r="G59" i="8"/>
  <c r="H59" i="8"/>
  <c r="J59" i="8"/>
  <c r="I59" i="8"/>
  <c r="K58" i="8"/>
  <c r="G58" i="8"/>
  <c r="H58" i="8"/>
  <c r="J58" i="8"/>
  <c r="I58" i="8"/>
  <c r="K57" i="8"/>
  <c r="G57" i="8"/>
  <c r="H57" i="8"/>
  <c r="J57" i="8"/>
  <c r="I57" i="8"/>
  <c r="K56" i="8"/>
  <c r="G56" i="8"/>
  <c r="H56" i="8"/>
  <c r="J56" i="8"/>
  <c r="I56" i="8"/>
  <c r="K55" i="8"/>
  <c r="G55" i="8"/>
  <c r="H55" i="8"/>
  <c r="J55" i="8"/>
  <c r="I55" i="8"/>
  <c r="K54" i="8"/>
  <c r="G54" i="8"/>
  <c r="H54" i="8"/>
  <c r="J54" i="8"/>
  <c r="I54" i="8"/>
  <c r="K53" i="8"/>
  <c r="G53" i="8"/>
  <c r="H53" i="8"/>
  <c r="J53" i="8"/>
  <c r="I53" i="8"/>
  <c r="K52" i="8"/>
  <c r="G52" i="8"/>
  <c r="H52" i="8"/>
  <c r="J52" i="8"/>
  <c r="I52" i="8"/>
  <c r="K51" i="8"/>
  <c r="G51" i="8"/>
  <c r="H51" i="8"/>
  <c r="J51" i="8"/>
  <c r="I51" i="8"/>
  <c r="K50" i="8"/>
  <c r="G50" i="8"/>
  <c r="H50" i="8"/>
  <c r="J50" i="8"/>
  <c r="I50" i="8"/>
  <c r="K49" i="8"/>
  <c r="G49" i="8"/>
  <c r="H49" i="8"/>
  <c r="J49" i="8"/>
  <c r="I49" i="8"/>
  <c r="K48" i="8"/>
  <c r="G48" i="8"/>
  <c r="H48" i="8"/>
  <c r="J48" i="8"/>
  <c r="I48" i="8"/>
  <c r="K47" i="8"/>
  <c r="G47" i="8"/>
  <c r="H47" i="8"/>
  <c r="J47" i="8"/>
  <c r="I47" i="8"/>
  <c r="K46" i="8"/>
  <c r="G46" i="8"/>
  <c r="H46" i="8"/>
  <c r="J46" i="8"/>
  <c r="I46" i="8"/>
  <c r="K45" i="8"/>
  <c r="G45" i="8"/>
  <c r="H45" i="8"/>
  <c r="J45" i="8"/>
  <c r="I45" i="8"/>
  <c r="K44" i="8"/>
  <c r="G44" i="8"/>
  <c r="H44" i="8"/>
  <c r="J44" i="8"/>
  <c r="I44" i="8"/>
  <c r="K43" i="8"/>
  <c r="G43" i="8"/>
  <c r="H43" i="8"/>
  <c r="J43" i="8"/>
  <c r="I43" i="8"/>
  <c r="K42" i="8"/>
  <c r="G42" i="8"/>
  <c r="H42" i="8"/>
  <c r="J42" i="8"/>
  <c r="I42" i="8"/>
  <c r="K41" i="8"/>
  <c r="G41" i="8"/>
  <c r="H41" i="8"/>
  <c r="J41" i="8"/>
  <c r="I41" i="8"/>
  <c r="K40" i="8"/>
  <c r="G40" i="8"/>
  <c r="H40" i="8"/>
  <c r="J40" i="8"/>
  <c r="I40" i="8"/>
  <c r="K39" i="8"/>
  <c r="G39" i="8"/>
  <c r="H39" i="8"/>
  <c r="J39" i="8"/>
  <c r="I39" i="8"/>
  <c r="K38" i="8"/>
  <c r="G38" i="8"/>
  <c r="H38" i="8"/>
  <c r="J38" i="8"/>
  <c r="I38" i="8"/>
  <c r="K37" i="8"/>
  <c r="G37" i="8"/>
  <c r="H37" i="8"/>
  <c r="J37" i="8"/>
  <c r="I37" i="8"/>
  <c r="K36" i="8"/>
  <c r="G36" i="8"/>
  <c r="H36" i="8"/>
  <c r="J36" i="8"/>
  <c r="I36" i="8"/>
  <c r="K35" i="8"/>
  <c r="G35" i="8"/>
  <c r="H35" i="8"/>
  <c r="J35" i="8"/>
  <c r="I35" i="8"/>
  <c r="K34" i="8"/>
  <c r="G34" i="8"/>
  <c r="H34" i="8"/>
  <c r="J34" i="8"/>
  <c r="I34" i="8"/>
  <c r="K33" i="8"/>
  <c r="G33" i="8"/>
  <c r="H33" i="8"/>
  <c r="J33" i="8"/>
  <c r="I33" i="8"/>
  <c r="K32" i="8"/>
  <c r="G32" i="8"/>
  <c r="H32" i="8"/>
  <c r="J32" i="8"/>
  <c r="I32" i="8"/>
  <c r="K31" i="8"/>
  <c r="G31" i="8"/>
  <c r="H31" i="8"/>
  <c r="J31" i="8"/>
  <c r="I31" i="8"/>
  <c r="K30" i="8"/>
  <c r="G30" i="8"/>
  <c r="H30" i="8"/>
  <c r="J30" i="8"/>
  <c r="I30" i="8"/>
  <c r="K29" i="8"/>
  <c r="G29" i="8"/>
  <c r="H29" i="8"/>
  <c r="J29" i="8"/>
  <c r="I29" i="8"/>
  <c r="K28" i="8"/>
  <c r="G28" i="8"/>
  <c r="H28" i="8"/>
  <c r="J28" i="8"/>
  <c r="I28" i="8"/>
  <c r="K27" i="8"/>
  <c r="G27" i="8"/>
  <c r="H27" i="8"/>
  <c r="J27" i="8"/>
  <c r="I27" i="8"/>
  <c r="K26" i="8"/>
  <c r="G26" i="8"/>
  <c r="H26" i="8"/>
  <c r="J26" i="8"/>
  <c r="I26" i="8"/>
  <c r="K25" i="8"/>
  <c r="G25" i="8"/>
  <c r="H25" i="8"/>
  <c r="J25" i="8"/>
  <c r="I25" i="8"/>
  <c r="K24" i="8"/>
  <c r="G24" i="8"/>
  <c r="H24" i="8"/>
  <c r="J24" i="8"/>
  <c r="I24" i="8"/>
  <c r="K23" i="8"/>
  <c r="G23" i="8"/>
  <c r="H23" i="8"/>
  <c r="J23" i="8"/>
  <c r="I23" i="8"/>
  <c r="K22" i="8"/>
  <c r="G22" i="8"/>
  <c r="H22" i="8"/>
  <c r="J22" i="8"/>
  <c r="I22" i="8"/>
  <c r="K21" i="8"/>
  <c r="G21" i="8"/>
  <c r="H21" i="8"/>
  <c r="J21" i="8"/>
  <c r="I21" i="8"/>
  <c r="K20" i="8"/>
  <c r="G20" i="8"/>
  <c r="H20" i="8"/>
  <c r="J20" i="8"/>
  <c r="I20" i="8"/>
  <c r="K19" i="8"/>
  <c r="G19" i="8"/>
  <c r="H19" i="8"/>
  <c r="J19" i="8"/>
  <c r="I19" i="8"/>
  <c r="K18" i="8"/>
  <c r="G18" i="8"/>
  <c r="H18" i="8"/>
  <c r="J18" i="8"/>
  <c r="I18" i="8"/>
  <c r="K17" i="8"/>
  <c r="G17" i="8"/>
  <c r="H17" i="8"/>
  <c r="J17" i="8"/>
  <c r="I17" i="8"/>
  <c r="K16" i="8"/>
  <c r="G16" i="8"/>
  <c r="H16" i="8"/>
  <c r="J16" i="8"/>
  <c r="I16" i="8"/>
  <c r="K15" i="8"/>
  <c r="G15" i="8"/>
  <c r="H15" i="8"/>
  <c r="J15" i="8"/>
  <c r="I15" i="8"/>
  <c r="K14" i="8"/>
  <c r="G14" i="8"/>
  <c r="H14" i="8"/>
  <c r="J14" i="8"/>
  <c r="I14" i="8"/>
  <c r="K13" i="8"/>
  <c r="G13" i="8"/>
  <c r="H13" i="8"/>
  <c r="J13" i="8"/>
  <c r="I13" i="8"/>
  <c r="K12" i="8"/>
  <c r="G12" i="8"/>
  <c r="H12" i="8"/>
  <c r="J12" i="8"/>
  <c r="I12" i="8"/>
  <c r="K11" i="8"/>
  <c r="G11" i="8"/>
  <c r="H11" i="8"/>
  <c r="J11" i="8"/>
  <c r="I11" i="8"/>
  <c r="K10" i="8"/>
  <c r="G10" i="8"/>
  <c r="H10" i="8"/>
  <c r="J10" i="8"/>
  <c r="I10" i="8"/>
  <c r="K9" i="8"/>
  <c r="G9" i="8"/>
  <c r="H9" i="8"/>
  <c r="J9" i="8"/>
  <c r="I9" i="8"/>
  <c r="K8" i="8"/>
  <c r="G8" i="8"/>
  <c r="H8" i="8"/>
  <c r="J8" i="8"/>
  <c r="I8" i="8"/>
  <c r="K7" i="8"/>
  <c r="G7" i="8"/>
  <c r="H7" i="8"/>
  <c r="J7" i="8"/>
  <c r="I7" i="8"/>
  <c r="K6" i="8"/>
  <c r="G6" i="8"/>
  <c r="H6" i="8"/>
  <c r="J6" i="8"/>
  <c r="I6" i="8"/>
  <c r="K5" i="8"/>
  <c r="G5" i="8"/>
  <c r="H5" i="8"/>
  <c r="J5" i="8"/>
  <c r="I5" i="8"/>
  <c r="K4" i="8"/>
  <c r="G4" i="8"/>
  <c r="H4" i="8"/>
  <c r="J4" i="8"/>
  <c r="I4" i="8"/>
  <c r="K3" i="8"/>
  <c r="Q3" i="8" a="1"/>
  <c r="Q3" i="8"/>
  <c r="G3" i="8"/>
  <c r="H3" i="8"/>
  <c r="J3" i="8"/>
  <c r="I3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34939F-C671-4854-AAAB-DFD683F52B84}" keepAlive="1" name="Query - 200-Day-Moving Avg" description="Connection to the '200-Day-Moving Avg' query in the workbook." type="5" refreshedVersion="0" background="1">
    <dbPr connection="Provider=Microsoft.Mashup.OleDb.1;Data Source=$Workbook$;Location=&quot;200-Day-Moving Avg&quot;;Extended Properties=&quot;&quot;" command="SELECT * FROM [200-Day-Moving Avg]"/>
  </connection>
  <connection id="2" xr16:uid="{8AEF5969-5FC4-49BA-9C2C-888D06E2232A}" keepAlive="1" name="Query - 50-Day-Moving Avg" description="Connection to the '50-Day-Moving Avg' query in the workbook." type="5" refreshedVersion="0" background="1">
    <dbPr connection="Provider=Microsoft.Mashup.OleDb.1;Data Source=$Workbook$;Location=&quot;50-Day-Moving Avg&quot;;Extended Properties=&quot;&quot;" command="SELECT * FROM [50-Day-Moving Avg]"/>
  </connection>
  <connection id="3" xr16:uid="{4790F765-1341-45BA-8014-6CB3FA85D62C}" keepAlive="1" name="Query - Close_Moving_Averages" description="Connection to the 'Close_Moving_Averages' query in the workbook." type="5" refreshedVersion="8" background="1" saveData="1">
    <dbPr connection="Provider=Microsoft.Mashup.OleDb.1;Data Source=$Workbook$;Location=Close_Moving_Averages;Extended Properties=&quot;&quot;" command="SELECT * FROM [Close_Moving_Averag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<sst xmlns="http://schemas.openxmlformats.org/spreadsheetml/2006/main" count="57" uniqueCount="41">
  <si>
    <t>Date</t>
  </si>
  <si>
    <t>Close</t>
  </si>
  <si>
    <t>50-Day Average</t>
  </si>
  <si>
    <t>200-Day Average</t>
  </si>
  <si>
    <t>Golden Cross</t>
  </si>
  <si>
    <t>Death Cross</t>
  </si>
  <si>
    <t>Row Labels</t>
  </si>
  <si>
    <t>Grand Total</t>
  </si>
  <si>
    <t>Data Drills by Maven Analytics | Turning Bullish</t>
  </si>
  <si>
    <t>Year</t>
  </si>
  <si>
    <t>50-Day MA</t>
  </si>
  <si>
    <t>200-Day MA</t>
  </si>
  <si>
    <t>Dynamic Moving Averages with *new* MAP Function</t>
  </si>
  <si>
    <t>CP</t>
  </si>
  <si>
    <t>Golden_Cross</t>
  </si>
  <si>
    <t>Golden Cross Dates</t>
  </si>
  <si>
    <t>50-Day-MovingAverage</t>
  </si>
  <si>
    <t>200-Day-MovingAverage</t>
  </si>
  <si>
    <t>50-MA</t>
  </si>
  <si>
    <t>200-MA</t>
  </si>
  <si>
    <t>50Day-MA</t>
  </si>
  <si>
    <t>200Day-MA</t>
  </si>
  <si>
    <t>50-Day-Moving-Average M Code</t>
  </si>
  <si>
    <t>let</t>
  </si>
  <si>
    <t xml:space="preserve">    Source = Excel.CurrentWorkbook(){[Name="SPY_Close_Price"]}[Content],</t>
  </si>
  <si>
    <t xml:space="preserve">    #"Changed Type" = Table.TransformColumnTypes(Source,{{"Date", type date}, {"Close", type number}}),</t>
  </si>
  <si>
    <t xml:space="preserve">    #"Added Index" = Table.AddIndexColumn(#"Changed Type", "Index", 1, 1, Int64.Type),</t>
  </si>
  <si>
    <t xml:space="preserve">    #"Reordered Columns" = Table.ReorderColumns(#"Added Index",{"Index", "Date", "Close"}),</t>
  </si>
  <si>
    <t xml:space="preserve">    #"Added Custom" = Table.AddColumn(#"Reordered Columns", "ValueList", each #"Reordered Columns"[Close]),</t>
  </si>
  <si>
    <t xml:space="preserve">    #"Added Custom1" = Table.AddColumn(#"Added Custom", "Range50", each if ([Index] &lt; 50) then "" else List.Range([ValueList],  _[Index] - 50, 50)),</t>
  </si>
  <si>
    <t xml:space="preserve">    #"Added Custom2" = Table.AddColumn(#"Added Custom1", "50-Day-MovingAverage", each if [Range50] = "" then "" else List.Average([Range50])),</t>
  </si>
  <si>
    <t xml:space="preserve">    #"Removed Columns" = Table.RemoveColumns(#"Added Custom2",{"Index", "ValueList", "Range50"}),</t>
  </si>
  <si>
    <t xml:space="preserve">    #"Changed Type1" = Table.TransformColumnTypes(#"Removed Columns",{{"50-Day-MovingAverage", Currency.Type}, {"Close", Currency.Type}})</t>
  </si>
  <si>
    <t>in</t>
  </si>
  <si>
    <t xml:space="preserve">    #"Changed Type1"</t>
  </si>
  <si>
    <t>______________________________________________________________________________________________</t>
  </si>
  <si>
    <t>200-Day-Moving-Average M Code</t>
  </si>
  <si>
    <t xml:space="preserve">    #"Added Custom1" = Table.AddColumn(#"Added Custom", "Range200", each if ([Index] &lt; 200) then "" else List.Range([ValueList],  _[Index] - 200, 200)),</t>
  </si>
  <si>
    <t xml:space="preserve">    #"Added Custom2" = Table.AddColumn(#"Added Custom1", "200-Day-MovingAverage", each if [Range200] = "" then "" else List.Average([Range200])),</t>
  </si>
  <si>
    <t xml:space="preserve">    #"Removed Columns" = Table.RemoveColumns(#"Added Custom2",{"Index", "ValueList", "Range200"}),</t>
  </si>
  <si>
    <t xml:space="preserve">    #"Changed Type1" = Table.TransformColumnTypes(#"Removed Columns",{{"200-Day-MovingAverage", Currency.Type}, {"Close", Currency.Type}})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</si>
</sst>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dd/mmm/yyyy"/>
  </numFmts>
  <fonts count="22" x14ac:knownFonts="1"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6"/>
      <color rgb="FF006100"/>
      <name val="Calibri"/>
      <family val="2"/>
      <scheme val="minor"/>
    </font>
    <font>
      <sz val="16"/>
      <color rgb="FF9C0006"/>
      <name val="Calibri"/>
      <family val="2"/>
      <scheme val="minor"/>
    </font>
    <font>
      <sz val="16"/>
      <color rgb="FF9C5700"/>
      <name val="Calibri"/>
      <family val="2"/>
      <scheme val="minor"/>
    </font>
    <font>
      <sz val="16"/>
      <color rgb="FF3F3F76"/>
      <name val="Calibri"/>
      <family val="2"/>
      <scheme val="minor"/>
    </font>
    <font>
      <b/>
      <sz val="16"/>
      <color rgb="FF3F3F3F"/>
      <name val="Calibri"/>
      <family val="2"/>
      <scheme val="minor"/>
    </font>
    <font>
      <b/>
      <sz val="16"/>
      <color rgb="FFFA7D00"/>
      <name val="Calibri"/>
      <family val="2"/>
      <scheme val="minor"/>
    </font>
    <font>
      <sz val="16"/>
      <color rgb="FFFA7D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i/>
      <sz val="16"/>
      <color rgb="FF7F7F7F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rgb="FF000000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8EA9DB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rgb="FF8EA9DB"/>
      </top>
      <bottom/>
      <diagonal/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 style="thin">
        <color rgb="FF8EA9DB"/>
      </left>
      <right/>
      <top style="thin">
        <color theme="4" tint="0.39997558519241921"/>
      </top>
      <bottom/>
      <diagonal/>
    </border>
    <border>
      <left/>
      <right style="thin">
        <color rgb="FF8EA9DB"/>
      </right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pivotButton="1"/>
    <xf numFmtId="0" fontId="0" fillId="34" borderId="10" xfId="0" applyFill="1" applyBorder="1"/>
    <xf numFmtId="0" fontId="0" fillId="0" borderId="10" xfId="0" applyBorder="1"/>
    <xf numFmtId="14" fontId="0" fillId="34" borderId="10" xfId="0" applyNumberFormat="1" applyFill="1" applyBorder="1"/>
    <xf numFmtId="14" fontId="0" fillId="0" borderId="10" xfId="0" applyNumberFormat="1" applyBorder="1"/>
    <xf numFmtId="0" fontId="13" fillId="33" borderId="0" xfId="0" applyFont="1" applyFill="1"/>
    <xf numFmtId="0" fontId="18" fillId="0" borderId="0" xfId="42"/>
    <xf numFmtId="164" fontId="0" fillId="34" borderId="10" xfId="0" applyNumberFormat="1" applyFill="1" applyBorder="1"/>
    <xf numFmtId="164" fontId="0" fillId="0" borderId="10" xfId="0" applyNumberFormat="1" applyBorder="1"/>
    <xf numFmtId="1" fontId="0" fillId="0" borderId="0" xfId="0" applyNumberFormat="1"/>
    <xf numFmtId="164" fontId="0" fillId="0" borderId="0" xfId="0" applyNumberFormat="1"/>
    <xf numFmtId="1" fontId="0" fillId="34" borderId="10" xfId="0" applyNumberFormat="1" applyFill="1" applyBorder="1"/>
    <xf numFmtId="0" fontId="13" fillId="33" borderId="14" xfId="0" applyFont="1" applyFill="1" applyBorder="1"/>
    <xf numFmtId="0" fontId="13" fillId="33" borderId="15" xfId="0" applyFont="1" applyFill="1" applyBorder="1"/>
    <xf numFmtId="0" fontId="13" fillId="33" borderId="16" xfId="0" applyFont="1" applyFill="1" applyBorder="1"/>
    <xf numFmtId="14" fontId="0" fillId="34" borderId="17" xfId="0" applyNumberFormat="1" applyFill="1" applyBorder="1"/>
    <xf numFmtId="1" fontId="0" fillId="34" borderId="18" xfId="0" applyNumberFormat="1" applyFill="1" applyBorder="1"/>
    <xf numFmtId="14" fontId="0" fillId="0" borderId="17" xfId="0" applyNumberFormat="1" applyBorder="1"/>
    <xf numFmtId="1" fontId="0" fillId="0" borderId="18" xfId="0" applyNumberFormat="1" applyBorder="1"/>
    <xf numFmtId="14" fontId="0" fillId="0" borderId="12" xfId="0" applyNumberFormat="1" applyBorder="1"/>
    <xf numFmtId="164" fontId="0" fillId="0" borderId="11" xfId="0" applyNumberFormat="1" applyBorder="1"/>
    <xf numFmtId="1" fontId="0" fillId="34" borderId="11" xfId="0" applyNumberFormat="1" applyFill="1" applyBorder="1"/>
    <xf numFmtId="0" fontId="0" fillId="0" borderId="11" xfId="0" applyBorder="1"/>
    <xf numFmtId="1" fontId="0" fillId="0" borderId="13" xfId="0" applyNumberFormat="1" applyBorder="1"/>
    <xf numFmtId="14" fontId="0" fillId="0" borderId="0" xfId="0" applyNumberFormat="1"/>
    <xf numFmtId="165" fontId="0" fillId="0" borderId="0" xfId="0" applyNumberFormat="1"/>
    <xf numFmtId="0" fontId="19" fillId="0" borderId="0" xfId="0" applyFont="1"/>
    <xf numFmtId="0" fontId="19" fillId="0" borderId="0" xfId="42" applyFont="1"/>
    <xf numFmtId="14" fontId="0" fillId="0" borderId="0" xfId="0" applyNumberFormat="1" applyAlignment="1">
      <alignment horizontal="left"/>
    </xf>
    <xf numFmtId="0" fontId="2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1" formatCode="0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-[$$-409]* #,##0.00_ ;_-[$$-409]* \-#,##0.00\ ;_-[$$-409]* &quot;-&quot;??_ ;_-@_ 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9" formatCode="dd/mm/yyyy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-[$$-409]* #,##0.00_ ;_-[$$-409]* \-#,##0.00\ ;_-[$$-409]* &quot;-&quot;??_ ;_-@_ 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9" formatCode="dd/mm/yyyy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SPY_close_price!$B$2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SPY_close_price!$A$3:$A$1258</c:f>
              <c:numCache>
                <c:formatCode>m/d/yyyy</c:formatCode>
                <c:ptCount val="1256"/>
                <c:pt idx="0">
                  <c:v>44137</c:v>
                </c:pt>
                <c:pt idx="1">
                  <c:v>44138</c:v>
                </c:pt>
                <c:pt idx="2">
                  <c:v>44139</c:v>
                </c:pt>
                <c:pt idx="3">
                  <c:v>44140</c:v>
                </c:pt>
                <c:pt idx="4">
                  <c:v>44141</c:v>
                </c:pt>
                <c:pt idx="5">
                  <c:v>44144</c:v>
                </c:pt>
                <c:pt idx="6">
                  <c:v>44145</c:v>
                </c:pt>
                <c:pt idx="7">
                  <c:v>44146</c:v>
                </c:pt>
                <c:pt idx="8">
                  <c:v>44147</c:v>
                </c:pt>
                <c:pt idx="9">
                  <c:v>44148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44158</c:v>
                </c:pt>
                <c:pt idx="16">
                  <c:v>44159</c:v>
                </c:pt>
                <c:pt idx="17">
                  <c:v>44160</c:v>
                </c:pt>
                <c:pt idx="18">
                  <c:v>44162</c:v>
                </c:pt>
                <c:pt idx="19">
                  <c:v>44165</c:v>
                </c:pt>
                <c:pt idx="20">
                  <c:v>44166</c:v>
                </c:pt>
                <c:pt idx="21">
                  <c:v>44167</c:v>
                </c:pt>
                <c:pt idx="22">
                  <c:v>44168</c:v>
                </c:pt>
                <c:pt idx="23">
                  <c:v>44169</c:v>
                </c:pt>
                <c:pt idx="24">
                  <c:v>44172</c:v>
                </c:pt>
                <c:pt idx="25">
                  <c:v>44173</c:v>
                </c:pt>
                <c:pt idx="26">
                  <c:v>44174</c:v>
                </c:pt>
                <c:pt idx="27">
                  <c:v>44175</c:v>
                </c:pt>
                <c:pt idx="28">
                  <c:v>44176</c:v>
                </c:pt>
                <c:pt idx="29">
                  <c:v>44179</c:v>
                </c:pt>
                <c:pt idx="30">
                  <c:v>44180</c:v>
                </c:pt>
                <c:pt idx="31">
                  <c:v>44181</c:v>
                </c:pt>
                <c:pt idx="32">
                  <c:v>44182</c:v>
                </c:pt>
                <c:pt idx="33">
                  <c:v>44183</c:v>
                </c:pt>
                <c:pt idx="34">
                  <c:v>44186</c:v>
                </c:pt>
                <c:pt idx="35">
                  <c:v>44187</c:v>
                </c:pt>
                <c:pt idx="36">
                  <c:v>44188</c:v>
                </c:pt>
                <c:pt idx="37">
                  <c:v>44189</c:v>
                </c:pt>
                <c:pt idx="38">
                  <c:v>44193</c:v>
                </c:pt>
                <c:pt idx="39">
                  <c:v>44194</c:v>
                </c:pt>
                <c:pt idx="40">
                  <c:v>44195</c:v>
                </c:pt>
                <c:pt idx="41">
                  <c:v>44196</c:v>
                </c:pt>
                <c:pt idx="42">
                  <c:v>44200</c:v>
                </c:pt>
                <c:pt idx="43">
                  <c:v>44201</c:v>
                </c:pt>
                <c:pt idx="44">
                  <c:v>44202</c:v>
                </c:pt>
                <c:pt idx="45">
                  <c:v>44203</c:v>
                </c:pt>
                <c:pt idx="46">
                  <c:v>44204</c:v>
                </c:pt>
                <c:pt idx="47">
                  <c:v>44207</c:v>
                </c:pt>
                <c:pt idx="48">
                  <c:v>44208</c:v>
                </c:pt>
                <c:pt idx="49">
                  <c:v>44209</c:v>
                </c:pt>
                <c:pt idx="50">
                  <c:v>44210</c:v>
                </c:pt>
                <c:pt idx="51">
                  <c:v>44211</c:v>
                </c:pt>
                <c:pt idx="52">
                  <c:v>44215</c:v>
                </c:pt>
                <c:pt idx="53">
                  <c:v>44216</c:v>
                </c:pt>
                <c:pt idx="54">
                  <c:v>44217</c:v>
                </c:pt>
                <c:pt idx="55">
                  <c:v>44218</c:v>
                </c:pt>
                <c:pt idx="56">
                  <c:v>44221</c:v>
                </c:pt>
                <c:pt idx="57">
                  <c:v>44222</c:v>
                </c:pt>
                <c:pt idx="58">
                  <c:v>44223</c:v>
                </c:pt>
                <c:pt idx="59">
                  <c:v>44224</c:v>
                </c:pt>
                <c:pt idx="60">
                  <c:v>44225</c:v>
                </c:pt>
                <c:pt idx="61">
                  <c:v>44228</c:v>
                </c:pt>
                <c:pt idx="62">
                  <c:v>44229</c:v>
                </c:pt>
                <c:pt idx="63">
                  <c:v>44230</c:v>
                </c:pt>
                <c:pt idx="64">
                  <c:v>44231</c:v>
                </c:pt>
                <c:pt idx="65">
                  <c:v>44232</c:v>
                </c:pt>
                <c:pt idx="66">
                  <c:v>44235</c:v>
                </c:pt>
                <c:pt idx="67">
                  <c:v>44236</c:v>
                </c:pt>
                <c:pt idx="68">
                  <c:v>44237</c:v>
                </c:pt>
                <c:pt idx="69">
                  <c:v>44238</c:v>
                </c:pt>
                <c:pt idx="70">
                  <c:v>44239</c:v>
                </c:pt>
                <c:pt idx="71">
                  <c:v>44243</c:v>
                </c:pt>
                <c:pt idx="72">
                  <c:v>44244</c:v>
                </c:pt>
                <c:pt idx="73">
                  <c:v>44245</c:v>
                </c:pt>
                <c:pt idx="74">
                  <c:v>44246</c:v>
                </c:pt>
                <c:pt idx="75">
                  <c:v>44249</c:v>
                </c:pt>
                <c:pt idx="76">
                  <c:v>44250</c:v>
                </c:pt>
                <c:pt idx="77">
                  <c:v>44251</c:v>
                </c:pt>
                <c:pt idx="78">
                  <c:v>44252</c:v>
                </c:pt>
                <c:pt idx="79">
                  <c:v>44253</c:v>
                </c:pt>
                <c:pt idx="80">
                  <c:v>44256</c:v>
                </c:pt>
                <c:pt idx="81">
                  <c:v>44257</c:v>
                </c:pt>
                <c:pt idx="82">
                  <c:v>44258</c:v>
                </c:pt>
                <c:pt idx="83">
                  <c:v>44259</c:v>
                </c:pt>
                <c:pt idx="84">
                  <c:v>44260</c:v>
                </c:pt>
                <c:pt idx="85">
                  <c:v>44263</c:v>
                </c:pt>
                <c:pt idx="86">
                  <c:v>44264</c:v>
                </c:pt>
                <c:pt idx="87">
                  <c:v>44265</c:v>
                </c:pt>
                <c:pt idx="88">
                  <c:v>44266</c:v>
                </c:pt>
                <c:pt idx="89">
                  <c:v>44267</c:v>
                </c:pt>
                <c:pt idx="90">
                  <c:v>44270</c:v>
                </c:pt>
                <c:pt idx="91">
                  <c:v>44271</c:v>
                </c:pt>
                <c:pt idx="92">
                  <c:v>44272</c:v>
                </c:pt>
                <c:pt idx="93">
                  <c:v>44273</c:v>
                </c:pt>
                <c:pt idx="94">
                  <c:v>44274</c:v>
                </c:pt>
                <c:pt idx="95">
                  <c:v>44277</c:v>
                </c:pt>
                <c:pt idx="96">
                  <c:v>44278</c:v>
                </c:pt>
                <c:pt idx="97">
                  <c:v>44279</c:v>
                </c:pt>
                <c:pt idx="98">
                  <c:v>44280</c:v>
                </c:pt>
                <c:pt idx="99">
                  <c:v>44281</c:v>
                </c:pt>
                <c:pt idx="100">
                  <c:v>44284</c:v>
                </c:pt>
                <c:pt idx="101">
                  <c:v>44285</c:v>
                </c:pt>
                <c:pt idx="102">
                  <c:v>44286</c:v>
                </c:pt>
                <c:pt idx="103">
                  <c:v>44287</c:v>
                </c:pt>
                <c:pt idx="104">
                  <c:v>44291</c:v>
                </c:pt>
                <c:pt idx="105">
                  <c:v>44292</c:v>
                </c:pt>
                <c:pt idx="106">
                  <c:v>44293</c:v>
                </c:pt>
                <c:pt idx="107">
                  <c:v>44294</c:v>
                </c:pt>
                <c:pt idx="108">
                  <c:v>44295</c:v>
                </c:pt>
                <c:pt idx="109">
                  <c:v>44298</c:v>
                </c:pt>
                <c:pt idx="110">
                  <c:v>44299</c:v>
                </c:pt>
                <c:pt idx="111">
                  <c:v>44300</c:v>
                </c:pt>
                <c:pt idx="112">
                  <c:v>44301</c:v>
                </c:pt>
                <c:pt idx="113">
                  <c:v>44302</c:v>
                </c:pt>
                <c:pt idx="114">
                  <c:v>44305</c:v>
                </c:pt>
                <c:pt idx="115">
                  <c:v>44306</c:v>
                </c:pt>
                <c:pt idx="116">
                  <c:v>44307</c:v>
                </c:pt>
                <c:pt idx="117">
                  <c:v>44308</c:v>
                </c:pt>
                <c:pt idx="118">
                  <c:v>44309</c:v>
                </c:pt>
                <c:pt idx="119">
                  <c:v>44312</c:v>
                </c:pt>
                <c:pt idx="120">
                  <c:v>44313</c:v>
                </c:pt>
                <c:pt idx="121">
                  <c:v>44314</c:v>
                </c:pt>
                <c:pt idx="122">
                  <c:v>44315</c:v>
                </c:pt>
                <c:pt idx="123">
                  <c:v>44316</c:v>
                </c:pt>
                <c:pt idx="124">
                  <c:v>44319</c:v>
                </c:pt>
                <c:pt idx="125">
                  <c:v>44320</c:v>
                </c:pt>
                <c:pt idx="126">
                  <c:v>44321</c:v>
                </c:pt>
                <c:pt idx="127">
                  <c:v>44322</c:v>
                </c:pt>
                <c:pt idx="128">
                  <c:v>44323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44333</c:v>
                </c:pt>
                <c:pt idx="135">
                  <c:v>44334</c:v>
                </c:pt>
                <c:pt idx="136">
                  <c:v>44335</c:v>
                </c:pt>
                <c:pt idx="137">
                  <c:v>44336</c:v>
                </c:pt>
                <c:pt idx="138">
                  <c:v>44337</c:v>
                </c:pt>
                <c:pt idx="139">
                  <c:v>44340</c:v>
                </c:pt>
                <c:pt idx="140">
                  <c:v>44341</c:v>
                </c:pt>
                <c:pt idx="141">
                  <c:v>44342</c:v>
                </c:pt>
                <c:pt idx="142">
                  <c:v>44343</c:v>
                </c:pt>
                <c:pt idx="143">
                  <c:v>44344</c:v>
                </c:pt>
                <c:pt idx="144">
                  <c:v>44348</c:v>
                </c:pt>
                <c:pt idx="145">
                  <c:v>44349</c:v>
                </c:pt>
                <c:pt idx="146">
                  <c:v>44350</c:v>
                </c:pt>
                <c:pt idx="147">
                  <c:v>44351</c:v>
                </c:pt>
                <c:pt idx="148">
                  <c:v>44354</c:v>
                </c:pt>
                <c:pt idx="149">
                  <c:v>44355</c:v>
                </c:pt>
                <c:pt idx="150">
                  <c:v>44356</c:v>
                </c:pt>
                <c:pt idx="151">
                  <c:v>44357</c:v>
                </c:pt>
                <c:pt idx="152">
                  <c:v>44358</c:v>
                </c:pt>
                <c:pt idx="153">
                  <c:v>44361</c:v>
                </c:pt>
                <c:pt idx="154">
                  <c:v>44362</c:v>
                </c:pt>
                <c:pt idx="155">
                  <c:v>44363</c:v>
                </c:pt>
                <c:pt idx="156">
                  <c:v>44364</c:v>
                </c:pt>
                <c:pt idx="157">
                  <c:v>44365</c:v>
                </c:pt>
                <c:pt idx="158">
                  <c:v>44368</c:v>
                </c:pt>
                <c:pt idx="159">
                  <c:v>44369</c:v>
                </c:pt>
                <c:pt idx="160">
                  <c:v>44370</c:v>
                </c:pt>
                <c:pt idx="161">
                  <c:v>44371</c:v>
                </c:pt>
                <c:pt idx="162">
                  <c:v>44372</c:v>
                </c:pt>
                <c:pt idx="163">
                  <c:v>44375</c:v>
                </c:pt>
                <c:pt idx="164">
                  <c:v>44376</c:v>
                </c:pt>
                <c:pt idx="165">
                  <c:v>44377</c:v>
                </c:pt>
                <c:pt idx="166">
                  <c:v>44378</c:v>
                </c:pt>
                <c:pt idx="167">
                  <c:v>44379</c:v>
                </c:pt>
                <c:pt idx="168">
                  <c:v>44383</c:v>
                </c:pt>
                <c:pt idx="169">
                  <c:v>44384</c:v>
                </c:pt>
                <c:pt idx="170">
                  <c:v>44385</c:v>
                </c:pt>
                <c:pt idx="171">
                  <c:v>44386</c:v>
                </c:pt>
                <c:pt idx="172">
                  <c:v>44389</c:v>
                </c:pt>
                <c:pt idx="173">
                  <c:v>44390</c:v>
                </c:pt>
                <c:pt idx="174">
                  <c:v>44391</c:v>
                </c:pt>
                <c:pt idx="175">
                  <c:v>44392</c:v>
                </c:pt>
                <c:pt idx="176">
                  <c:v>44393</c:v>
                </c:pt>
                <c:pt idx="177">
                  <c:v>44396</c:v>
                </c:pt>
                <c:pt idx="178">
                  <c:v>44397</c:v>
                </c:pt>
                <c:pt idx="179">
                  <c:v>44398</c:v>
                </c:pt>
                <c:pt idx="180">
                  <c:v>44399</c:v>
                </c:pt>
                <c:pt idx="181">
                  <c:v>44400</c:v>
                </c:pt>
                <c:pt idx="182">
                  <c:v>44403</c:v>
                </c:pt>
                <c:pt idx="183">
                  <c:v>44404</c:v>
                </c:pt>
                <c:pt idx="184">
                  <c:v>44405</c:v>
                </c:pt>
                <c:pt idx="185">
                  <c:v>44406</c:v>
                </c:pt>
                <c:pt idx="186">
                  <c:v>44407</c:v>
                </c:pt>
                <c:pt idx="187">
                  <c:v>44410</c:v>
                </c:pt>
                <c:pt idx="188">
                  <c:v>44411</c:v>
                </c:pt>
                <c:pt idx="189">
                  <c:v>44412</c:v>
                </c:pt>
                <c:pt idx="190">
                  <c:v>44413</c:v>
                </c:pt>
                <c:pt idx="191">
                  <c:v>44414</c:v>
                </c:pt>
                <c:pt idx="192">
                  <c:v>44417</c:v>
                </c:pt>
                <c:pt idx="193">
                  <c:v>44418</c:v>
                </c:pt>
                <c:pt idx="194">
                  <c:v>44419</c:v>
                </c:pt>
                <c:pt idx="195">
                  <c:v>44420</c:v>
                </c:pt>
                <c:pt idx="196">
                  <c:v>44421</c:v>
                </c:pt>
                <c:pt idx="197">
                  <c:v>44424</c:v>
                </c:pt>
                <c:pt idx="198">
                  <c:v>44425</c:v>
                </c:pt>
                <c:pt idx="199">
                  <c:v>44426</c:v>
                </c:pt>
                <c:pt idx="200">
                  <c:v>44427</c:v>
                </c:pt>
                <c:pt idx="201">
                  <c:v>44428</c:v>
                </c:pt>
                <c:pt idx="202">
                  <c:v>44431</c:v>
                </c:pt>
                <c:pt idx="203">
                  <c:v>44432</c:v>
                </c:pt>
                <c:pt idx="204">
                  <c:v>44433</c:v>
                </c:pt>
                <c:pt idx="205">
                  <c:v>44434</c:v>
                </c:pt>
                <c:pt idx="206">
                  <c:v>44435</c:v>
                </c:pt>
                <c:pt idx="207">
                  <c:v>44438</c:v>
                </c:pt>
                <c:pt idx="208">
                  <c:v>44439</c:v>
                </c:pt>
                <c:pt idx="209">
                  <c:v>44440</c:v>
                </c:pt>
                <c:pt idx="210">
                  <c:v>44441</c:v>
                </c:pt>
                <c:pt idx="211">
                  <c:v>44442</c:v>
                </c:pt>
                <c:pt idx="212">
                  <c:v>44446</c:v>
                </c:pt>
                <c:pt idx="213">
                  <c:v>44447</c:v>
                </c:pt>
                <c:pt idx="214">
                  <c:v>44448</c:v>
                </c:pt>
                <c:pt idx="215">
                  <c:v>44449</c:v>
                </c:pt>
                <c:pt idx="216">
                  <c:v>44452</c:v>
                </c:pt>
                <c:pt idx="217">
                  <c:v>44453</c:v>
                </c:pt>
                <c:pt idx="218">
                  <c:v>44454</c:v>
                </c:pt>
                <c:pt idx="219">
                  <c:v>44455</c:v>
                </c:pt>
                <c:pt idx="220">
                  <c:v>44456</c:v>
                </c:pt>
                <c:pt idx="221">
                  <c:v>44459</c:v>
                </c:pt>
                <c:pt idx="222">
                  <c:v>44460</c:v>
                </c:pt>
                <c:pt idx="223">
                  <c:v>44461</c:v>
                </c:pt>
                <c:pt idx="224">
                  <c:v>44462</c:v>
                </c:pt>
                <c:pt idx="225">
                  <c:v>44463</c:v>
                </c:pt>
                <c:pt idx="226">
                  <c:v>44466</c:v>
                </c:pt>
                <c:pt idx="227">
                  <c:v>44467</c:v>
                </c:pt>
                <c:pt idx="228">
                  <c:v>44468</c:v>
                </c:pt>
                <c:pt idx="229">
                  <c:v>44469</c:v>
                </c:pt>
                <c:pt idx="230">
                  <c:v>44470</c:v>
                </c:pt>
                <c:pt idx="231">
                  <c:v>44473</c:v>
                </c:pt>
                <c:pt idx="232">
                  <c:v>44474</c:v>
                </c:pt>
                <c:pt idx="233">
                  <c:v>44475</c:v>
                </c:pt>
                <c:pt idx="234">
                  <c:v>44476</c:v>
                </c:pt>
                <c:pt idx="235">
                  <c:v>44477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44487</c:v>
                </c:pt>
                <c:pt idx="242">
                  <c:v>44488</c:v>
                </c:pt>
                <c:pt idx="243">
                  <c:v>44489</c:v>
                </c:pt>
                <c:pt idx="244">
                  <c:v>44490</c:v>
                </c:pt>
                <c:pt idx="245">
                  <c:v>44491</c:v>
                </c:pt>
                <c:pt idx="246">
                  <c:v>44494</c:v>
                </c:pt>
                <c:pt idx="247">
                  <c:v>44495</c:v>
                </c:pt>
                <c:pt idx="248">
                  <c:v>44496</c:v>
                </c:pt>
                <c:pt idx="249">
                  <c:v>44497</c:v>
                </c:pt>
                <c:pt idx="250">
                  <c:v>44498</c:v>
                </c:pt>
                <c:pt idx="251">
                  <c:v>44501</c:v>
                </c:pt>
                <c:pt idx="252">
                  <c:v>44502</c:v>
                </c:pt>
                <c:pt idx="253">
                  <c:v>44503</c:v>
                </c:pt>
                <c:pt idx="254">
                  <c:v>44504</c:v>
                </c:pt>
                <c:pt idx="255">
                  <c:v>44505</c:v>
                </c:pt>
                <c:pt idx="256">
                  <c:v>44508</c:v>
                </c:pt>
                <c:pt idx="257">
                  <c:v>44509</c:v>
                </c:pt>
                <c:pt idx="258">
                  <c:v>44510</c:v>
                </c:pt>
                <c:pt idx="259">
                  <c:v>44511</c:v>
                </c:pt>
                <c:pt idx="260">
                  <c:v>44512</c:v>
                </c:pt>
                <c:pt idx="261">
                  <c:v>44515</c:v>
                </c:pt>
                <c:pt idx="262">
                  <c:v>44516</c:v>
                </c:pt>
                <c:pt idx="263">
                  <c:v>44517</c:v>
                </c:pt>
                <c:pt idx="264">
                  <c:v>44518</c:v>
                </c:pt>
                <c:pt idx="265">
                  <c:v>44519</c:v>
                </c:pt>
                <c:pt idx="266">
                  <c:v>44522</c:v>
                </c:pt>
                <c:pt idx="267">
                  <c:v>44523</c:v>
                </c:pt>
                <c:pt idx="268">
                  <c:v>44524</c:v>
                </c:pt>
                <c:pt idx="269">
                  <c:v>44526</c:v>
                </c:pt>
                <c:pt idx="270">
                  <c:v>44529</c:v>
                </c:pt>
                <c:pt idx="271">
                  <c:v>44530</c:v>
                </c:pt>
                <c:pt idx="272">
                  <c:v>44531</c:v>
                </c:pt>
                <c:pt idx="273">
                  <c:v>44532</c:v>
                </c:pt>
                <c:pt idx="274">
                  <c:v>44533</c:v>
                </c:pt>
                <c:pt idx="275">
                  <c:v>44536</c:v>
                </c:pt>
                <c:pt idx="276">
                  <c:v>44537</c:v>
                </c:pt>
                <c:pt idx="277">
                  <c:v>44538</c:v>
                </c:pt>
                <c:pt idx="278">
                  <c:v>44539</c:v>
                </c:pt>
                <c:pt idx="279">
                  <c:v>44540</c:v>
                </c:pt>
                <c:pt idx="280">
                  <c:v>44543</c:v>
                </c:pt>
                <c:pt idx="281">
                  <c:v>44544</c:v>
                </c:pt>
                <c:pt idx="282">
                  <c:v>44545</c:v>
                </c:pt>
                <c:pt idx="283">
                  <c:v>44546</c:v>
                </c:pt>
                <c:pt idx="284">
                  <c:v>44547</c:v>
                </c:pt>
                <c:pt idx="285">
                  <c:v>44550</c:v>
                </c:pt>
                <c:pt idx="286">
                  <c:v>44551</c:v>
                </c:pt>
                <c:pt idx="287">
                  <c:v>44552</c:v>
                </c:pt>
                <c:pt idx="288">
                  <c:v>44553</c:v>
                </c:pt>
                <c:pt idx="289">
                  <c:v>44557</c:v>
                </c:pt>
                <c:pt idx="290">
                  <c:v>44558</c:v>
                </c:pt>
                <c:pt idx="291">
                  <c:v>44559</c:v>
                </c:pt>
                <c:pt idx="292">
                  <c:v>44560</c:v>
                </c:pt>
                <c:pt idx="293">
                  <c:v>44561</c:v>
                </c:pt>
                <c:pt idx="294">
                  <c:v>44564</c:v>
                </c:pt>
                <c:pt idx="295">
                  <c:v>44565</c:v>
                </c:pt>
                <c:pt idx="296">
                  <c:v>44566</c:v>
                </c:pt>
                <c:pt idx="297">
                  <c:v>44567</c:v>
                </c:pt>
                <c:pt idx="298">
                  <c:v>44568</c:v>
                </c:pt>
                <c:pt idx="299">
                  <c:v>44571</c:v>
                </c:pt>
                <c:pt idx="300">
                  <c:v>44572</c:v>
                </c:pt>
                <c:pt idx="301">
                  <c:v>44573</c:v>
                </c:pt>
                <c:pt idx="302">
                  <c:v>44574</c:v>
                </c:pt>
                <c:pt idx="303">
                  <c:v>44575</c:v>
                </c:pt>
                <c:pt idx="304">
                  <c:v>44579</c:v>
                </c:pt>
                <c:pt idx="305">
                  <c:v>44580</c:v>
                </c:pt>
                <c:pt idx="306">
                  <c:v>44581</c:v>
                </c:pt>
                <c:pt idx="307">
                  <c:v>44582</c:v>
                </c:pt>
                <c:pt idx="308">
                  <c:v>44585</c:v>
                </c:pt>
                <c:pt idx="309">
                  <c:v>44586</c:v>
                </c:pt>
                <c:pt idx="310">
                  <c:v>44587</c:v>
                </c:pt>
                <c:pt idx="311">
                  <c:v>44588</c:v>
                </c:pt>
                <c:pt idx="312">
                  <c:v>44589</c:v>
                </c:pt>
                <c:pt idx="313">
                  <c:v>44592</c:v>
                </c:pt>
                <c:pt idx="314">
                  <c:v>44593</c:v>
                </c:pt>
                <c:pt idx="315">
                  <c:v>44594</c:v>
                </c:pt>
                <c:pt idx="316">
                  <c:v>44595</c:v>
                </c:pt>
                <c:pt idx="317">
                  <c:v>44596</c:v>
                </c:pt>
                <c:pt idx="318">
                  <c:v>44599</c:v>
                </c:pt>
                <c:pt idx="319">
                  <c:v>44600</c:v>
                </c:pt>
                <c:pt idx="320">
                  <c:v>44601</c:v>
                </c:pt>
                <c:pt idx="321">
                  <c:v>44602</c:v>
                </c:pt>
                <c:pt idx="322">
                  <c:v>44603</c:v>
                </c:pt>
                <c:pt idx="323">
                  <c:v>44606</c:v>
                </c:pt>
                <c:pt idx="324">
                  <c:v>44607</c:v>
                </c:pt>
                <c:pt idx="325">
                  <c:v>44608</c:v>
                </c:pt>
                <c:pt idx="326">
                  <c:v>44609</c:v>
                </c:pt>
                <c:pt idx="327">
                  <c:v>44610</c:v>
                </c:pt>
                <c:pt idx="328">
                  <c:v>44614</c:v>
                </c:pt>
                <c:pt idx="329">
                  <c:v>44615</c:v>
                </c:pt>
                <c:pt idx="330">
                  <c:v>44616</c:v>
                </c:pt>
                <c:pt idx="331">
                  <c:v>44617</c:v>
                </c:pt>
                <c:pt idx="332">
                  <c:v>44620</c:v>
                </c:pt>
                <c:pt idx="333">
                  <c:v>44621</c:v>
                </c:pt>
                <c:pt idx="334">
                  <c:v>44622</c:v>
                </c:pt>
                <c:pt idx="335">
                  <c:v>44623</c:v>
                </c:pt>
                <c:pt idx="336">
                  <c:v>44624</c:v>
                </c:pt>
                <c:pt idx="337">
                  <c:v>44627</c:v>
                </c:pt>
                <c:pt idx="338">
                  <c:v>44628</c:v>
                </c:pt>
                <c:pt idx="339">
                  <c:v>44629</c:v>
                </c:pt>
                <c:pt idx="340">
                  <c:v>44630</c:v>
                </c:pt>
                <c:pt idx="341">
                  <c:v>44631</c:v>
                </c:pt>
                <c:pt idx="342">
                  <c:v>44634</c:v>
                </c:pt>
                <c:pt idx="343">
                  <c:v>44635</c:v>
                </c:pt>
                <c:pt idx="344">
                  <c:v>44636</c:v>
                </c:pt>
                <c:pt idx="345">
                  <c:v>44637</c:v>
                </c:pt>
                <c:pt idx="346">
                  <c:v>44638</c:v>
                </c:pt>
                <c:pt idx="347">
                  <c:v>44641</c:v>
                </c:pt>
                <c:pt idx="348">
                  <c:v>44642</c:v>
                </c:pt>
                <c:pt idx="349">
                  <c:v>44643</c:v>
                </c:pt>
                <c:pt idx="350">
                  <c:v>44644</c:v>
                </c:pt>
                <c:pt idx="351">
                  <c:v>44645</c:v>
                </c:pt>
                <c:pt idx="352">
                  <c:v>44648</c:v>
                </c:pt>
                <c:pt idx="353">
                  <c:v>44649</c:v>
                </c:pt>
                <c:pt idx="354">
                  <c:v>44650</c:v>
                </c:pt>
                <c:pt idx="355">
                  <c:v>44651</c:v>
                </c:pt>
                <c:pt idx="356">
                  <c:v>44652</c:v>
                </c:pt>
                <c:pt idx="357">
                  <c:v>44655</c:v>
                </c:pt>
                <c:pt idx="358">
                  <c:v>44656</c:v>
                </c:pt>
                <c:pt idx="359">
                  <c:v>44657</c:v>
                </c:pt>
                <c:pt idx="360">
                  <c:v>44658</c:v>
                </c:pt>
                <c:pt idx="361">
                  <c:v>44659</c:v>
                </c:pt>
                <c:pt idx="362">
                  <c:v>44662</c:v>
                </c:pt>
                <c:pt idx="363">
                  <c:v>44663</c:v>
                </c:pt>
                <c:pt idx="364">
                  <c:v>44664</c:v>
                </c:pt>
                <c:pt idx="365">
                  <c:v>44665</c:v>
                </c:pt>
                <c:pt idx="366">
                  <c:v>44669</c:v>
                </c:pt>
                <c:pt idx="367">
                  <c:v>44670</c:v>
                </c:pt>
                <c:pt idx="368">
                  <c:v>44671</c:v>
                </c:pt>
                <c:pt idx="369">
                  <c:v>44672</c:v>
                </c:pt>
                <c:pt idx="370">
                  <c:v>44673</c:v>
                </c:pt>
                <c:pt idx="371">
                  <c:v>44676</c:v>
                </c:pt>
                <c:pt idx="372">
                  <c:v>44677</c:v>
                </c:pt>
                <c:pt idx="373">
                  <c:v>44678</c:v>
                </c:pt>
                <c:pt idx="374">
                  <c:v>44679</c:v>
                </c:pt>
                <c:pt idx="375">
                  <c:v>44680</c:v>
                </c:pt>
                <c:pt idx="376">
                  <c:v>44683</c:v>
                </c:pt>
                <c:pt idx="377">
                  <c:v>44684</c:v>
                </c:pt>
                <c:pt idx="378">
                  <c:v>44685</c:v>
                </c:pt>
                <c:pt idx="379">
                  <c:v>44686</c:v>
                </c:pt>
                <c:pt idx="380">
                  <c:v>44687</c:v>
                </c:pt>
                <c:pt idx="381">
                  <c:v>44690</c:v>
                </c:pt>
                <c:pt idx="382">
                  <c:v>44691</c:v>
                </c:pt>
                <c:pt idx="383">
                  <c:v>44692</c:v>
                </c:pt>
                <c:pt idx="384">
                  <c:v>44693</c:v>
                </c:pt>
                <c:pt idx="385">
                  <c:v>44694</c:v>
                </c:pt>
                <c:pt idx="386">
                  <c:v>44697</c:v>
                </c:pt>
                <c:pt idx="387">
                  <c:v>44698</c:v>
                </c:pt>
                <c:pt idx="388">
                  <c:v>44699</c:v>
                </c:pt>
                <c:pt idx="389">
                  <c:v>44700</c:v>
                </c:pt>
                <c:pt idx="390">
                  <c:v>44701</c:v>
                </c:pt>
                <c:pt idx="391">
                  <c:v>44704</c:v>
                </c:pt>
                <c:pt idx="392">
                  <c:v>44705</c:v>
                </c:pt>
                <c:pt idx="393">
                  <c:v>44706</c:v>
                </c:pt>
                <c:pt idx="394">
                  <c:v>44707</c:v>
                </c:pt>
                <c:pt idx="395">
                  <c:v>44708</c:v>
                </c:pt>
                <c:pt idx="396">
                  <c:v>44712</c:v>
                </c:pt>
                <c:pt idx="397">
                  <c:v>44713</c:v>
                </c:pt>
                <c:pt idx="398">
                  <c:v>44714</c:v>
                </c:pt>
                <c:pt idx="399">
                  <c:v>44715</c:v>
                </c:pt>
                <c:pt idx="400">
                  <c:v>44718</c:v>
                </c:pt>
                <c:pt idx="401">
                  <c:v>44719</c:v>
                </c:pt>
                <c:pt idx="402">
                  <c:v>44720</c:v>
                </c:pt>
                <c:pt idx="403">
                  <c:v>44721</c:v>
                </c:pt>
                <c:pt idx="404">
                  <c:v>44722</c:v>
                </c:pt>
                <c:pt idx="405">
                  <c:v>44725</c:v>
                </c:pt>
                <c:pt idx="406">
                  <c:v>44726</c:v>
                </c:pt>
                <c:pt idx="407">
                  <c:v>44727</c:v>
                </c:pt>
                <c:pt idx="408">
                  <c:v>44728</c:v>
                </c:pt>
                <c:pt idx="409">
                  <c:v>44729</c:v>
                </c:pt>
                <c:pt idx="410">
                  <c:v>44733</c:v>
                </c:pt>
                <c:pt idx="411">
                  <c:v>44734</c:v>
                </c:pt>
                <c:pt idx="412">
                  <c:v>44735</c:v>
                </c:pt>
                <c:pt idx="413">
                  <c:v>44736</c:v>
                </c:pt>
                <c:pt idx="414">
                  <c:v>44739</c:v>
                </c:pt>
                <c:pt idx="415">
                  <c:v>44740</c:v>
                </c:pt>
                <c:pt idx="416">
                  <c:v>44741</c:v>
                </c:pt>
                <c:pt idx="417">
                  <c:v>44742</c:v>
                </c:pt>
                <c:pt idx="418">
                  <c:v>44743</c:v>
                </c:pt>
                <c:pt idx="419">
                  <c:v>44747</c:v>
                </c:pt>
                <c:pt idx="420">
                  <c:v>44748</c:v>
                </c:pt>
                <c:pt idx="421">
                  <c:v>44749</c:v>
                </c:pt>
                <c:pt idx="422">
                  <c:v>44750</c:v>
                </c:pt>
                <c:pt idx="423">
                  <c:v>44753</c:v>
                </c:pt>
                <c:pt idx="424">
                  <c:v>44754</c:v>
                </c:pt>
                <c:pt idx="425">
                  <c:v>44755</c:v>
                </c:pt>
                <c:pt idx="426">
                  <c:v>44756</c:v>
                </c:pt>
                <c:pt idx="427">
                  <c:v>44757</c:v>
                </c:pt>
                <c:pt idx="428">
                  <c:v>44760</c:v>
                </c:pt>
                <c:pt idx="429">
                  <c:v>44761</c:v>
                </c:pt>
                <c:pt idx="430">
                  <c:v>44762</c:v>
                </c:pt>
                <c:pt idx="431">
                  <c:v>44763</c:v>
                </c:pt>
                <c:pt idx="432">
                  <c:v>44764</c:v>
                </c:pt>
                <c:pt idx="433">
                  <c:v>44767</c:v>
                </c:pt>
                <c:pt idx="434">
                  <c:v>44768</c:v>
                </c:pt>
                <c:pt idx="435">
                  <c:v>44769</c:v>
                </c:pt>
                <c:pt idx="436">
                  <c:v>44770</c:v>
                </c:pt>
                <c:pt idx="437">
                  <c:v>44771</c:v>
                </c:pt>
                <c:pt idx="438">
                  <c:v>44774</c:v>
                </c:pt>
                <c:pt idx="439">
                  <c:v>44775</c:v>
                </c:pt>
                <c:pt idx="440">
                  <c:v>44776</c:v>
                </c:pt>
                <c:pt idx="441">
                  <c:v>44777</c:v>
                </c:pt>
                <c:pt idx="442">
                  <c:v>44778</c:v>
                </c:pt>
                <c:pt idx="443">
                  <c:v>44781</c:v>
                </c:pt>
                <c:pt idx="444">
                  <c:v>44782</c:v>
                </c:pt>
                <c:pt idx="445">
                  <c:v>44783</c:v>
                </c:pt>
                <c:pt idx="446">
                  <c:v>44784</c:v>
                </c:pt>
                <c:pt idx="447">
                  <c:v>44785</c:v>
                </c:pt>
                <c:pt idx="448">
                  <c:v>44788</c:v>
                </c:pt>
                <c:pt idx="449">
                  <c:v>44789</c:v>
                </c:pt>
                <c:pt idx="450">
                  <c:v>44790</c:v>
                </c:pt>
                <c:pt idx="451">
                  <c:v>44791</c:v>
                </c:pt>
                <c:pt idx="452">
                  <c:v>44792</c:v>
                </c:pt>
                <c:pt idx="453">
                  <c:v>44795</c:v>
                </c:pt>
                <c:pt idx="454">
                  <c:v>44796</c:v>
                </c:pt>
                <c:pt idx="455">
                  <c:v>44797</c:v>
                </c:pt>
                <c:pt idx="456">
                  <c:v>44798</c:v>
                </c:pt>
                <c:pt idx="457">
                  <c:v>44799</c:v>
                </c:pt>
                <c:pt idx="458">
                  <c:v>44802</c:v>
                </c:pt>
                <c:pt idx="459">
                  <c:v>44803</c:v>
                </c:pt>
                <c:pt idx="460">
                  <c:v>44804</c:v>
                </c:pt>
                <c:pt idx="461">
                  <c:v>44805</c:v>
                </c:pt>
                <c:pt idx="462">
                  <c:v>44806</c:v>
                </c:pt>
                <c:pt idx="463">
                  <c:v>44810</c:v>
                </c:pt>
                <c:pt idx="464">
                  <c:v>44811</c:v>
                </c:pt>
                <c:pt idx="465">
                  <c:v>44812</c:v>
                </c:pt>
                <c:pt idx="466">
                  <c:v>44813</c:v>
                </c:pt>
                <c:pt idx="467">
                  <c:v>44816</c:v>
                </c:pt>
                <c:pt idx="468">
                  <c:v>44817</c:v>
                </c:pt>
                <c:pt idx="469">
                  <c:v>44818</c:v>
                </c:pt>
                <c:pt idx="470">
                  <c:v>44819</c:v>
                </c:pt>
                <c:pt idx="471">
                  <c:v>44820</c:v>
                </c:pt>
                <c:pt idx="472">
                  <c:v>44823</c:v>
                </c:pt>
                <c:pt idx="473">
                  <c:v>44824</c:v>
                </c:pt>
                <c:pt idx="474">
                  <c:v>44825</c:v>
                </c:pt>
                <c:pt idx="475">
                  <c:v>44826</c:v>
                </c:pt>
                <c:pt idx="476">
                  <c:v>44827</c:v>
                </c:pt>
                <c:pt idx="477">
                  <c:v>44830</c:v>
                </c:pt>
                <c:pt idx="478">
                  <c:v>44831</c:v>
                </c:pt>
                <c:pt idx="479">
                  <c:v>44832</c:v>
                </c:pt>
                <c:pt idx="480">
                  <c:v>44833</c:v>
                </c:pt>
                <c:pt idx="481">
                  <c:v>44834</c:v>
                </c:pt>
                <c:pt idx="482">
                  <c:v>44837</c:v>
                </c:pt>
                <c:pt idx="483">
                  <c:v>44838</c:v>
                </c:pt>
                <c:pt idx="484">
                  <c:v>44839</c:v>
                </c:pt>
                <c:pt idx="485">
                  <c:v>44840</c:v>
                </c:pt>
                <c:pt idx="486">
                  <c:v>44841</c:v>
                </c:pt>
                <c:pt idx="487">
                  <c:v>44844</c:v>
                </c:pt>
                <c:pt idx="488">
                  <c:v>44845</c:v>
                </c:pt>
                <c:pt idx="489">
                  <c:v>44846</c:v>
                </c:pt>
                <c:pt idx="490">
                  <c:v>44847</c:v>
                </c:pt>
                <c:pt idx="491">
                  <c:v>44848</c:v>
                </c:pt>
                <c:pt idx="492">
                  <c:v>44851</c:v>
                </c:pt>
                <c:pt idx="493">
                  <c:v>44852</c:v>
                </c:pt>
                <c:pt idx="494">
                  <c:v>44853</c:v>
                </c:pt>
                <c:pt idx="495">
                  <c:v>44854</c:v>
                </c:pt>
                <c:pt idx="496">
                  <c:v>44855</c:v>
                </c:pt>
                <c:pt idx="497">
                  <c:v>44858</c:v>
                </c:pt>
                <c:pt idx="498">
                  <c:v>44859</c:v>
                </c:pt>
                <c:pt idx="499">
                  <c:v>44860</c:v>
                </c:pt>
                <c:pt idx="500">
                  <c:v>44861</c:v>
                </c:pt>
                <c:pt idx="501">
                  <c:v>44862</c:v>
                </c:pt>
                <c:pt idx="502">
                  <c:v>44865</c:v>
                </c:pt>
                <c:pt idx="503">
                  <c:v>44866</c:v>
                </c:pt>
                <c:pt idx="504">
                  <c:v>44867</c:v>
                </c:pt>
                <c:pt idx="505">
                  <c:v>44868</c:v>
                </c:pt>
                <c:pt idx="506">
                  <c:v>44869</c:v>
                </c:pt>
                <c:pt idx="507">
                  <c:v>44872</c:v>
                </c:pt>
                <c:pt idx="508">
                  <c:v>44873</c:v>
                </c:pt>
                <c:pt idx="509">
                  <c:v>44874</c:v>
                </c:pt>
                <c:pt idx="510">
                  <c:v>44875</c:v>
                </c:pt>
                <c:pt idx="511">
                  <c:v>44876</c:v>
                </c:pt>
                <c:pt idx="512">
                  <c:v>44879</c:v>
                </c:pt>
                <c:pt idx="513">
                  <c:v>44880</c:v>
                </c:pt>
                <c:pt idx="514">
                  <c:v>44881</c:v>
                </c:pt>
                <c:pt idx="515">
                  <c:v>44882</c:v>
                </c:pt>
                <c:pt idx="516">
                  <c:v>44883</c:v>
                </c:pt>
                <c:pt idx="517">
                  <c:v>44886</c:v>
                </c:pt>
                <c:pt idx="518">
                  <c:v>44887</c:v>
                </c:pt>
                <c:pt idx="519">
                  <c:v>44888</c:v>
                </c:pt>
                <c:pt idx="520">
                  <c:v>44890</c:v>
                </c:pt>
                <c:pt idx="521">
                  <c:v>44893</c:v>
                </c:pt>
                <c:pt idx="522">
                  <c:v>44894</c:v>
                </c:pt>
                <c:pt idx="523">
                  <c:v>44895</c:v>
                </c:pt>
                <c:pt idx="524">
                  <c:v>44896</c:v>
                </c:pt>
                <c:pt idx="525">
                  <c:v>44897</c:v>
                </c:pt>
                <c:pt idx="526">
                  <c:v>44900</c:v>
                </c:pt>
                <c:pt idx="527">
                  <c:v>44901</c:v>
                </c:pt>
                <c:pt idx="528">
                  <c:v>44902</c:v>
                </c:pt>
                <c:pt idx="529">
                  <c:v>44903</c:v>
                </c:pt>
                <c:pt idx="530">
                  <c:v>44904</c:v>
                </c:pt>
                <c:pt idx="531">
                  <c:v>44907</c:v>
                </c:pt>
                <c:pt idx="532">
                  <c:v>44908</c:v>
                </c:pt>
                <c:pt idx="533">
                  <c:v>44909</c:v>
                </c:pt>
                <c:pt idx="534">
                  <c:v>44910</c:v>
                </c:pt>
                <c:pt idx="535">
                  <c:v>44911</c:v>
                </c:pt>
                <c:pt idx="536">
                  <c:v>44914</c:v>
                </c:pt>
                <c:pt idx="537">
                  <c:v>44915</c:v>
                </c:pt>
                <c:pt idx="538">
                  <c:v>44916</c:v>
                </c:pt>
                <c:pt idx="539">
                  <c:v>44917</c:v>
                </c:pt>
                <c:pt idx="540">
                  <c:v>44918</c:v>
                </c:pt>
                <c:pt idx="541">
                  <c:v>44922</c:v>
                </c:pt>
                <c:pt idx="542">
                  <c:v>44923</c:v>
                </c:pt>
                <c:pt idx="543">
                  <c:v>44924</c:v>
                </c:pt>
                <c:pt idx="544">
                  <c:v>44925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44943</c:v>
                </c:pt>
                <c:pt idx="555">
                  <c:v>44944</c:v>
                </c:pt>
                <c:pt idx="556">
                  <c:v>44945</c:v>
                </c:pt>
                <c:pt idx="557">
                  <c:v>44946</c:v>
                </c:pt>
                <c:pt idx="558">
                  <c:v>44949</c:v>
                </c:pt>
                <c:pt idx="559">
                  <c:v>44950</c:v>
                </c:pt>
                <c:pt idx="560">
                  <c:v>44951</c:v>
                </c:pt>
                <c:pt idx="561">
                  <c:v>44952</c:v>
                </c:pt>
                <c:pt idx="562">
                  <c:v>44953</c:v>
                </c:pt>
                <c:pt idx="563">
                  <c:v>44956</c:v>
                </c:pt>
                <c:pt idx="564">
                  <c:v>44957</c:v>
                </c:pt>
                <c:pt idx="565">
                  <c:v>44958</c:v>
                </c:pt>
                <c:pt idx="566">
                  <c:v>44959</c:v>
                </c:pt>
                <c:pt idx="567">
                  <c:v>44960</c:v>
                </c:pt>
                <c:pt idx="568">
                  <c:v>44963</c:v>
                </c:pt>
                <c:pt idx="569">
                  <c:v>44964</c:v>
                </c:pt>
                <c:pt idx="570">
                  <c:v>44965</c:v>
                </c:pt>
                <c:pt idx="571">
                  <c:v>44966</c:v>
                </c:pt>
                <c:pt idx="572">
                  <c:v>44967</c:v>
                </c:pt>
                <c:pt idx="573">
                  <c:v>44970</c:v>
                </c:pt>
                <c:pt idx="574">
                  <c:v>44971</c:v>
                </c:pt>
                <c:pt idx="575">
                  <c:v>44972</c:v>
                </c:pt>
                <c:pt idx="576">
                  <c:v>44973</c:v>
                </c:pt>
                <c:pt idx="577">
                  <c:v>44974</c:v>
                </c:pt>
                <c:pt idx="578">
                  <c:v>44978</c:v>
                </c:pt>
                <c:pt idx="579">
                  <c:v>44979</c:v>
                </c:pt>
                <c:pt idx="580">
                  <c:v>44980</c:v>
                </c:pt>
                <c:pt idx="581">
                  <c:v>44981</c:v>
                </c:pt>
                <c:pt idx="582">
                  <c:v>44984</c:v>
                </c:pt>
                <c:pt idx="583">
                  <c:v>44985</c:v>
                </c:pt>
                <c:pt idx="584">
                  <c:v>44986</c:v>
                </c:pt>
                <c:pt idx="585">
                  <c:v>44987</c:v>
                </c:pt>
                <c:pt idx="586">
                  <c:v>44988</c:v>
                </c:pt>
                <c:pt idx="587">
                  <c:v>44991</c:v>
                </c:pt>
                <c:pt idx="588">
                  <c:v>44992</c:v>
                </c:pt>
                <c:pt idx="589">
                  <c:v>44993</c:v>
                </c:pt>
                <c:pt idx="590">
                  <c:v>44994</c:v>
                </c:pt>
                <c:pt idx="591">
                  <c:v>44995</c:v>
                </c:pt>
                <c:pt idx="592">
                  <c:v>44998</c:v>
                </c:pt>
                <c:pt idx="593">
                  <c:v>44999</c:v>
                </c:pt>
                <c:pt idx="594">
                  <c:v>45000</c:v>
                </c:pt>
                <c:pt idx="595">
                  <c:v>45001</c:v>
                </c:pt>
                <c:pt idx="596">
                  <c:v>45002</c:v>
                </c:pt>
                <c:pt idx="597">
                  <c:v>45005</c:v>
                </c:pt>
                <c:pt idx="598">
                  <c:v>45006</c:v>
                </c:pt>
                <c:pt idx="599">
                  <c:v>45007</c:v>
                </c:pt>
                <c:pt idx="600">
                  <c:v>45008</c:v>
                </c:pt>
                <c:pt idx="601">
                  <c:v>45009</c:v>
                </c:pt>
                <c:pt idx="602">
                  <c:v>45012</c:v>
                </c:pt>
                <c:pt idx="603">
                  <c:v>45013</c:v>
                </c:pt>
                <c:pt idx="604">
                  <c:v>45014</c:v>
                </c:pt>
                <c:pt idx="605">
                  <c:v>45015</c:v>
                </c:pt>
                <c:pt idx="606">
                  <c:v>45016</c:v>
                </c:pt>
                <c:pt idx="607">
                  <c:v>45019</c:v>
                </c:pt>
                <c:pt idx="608">
                  <c:v>45020</c:v>
                </c:pt>
                <c:pt idx="609">
                  <c:v>45021</c:v>
                </c:pt>
                <c:pt idx="610">
                  <c:v>45022</c:v>
                </c:pt>
                <c:pt idx="611">
                  <c:v>45026</c:v>
                </c:pt>
                <c:pt idx="612">
                  <c:v>45027</c:v>
                </c:pt>
                <c:pt idx="613">
                  <c:v>45028</c:v>
                </c:pt>
                <c:pt idx="614">
                  <c:v>45029</c:v>
                </c:pt>
                <c:pt idx="615">
                  <c:v>45030</c:v>
                </c:pt>
                <c:pt idx="616">
                  <c:v>45033</c:v>
                </c:pt>
                <c:pt idx="617">
                  <c:v>45034</c:v>
                </c:pt>
                <c:pt idx="618">
                  <c:v>45035</c:v>
                </c:pt>
                <c:pt idx="619">
                  <c:v>45036</c:v>
                </c:pt>
                <c:pt idx="620">
                  <c:v>45037</c:v>
                </c:pt>
                <c:pt idx="621">
                  <c:v>45040</c:v>
                </c:pt>
                <c:pt idx="622">
                  <c:v>45041</c:v>
                </c:pt>
                <c:pt idx="623">
                  <c:v>45042</c:v>
                </c:pt>
                <c:pt idx="624">
                  <c:v>45043</c:v>
                </c:pt>
                <c:pt idx="625">
                  <c:v>45044</c:v>
                </c:pt>
                <c:pt idx="626">
                  <c:v>45047</c:v>
                </c:pt>
                <c:pt idx="627">
                  <c:v>45048</c:v>
                </c:pt>
                <c:pt idx="628">
                  <c:v>45049</c:v>
                </c:pt>
                <c:pt idx="629">
                  <c:v>45050</c:v>
                </c:pt>
                <c:pt idx="630">
                  <c:v>45051</c:v>
                </c:pt>
                <c:pt idx="631">
                  <c:v>45054</c:v>
                </c:pt>
                <c:pt idx="632">
                  <c:v>45055</c:v>
                </c:pt>
                <c:pt idx="633">
                  <c:v>45056</c:v>
                </c:pt>
                <c:pt idx="634">
                  <c:v>45057</c:v>
                </c:pt>
                <c:pt idx="635">
                  <c:v>45058</c:v>
                </c:pt>
                <c:pt idx="636">
                  <c:v>45061</c:v>
                </c:pt>
                <c:pt idx="637">
                  <c:v>45062</c:v>
                </c:pt>
                <c:pt idx="638">
                  <c:v>45063</c:v>
                </c:pt>
                <c:pt idx="639">
                  <c:v>45064</c:v>
                </c:pt>
                <c:pt idx="640">
                  <c:v>45065</c:v>
                </c:pt>
                <c:pt idx="641">
                  <c:v>45068</c:v>
                </c:pt>
                <c:pt idx="642">
                  <c:v>45069</c:v>
                </c:pt>
                <c:pt idx="643">
                  <c:v>45070</c:v>
                </c:pt>
                <c:pt idx="644">
                  <c:v>45071</c:v>
                </c:pt>
                <c:pt idx="645">
                  <c:v>45072</c:v>
                </c:pt>
                <c:pt idx="646">
                  <c:v>45076</c:v>
                </c:pt>
                <c:pt idx="647">
                  <c:v>45077</c:v>
                </c:pt>
                <c:pt idx="648">
                  <c:v>45078</c:v>
                </c:pt>
                <c:pt idx="649">
                  <c:v>45079</c:v>
                </c:pt>
                <c:pt idx="650">
                  <c:v>45082</c:v>
                </c:pt>
                <c:pt idx="651">
                  <c:v>45083</c:v>
                </c:pt>
                <c:pt idx="652">
                  <c:v>45084</c:v>
                </c:pt>
                <c:pt idx="653">
                  <c:v>45085</c:v>
                </c:pt>
                <c:pt idx="654">
                  <c:v>45086</c:v>
                </c:pt>
                <c:pt idx="655">
                  <c:v>45089</c:v>
                </c:pt>
                <c:pt idx="656">
                  <c:v>45090</c:v>
                </c:pt>
                <c:pt idx="657">
                  <c:v>45091</c:v>
                </c:pt>
                <c:pt idx="658">
                  <c:v>45092</c:v>
                </c:pt>
                <c:pt idx="659">
                  <c:v>45093</c:v>
                </c:pt>
                <c:pt idx="660">
                  <c:v>45097</c:v>
                </c:pt>
                <c:pt idx="661">
                  <c:v>45098</c:v>
                </c:pt>
                <c:pt idx="662">
                  <c:v>45099</c:v>
                </c:pt>
                <c:pt idx="663">
                  <c:v>45100</c:v>
                </c:pt>
                <c:pt idx="664">
                  <c:v>45103</c:v>
                </c:pt>
                <c:pt idx="665">
                  <c:v>45104</c:v>
                </c:pt>
                <c:pt idx="666">
                  <c:v>45105</c:v>
                </c:pt>
                <c:pt idx="667">
                  <c:v>45106</c:v>
                </c:pt>
                <c:pt idx="668">
                  <c:v>45107</c:v>
                </c:pt>
                <c:pt idx="669">
                  <c:v>45110</c:v>
                </c:pt>
                <c:pt idx="670">
                  <c:v>45112</c:v>
                </c:pt>
                <c:pt idx="671">
                  <c:v>45113</c:v>
                </c:pt>
                <c:pt idx="672">
                  <c:v>45114</c:v>
                </c:pt>
                <c:pt idx="673">
                  <c:v>45117</c:v>
                </c:pt>
                <c:pt idx="674">
                  <c:v>45118</c:v>
                </c:pt>
                <c:pt idx="675">
                  <c:v>45119</c:v>
                </c:pt>
                <c:pt idx="676">
                  <c:v>45120</c:v>
                </c:pt>
                <c:pt idx="677">
                  <c:v>45121</c:v>
                </c:pt>
                <c:pt idx="678">
                  <c:v>45124</c:v>
                </c:pt>
                <c:pt idx="679">
                  <c:v>45125</c:v>
                </c:pt>
                <c:pt idx="680">
                  <c:v>45126</c:v>
                </c:pt>
                <c:pt idx="681">
                  <c:v>45127</c:v>
                </c:pt>
                <c:pt idx="682">
                  <c:v>45128</c:v>
                </c:pt>
                <c:pt idx="683">
                  <c:v>45131</c:v>
                </c:pt>
                <c:pt idx="684">
                  <c:v>45132</c:v>
                </c:pt>
                <c:pt idx="685">
                  <c:v>45133</c:v>
                </c:pt>
                <c:pt idx="686">
                  <c:v>45134</c:v>
                </c:pt>
                <c:pt idx="687">
                  <c:v>45135</c:v>
                </c:pt>
                <c:pt idx="688">
                  <c:v>45138</c:v>
                </c:pt>
                <c:pt idx="689">
                  <c:v>45139</c:v>
                </c:pt>
                <c:pt idx="690">
                  <c:v>45140</c:v>
                </c:pt>
                <c:pt idx="691">
                  <c:v>45141</c:v>
                </c:pt>
                <c:pt idx="692">
                  <c:v>45142</c:v>
                </c:pt>
                <c:pt idx="693">
                  <c:v>45145</c:v>
                </c:pt>
                <c:pt idx="694">
                  <c:v>45146</c:v>
                </c:pt>
                <c:pt idx="695">
                  <c:v>45147</c:v>
                </c:pt>
                <c:pt idx="696">
                  <c:v>45148</c:v>
                </c:pt>
                <c:pt idx="697">
                  <c:v>45149</c:v>
                </c:pt>
                <c:pt idx="698">
                  <c:v>45152</c:v>
                </c:pt>
                <c:pt idx="699">
                  <c:v>45153</c:v>
                </c:pt>
                <c:pt idx="700">
                  <c:v>45154</c:v>
                </c:pt>
                <c:pt idx="701">
                  <c:v>45155</c:v>
                </c:pt>
                <c:pt idx="702">
                  <c:v>45156</c:v>
                </c:pt>
                <c:pt idx="703">
                  <c:v>45159</c:v>
                </c:pt>
                <c:pt idx="704">
                  <c:v>45160</c:v>
                </c:pt>
                <c:pt idx="705">
                  <c:v>45161</c:v>
                </c:pt>
                <c:pt idx="706">
                  <c:v>45162</c:v>
                </c:pt>
                <c:pt idx="707">
                  <c:v>45163</c:v>
                </c:pt>
                <c:pt idx="708">
                  <c:v>45166</c:v>
                </c:pt>
                <c:pt idx="709">
                  <c:v>45167</c:v>
                </c:pt>
                <c:pt idx="710">
                  <c:v>45168</c:v>
                </c:pt>
                <c:pt idx="711">
                  <c:v>45169</c:v>
                </c:pt>
                <c:pt idx="712">
                  <c:v>45170</c:v>
                </c:pt>
                <c:pt idx="713">
                  <c:v>45174</c:v>
                </c:pt>
                <c:pt idx="714">
                  <c:v>45175</c:v>
                </c:pt>
                <c:pt idx="715">
                  <c:v>45176</c:v>
                </c:pt>
                <c:pt idx="716">
                  <c:v>45177</c:v>
                </c:pt>
                <c:pt idx="717">
                  <c:v>45180</c:v>
                </c:pt>
                <c:pt idx="718">
                  <c:v>45181</c:v>
                </c:pt>
                <c:pt idx="719">
                  <c:v>45182</c:v>
                </c:pt>
                <c:pt idx="720">
                  <c:v>45183</c:v>
                </c:pt>
                <c:pt idx="721">
                  <c:v>45184</c:v>
                </c:pt>
                <c:pt idx="722">
                  <c:v>45187</c:v>
                </c:pt>
                <c:pt idx="723">
                  <c:v>45188</c:v>
                </c:pt>
                <c:pt idx="724">
                  <c:v>45189</c:v>
                </c:pt>
                <c:pt idx="725">
                  <c:v>45190</c:v>
                </c:pt>
                <c:pt idx="726">
                  <c:v>45191</c:v>
                </c:pt>
                <c:pt idx="727">
                  <c:v>45194</c:v>
                </c:pt>
                <c:pt idx="728">
                  <c:v>45195</c:v>
                </c:pt>
                <c:pt idx="729">
                  <c:v>45196</c:v>
                </c:pt>
                <c:pt idx="730">
                  <c:v>45197</c:v>
                </c:pt>
                <c:pt idx="731">
                  <c:v>45198</c:v>
                </c:pt>
                <c:pt idx="732">
                  <c:v>45201</c:v>
                </c:pt>
                <c:pt idx="733">
                  <c:v>45202</c:v>
                </c:pt>
                <c:pt idx="734">
                  <c:v>45203</c:v>
                </c:pt>
                <c:pt idx="735">
                  <c:v>45204</c:v>
                </c:pt>
                <c:pt idx="736">
                  <c:v>45205</c:v>
                </c:pt>
                <c:pt idx="737">
                  <c:v>45208</c:v>
                </c:pt>
                <c:pt idx="738">
                  <c:v>45209</c:v>
                </c:pt>
                <c:pt idx="739">
                  <c:v>45210</c:v>
                </c:pt>
                <c:pt idx="740">
                  <c:v>45211</c:v>
                </c:pt>
                <c:pt idx="741">
                  <c:v>45212</c:v>
                </c:pt>
                <c:pt idx="742">
                  <c:v>45215</c:v>
                </c:pt>
                <c:pt idx="743">
                  <c:v>45216</c:v>
                </c:pt>
                <c:pt idx="744">
                  <c:v>45217</c:v>
                </c:pt>
                <c:pt idx="745">
                  <c:v>45218</c:v>
                </c:pt>
                <c:pt idx="746">
                  <c:v>45219</c:v>
                </c:pt>
                <c:pt idx="747">
                  <c:v>45222</c:v>
                </c:pt>
                <c:pt idx="748">
                  <c:v>45223</c:v>
                </c:pt>
                <c:pt idx="749">
                  <c:v>45224</c:v>
                </c:pt>
                <c:pt idx="750">
                  <c:v>45225</c:v>
                </c:pt>
                <c:pt idx="751">
                  <c:v>45226</c:v>
                </c:pt>
                <c:pt idx="752">
                  <c:v>45229</c:v>
                </c:pt>
                <c:pt idx="753">
                  <c:v>45230</c:v>
                </c:pt>
                <c:pt idx="754">
                  <c:v>45231</c:v>
                </c:pt>
                <c:pt idx="755">
                  <c:v>45232</c:v>
                </c:pt>
                <c:pt idx="756">
                  <c:v>45233</c:v>
                </c:pt>
                <c:pt idx="757">
                  <c:v>45236</c:v>
                </c:pt>
                <c:pt idx="758">
                  <c:v>45237</c:v>
                </c:pt>
                <c:pt idx="759">
                  <c:v>45238</c:v>
                </c:pt>
                <c:pt idx="760">
                  <c:v>45239</c:v>
                </c:pt>
                <c:pt idx="761">
                  <c:v>45240</c:v>
                </c:pt>
                <c:pt idx="762">
                  <c:v>45243</c:v>
                </c:pt>
                <c:pt idx="763">
                  <c:v>45244</c:v>
                </c:pt>
                <c:pt idx="764">
                  <c:v>45245</c:v>
                </c:pt>
                <c:pt idx="765">
                  <c:v>45246</c:v>
                </c:pt>
                <c:pt idx="766">
                  <c:v>45247</c:v>
                </c:pt>
                <c:pt idx="767">
                  <c:v>45250</c:v>
                </c:pt>
                <c:pt idx="768">
                  <c:v>45251</c:v>
                </c:pt>
                <c:pt idx="769">
                  <c:v>45252</c:v>
                </c:pt>
                <c:pt idx="770">
                  <c:v>45254</c:v>
                </c:pt>
                <c:pt idx="771">
                  <c:v>45257</c:v>
                </c:pt>
                <c:pt idx="772">
                  <c:v>45258</c:v>
                </c:pt>
                <c:pt idx="773">
                  <c:v>45259</c:v>
                </c:pt>
                <c:pt idx="774">
                  <c:v>45260</c:v>
                </c:pt>
                <c:pt idx="775">
                  <c:v>45261</c:v>
                </c:pt>
                <c:pt idx="776">
                  <c:v>45264</c:v>
                </c:pt>
                <c:pt idx="777">
                  <c:v>45265</c:v>
                </c:pt>
                <c:pt idx="778">
                  <c:v>45266</c:v>
                </c:pt>
                <c:pt idx="779">
                  <c:v>45267</c:v>
                </c:pt>
                <c:pt idx="780">
                  <c:v>45268</c:v>
                </c:pt>
                <c:pt idx="781">
                  <c:v>45271</c:v>
                </c:pt>
                <c:pt idx="782">
                  <c:v>45272</c:v>
                </c:pt>
                <c:pt idx="783">
                  <c:v>45273</c:v>
                </c:pt>
                <c:pt idx="784">
                  <c:v>45274</c:v>
                </c:pt>
                <c:pt idx="785">
                  <c:v>45275</c:v>
                </c:pt>
                <c:pt idx="786">
                  <c:v>45278</c:v>
                </c:pt>
                <c:pt idx="787">
                  <c:v>45279</c:v>
                </c:pt>
                <c:pt idx="788">
                  <c:v>45280</c:v>
                </c:pt>
                <c:pt idx="789">
                  <c:v>45281</c:v>
                </c:pt>
                <c:pt idx="790">
                  <c:v>45282</c:v>
                </c:pt>
                <c:pt idx="791">
                  <c:v>45286</c:v>
                </c:pt>
                <c:pt idx="792">
                  <c:v>45287</c:v>
                </c:pt>
                <c:pt idx="793">
                  <c:v>45288</c:v>
                </c:pt>
                <c:pt idx="794">
                  <c:v>45289</c:v>
                </c:pt>
                <c:pt idx="795">
                  <c:v>45293</c:v>
                </c:pt>
                <c:pt idx="796">
                  <c:v>45294</c:v>
                </c:pt>
                <c:pt idx="797">
                  <c:v>45295</c:v>
                </c:pt>
                <c:pt idx="798">
                  <c:v>45296</c:v>
                </c:pt>
                <c:pt idx="799">
                  <c:v>45299</c:v>
                </c:pt>
                <c:pt idx="800">
                  <c:v>45300</c:v>
                </c:pt>
                <c:pt idx="801">
                  <c:v>45301</c:v>
                </c:pt>
                <c:pt idx="802">
                  <c:v>45302</c:v>
                </c:pt>
                <c:pt idx="803">
                  <c:v>45303</c:v>
                </c:pt>
                <c:pt idx="804">
                  <c:v>45307</c:v>
                </c:pt>
                <c:pt idx="805">
                  <c:v>45308</c:v>
                </c:pt>
                <c:pt idx="806">
                  <c:v>45309</c:v>
                </c:pt>
                <c:pt idx="807">
                  <c:v>45310</c:v>
                </c:pt>
                <c:pt idx="808">
                  <c:v>45313</c:v>
                </c:pt>
                <c:pt idx="809">
                  <c:v>45314</c:v>
                </c:pt>
                <c:pt idx="810">
                  <c:v>45315</c:v>
                </c:pt>
                <c:pt idx="811">
                  <c:v>45316</c:v>
                </c:pt>
                <c:pt idx="812">
                  <c:v>45317</c:v>
                </c:pt>
                <c:pt idx="813">
                  <c:v>45320</c:v>
                </c:pt>
                <c:pt idx="814">
                  <c:v>45321</c:v>
                </c:pt>
                <c:pt idx="815">
                  <c:v>45322</c:v>
                </c:pt>
                <c:pt idx="816">
                  <c:v>45323</c:v>
                </c:pt>
                <c:pt idx="817">
                  <c:v>45324</c:v>
                </c:pt>
                <c:pt idx="818">
                  <c:v>45327</c:v>
                </c:pt>
                <c:pt idx="819">
                  <c:v>45328</c:v>
                </c:pt>
                <c:pt idx="820">
                  <c:v>45329</c:v>
                </c:pt>
                <c:pt idx="821">
                  <c:v>45330</c:v>
                </c:pt>
                <c:pt idx="822">
                  <c:v>45331</c:v>
                </c:pt>
                <c:pt idx="823">
                  <c:v>45334</c:v>
                </c:pt>
                <c:pt idx="824">
                  <c:v>45335</c:v>
                </c:pt>
                <c:pt idx="825">
                  <c:v>45336</c:v>
                </c:pt>
                <c:pt idx="826">
                  <c:v>45337</c:v>
                </c:pt>
                <c:pt idx="827">
                  <c:v>45338</c:v>
                </c:pt>
                <c:pt idx="828">
                  <c:v>45342</c:v>
                </c:pt>
                <c:pt idx="829">
                  <c:v>45343</c:v>
                </c:pt>
                <c:pt idx="830">
                  <c:v>45344</c:v>
                </c:pt>
                <c:pt idx="831">
                  <c:v>45345</c:v>
                </c:pt>
                <c:pt idx="832">
                  <c:v>45348</c:v>
                </c:pt>
                <c:pt idx="833">
                  <c:v>45349</c:v>
                </c:pt>
                <c:pt idx="834">
                  <c:v>45350</c:v>
                </c:pt>
                <c:pt idx="835">
                  <c:v>45351</c:v>
                </c:pt>
                <c:pt idx="836">
                  <c:v>45352</c:v>
                </c:pt>
                <c:pt idx="837">
                  <c:v>45355</c:v>
                </c:pt>
                <c:pt idx="838">
                  <c:v>45356</c:v>
                </c:pt>
                <c:pt idx="839">
                  <c:v>45357</c:v>
                </c:pt>
                <c:pt idx="840">
                  <c:v>45358</c:v>
                </c:pt>
                <c:pt idx="841">
                  <c:v>45359</c:v>
                </c:pt>
                <c:pt idx="842">
                  <c:v>45362</c:v>
                </c:pt>
                <c:pt idx="843">
                  <c:v>45363</c:v>
                </c:pt>
                <c:pt idx="844">
                  <c:v>45364</c:v>
                </c:pt>
                <c:pt idx="845">
                  <c:v>45365</c:v>
                </c:pt>
                <c:pt idx="846">
                  <c:v>45366</c:v>
                </c:pt>
                <c:pt idx="847">
                  <c:v>45369</c:v>
                </c:pt>
                <c:pt idx="848">
                  <c:v>45370</c:v>
                </c:pt>
                <c:pt idx="849">
                  <c:v>45371</c:v>
                </c:pt>
                <c:pt idx="850">
                  <c:v>45372</c:v>
                </c:pt>
                <c:pt idx="851">
                  <c:v>45373</c:v>
                </c:pt>
                <c:pt idx="852">
                  <c:v>45376</c:v>
                </c:pt>
                <c:pt idx="853">
                  <c:v>45377</c:v>
                </c:pt>
                <c:pt idx="854">
                  <c:v>45378</c:v>
                </c:pt>
                <c:pt idx="855">
                  <c:v>45379</c:v>
                </c:pt>
                <c:pt idx="856">
                  <c:v>45383</c:v>
                </c:pt>
                <c:pt idx="857">
                  <c:v>45384</c:v>
                </c:pt>
                <c:pt idx="858">
                  <c:v>45385</c:v>
                </c:pt>
                <c:pt idx="859">
                  <c:v>45386</c:v>
                </c:pt>
                <c:pt idx="860">
                  <c:v>45387</c:v>
                </c:pt>
                <c:pt idx="861">
                  <c:v>45390</c:v>
                </c:pt>
                <c:pt idx="862">
                  <c:v>45391</c:v>
                </c:pt>
                <c:pt idx="863">
                  <c:v>45392</c:v>
                </c:pt>
                <c:pt idx="864">
                  <c:v>45393</c:v>
                </c:pt>
                <c:pt idx="865">
                  <c:v>45394</c:v>
                </c:pt>
                <c:pt idx="866">
                  <c:v>45397</c:v>
                </c:pt>
                <c:pt idx="867">
                  <c:v>45398</c:v>
                </c:pt>
                <c:pt idx="868">
                  <c:v>45399</c:v>
                </c:pt>
                <c:pt idx="869">
                  <c:v>45400</c:v>
                </c:pt>
                <c:pt idx="870">
                  <c:v>45401</c:v>
                </c:pt>
                <c:pt idx="871">
                  <c:v>45404</c:v>
                </c:pt>
                <c:pt idx="872">
                  <c:v>45405</c:v>
                </c:pt>
                <c:pt idx="873">
                  <c:v>45406</c:v>
                </c:pt>
                <c:pt idx="874">
                  <c:v>45407</c:v>
                </c:pt>
                <c:pt idx="875">
                  <c:v>45408</c:v>
                </c:pt>
                <c:pt idx="876">
                  <c:v>45411</c:v>
                </c:pt>
                <c:pt idx="877">
                  <c:v>45412</c:v>
                </c:pt>
                <c:pt idx="878">
                  <c:v>45413</c:v>
                </c:pt>
                <c:pt idx="879">
                  <c:v>45414</c:v>
                </c:pt>
                <c:pt idx="880">
                  <c:v>45415</c:v>
                </c:pt>
                <c:pt idx="881">
                  <c:v>45418</c:v>
                </c:pt>
                <c:pt idx="882">
                  <c:v>45419</c:v>
                </c:pt>
                <c:pt idx="883">
                  <c:v>45420</c:v>
                </c:pt>
                <c:pt idx="884">
                  <c:v>45421</c:v>
                </c:pt>
                <c:pt idx="885">
                  <c:v>45422</c:v>
                </c:pt>
                <c:pt idx="886">
                  <c:v>45425</c:v>
                </c:pt>
                <c:pt idx="887">
                  <c:v>45426</c:v>
                </c:pt>
                <c:pt idx="888">
                  <c:v>45427</c:v>
                </c:pt>
                <c:pt idx="889">
                  <c:v>45428</c:v>
                </c:pt>
                <c:pt idx="890">
                  <c:v>45429</c:v>
                </c:pt>
                <c:pt idx="891">
                  <c:v>45432</c:v>
                </c:pt>
                <c:pt idx="892">
                  <c:v>45433</c:v>
                </c:pt>
                <c:pt idx="893">
                  <c:v>45434</c:v>
                </c:pt>
                <c:pt idx="894">
                  <c:v>45435</c:v>
                </c:pt>
                <c:pt idx="895">
                  <c:v>45436</c:v>
                </c:pt>
                <c:pt idx="896">
                  <c:v>45440</c:v>
                </c:pt>
                <c:pt idx="897">
                  <c:v>45441</c:v>
                </c:pt>
                <c:pt idx="898">
                  <c:v>45442</c:v>
                </c:pt>
                <c:pt idx="899">
                  <c:v>45443</c:v>
                </c:pt>
                <c:pt idx="900">
                  <c:v>45446</c:v>
                </c:pt>
                <c:pt idx="901">
                  <c:v>45447</c:v>
                </c:pt>
                <c:pt idx="902">
                  <c:v>45448</c:v>
                </c:pt>
                <c:pt idx="903">
                  <c:v>45449</c:v>
                </c:pt>
                <c:pt idx="904">
                  <c:v>45450</c:v>
                </c:pt>
                <c:pt idx="905">
                  <c:v>45453</c:v>
                </c:pt>
                <c:pt idx="906">
                  <c:v>45454</c:v>
                </c:pt>
                <c:pt idx="907">
                  <c:v>45455</c:v>
                </c:pt>
                <c:pt idx="908">
                  <c:v>45456</c:v>
                </c:pt>
                <c:pt idx="909">
                  <c:v>45457</c:v>
                </c:pt>
                <c:pt idx="910">
                  <c:v>45460</c:v>
                </c:pt>
                <c:pt idx="911">
                  <c:v>45461</c:v>
                </c:pt>
                <c:pt idx="912">
                  <c:v>45463</c:v>
                </c:pt>
                <c:pt idx="913">
                  <c:v>45464</c:v>
                </c:pt>
                <c:pt idx="914">
                  <c:v>45467</c:v>
                </c:pt>
                <c:pt idx="915">
                  <c:v>45468</c:v>
                </c:pt>
                <c:pt idx="916">
                  <c:v>45469</c:v>
                </c:pt>
                <c:pt idx="917">
                  <c:v>45470</c:v>
                </c:pt>
                <c:pt idx="918">
                  <c:v>45471</c:v>
                </c:pt>
                <c:pt idx="919">
                  <c:v>45474</c:v>
                </c:pt>
                <c:pt idx="920">
                  <c:v>45475</c:v>
                </c:pt>
                <c:pt idx="921">
                  <c:v>45476</c:v>
                </c:pt>
                <c:pt idx="922">
                  <c:v>45478</c:v>
                </c:pt>
                <c:pt idx="923">
                  <c:v>45481</c:v>
                </c:pt>
                <c:pt idx="924">
                  <c:v>45482</c:v>
                </c:pt>
                <c:pt idx="925">
                  <c:v>45483</c:v>
                </c:pt>
                <c:pt idx="926">
                  <c:v>45484</c:v>
                </c:pt>
                <c:pt idx="927">
                  <c:v>45485</c:v>
                </c:pt>
                <c:pt idx="928">
                  <c:v>45488</c:v>
                </c:pt>
                <c:pt idx="929">
                  <c:v>45489</c:v>
                </c:pt>
                <c:pt idx="930">
                  <c:v>45490</c:v>
                </c:pt>
                <c:pt idx="931">
                  <c:v>45491</c:v>
                </c:pt>
                <c:pt idx="932">
                  <c:v>45492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45502</c:v>
                </c:pt>
                <c:pt idx="939">
                  <c:v>45503</c:v>
                </c:pt>
                <c:pt idx="940">
                  <c:v>45504</c:v>
                </c:pt>
                <c:pt idx="941">
                  <c:v>45505</c:v>
                </c:pt>
                <c:pt idx="942">
                  <c:v>45506</c:v>
                </c:pt>
                <c:pt idx="943">
                  <c:v>45509</c:v>
                </c:pt>
                <c:pt idx="944">
                  <c:v>45510</c:v>
                </c:pt>
                <c:pt idx="945">
                  <c:v>45511</c:v>
                </c:pt>
                <c:pt idx="946">
                  <c:v>45512</c:v>
                </c:pt>
                <c:pt idx="947">
                  <c:v>45513</c:v>
                </c:pt>
                <c:pt idx="948">
                  <c:v>45516</c:v>
                </c:pt>
                <c:pt idx="949">
                  <c:v>45517</c:v>
                </c:pt>
                <c:pt idx="950">
                  <c:v>45518</c:v>
                </c:pt>
                <c:pt idx="951">
                  <c:v>45519</c:v>
                </c:pt>
                <c:pt idx="952">
                  <c:v>45520</c:v>
                </c:pt>
                <c:pt idx="953">
                  <c:v>45523</c:v>
                </c:pt>
                <c:pt idx="954">
                  <c:v>45524</c:v>
                </c:pt>
                <c:pt idx="955">
                  <c:v>45525</c:v>
                </c:pt>
                <c:pt idx="956">
                  <c:v>45526</c:v>
                </c:pt>
                <c:pt idx="957">
                  <c:v>45527</c:v>
                </c:pt>
                <c:pt idx="958">
                  <c:v>45530</c:v>
                </c:pt>
                <c:pt idx="959">
                  <c:v>45531</c:v>
                </c:pt>
                <c:pt idx="960">
                  <c:v>45532</c:v>
                </c:pt>
                <c:pt idx="961">
                  <c:v>45533</c:v>
                </c:pt>
                <c:pt idx="962">
                  <c:v>45534</c:v>
                </c:pt>
                <c:pt idx="963">
                  <c:v>45538</c:v>
                </c:pt>
                <c:pt idx="964">
                  <c:v>45539</c:v>
                </c:pt>
                <c:pt idx="965">
                  <c:v>45540</c:v>
                </c:pt>
                <c:pt idx="966">
                  <c:v>45541</c:v>
                </c:pt>
                <c:pt idx="967">
                  <c:v>45544</c:v>
                </c:pt>
                <c:pt idx="968">
                  <c:v>45545</c:v>
                </c:pt>
                <c:pt idx="969">
                  <c:v>45546</c:v>
                </c:pt>
                <c:pt idx="970">
                  <c:v>45547</c:v>
                </c:pt>
                <c:pt idx="971">
                  <c:v>45548</c:v>
                </c:pt>
                <c:pt idx="972">
                  <c:v>45551</c:v>
                </c:pt>
                <c:pt idx="973">
                  <c:v>45552</c:v>
                </c:pt>
                <c:pt idx="974">
                  <c:v>45553</c:v>
                </c:pt>
                <c:pt idx="975">
                  <c:v>45554</c:v>
                </c:pt>
                <c:pt idx="976">
                  <c:v>45555</c:v>
                </c:pt>
                <c:pt idx="977">
                  <c:v>45558</c:v>
                </c:pt>
                <c:pt idx="978">
                  <c:v>45559</c:v>
                </c:pt>
                <c:pt idx="979">
                  <c:v>45560</c:v>
                </c:pt>
                <c:pt idx="980">
                  <c:v>45561</c:v>
                </c:pt>
                <c:pt idx="981">
                  <c:v>45562</c:v>
                </c:pt>
                <c:pt idx="982">
                  <c:v>45565</c:v>
                </c:pt>
                <c:pt idx="983">
                  <c:v>45566</c:v>
                </c:pt>
                <c:pt idx="984">
                  <c:v>45567</c:v>
                </c:pt>
                <c:pt idx="985">
                  <c:v>45568</c:v>
                </c:pt>
                <c:pt idx="986">
                  <c:v>45569</c:v>
                </c:pt>
                <c:pt idx="987">
                  <c:v>45572</c:v>
                </c:pt>
                <c:pt idx="988">
                  <c:v>45573</c:v>
                </c:pt>
                <c:pt idx="989">
                  <c:v>45574</c:v>
                </c:pt>
                <c:pt idx="990">
                  <c:v>45575</c:v>
                </c:pt>
                <c:pt idx="991">
                  <c:v>45576</c:v>
                </c:pt>
                <c:pt idx="992">
                  <c:v>45579</c:v>
                </c:pt>
                <c:pt idx="993">
                  <c:v>45580</c:v>
                </c:pt>
                <c:pt idx="994">
                  <c:v>45581</c:v>
                </c:pt>
                <c:pt idx="995">
                  <c:v>45582</c:v>
                </c:pt>
                <c:pt idx="996">
                  <c:v>45583</c:v>
                </c:pt>
                <c:pt idx="997">
                  <c:v>45586</c:v>
                </c:pt>
                <c:pt idx="998">
                  <c:v>45587</c:v>
                </c:pt>
                <c:pt idx="999">
                  <c:v>45588</c:v>
                </c:pt>
                <c:pt idx="1000">
                  <c:v>45589</c:v>
                </c:pt>
                <c:pt idx="1001">
                  <c:v>45590</c:v>
                </c:pt>
                <c:pt idx="1002">
                  <c:v>45593</c:v>
                </c:pt>
                <c:pt idx="1003">
                  <c:v>45594</c:v>
                </c:pt>
                <c:pt idx="1004">
                  <c:v>45595</c:v>
                </c:pt>
                <c:pt idx="1005">
                  <c:v>45596</c:v>
                </c:pt>
                <c:pt idx="1006">
                  <c:v>45597</c:v>
                </c:pt>
                <c:pt idx="1007">
                  <c:v>45600</c:v>
                </c:pt>
                <c:pt idx="1008">
                  <c:v>45601</c:v>
                </c:pt>
                <c:pt idx="1009">
                  <c:v>45602</c:v>
                </c:pt>
                <c:pt idx="1010">
                  <c:v>45603</c:v>
                </c:pt>
                <c:pt idx="1011">
                  <c:v>45604</c:v>
                </c:pt>
                <c:pt idx="1012">
                  <c:v>45607</c:v>
                </c:pt>
                <c:pt idx="1013">
                  <c:v>45608</c:v>
                </c:pt>
                <c:pt idx="1014">
                  <c:v>45609</c:v>
                </c:pt>
                <c:pt idx="1015">
                  <c:v>45610</c:v>
                </c:pt>
                <c:pt idx="1016">
                  <c:v>45611</c:v>
                </c:pt>
                <c:pt idx="1017">
                  <c:v>45614</c:v>
                </c:pt>
                <c:pt idx="1018">
                  <c:v>45615</c:v>
                </c:pt>
                <c:pt idx="1019">
                  <c:v>45616</c:v>
                </c:pt>
                <c:pt idx="1020">
                  <c:v>45617</c:v>
                </c:pt>
                <c:pt idx="1021">
                  <c:v>45618</c:v>
                </c:pt>
                <c:pt idx="1022">
                  <c:v>45621</c:v>
                </c:pt>
                <c:pt idx="1023">
                  <c:v>45622</c:v>
                </c:pt>
                <c:pt idx="1024">
                  <c:v>45623</c:v>
                </c:pt>
                <c:pt idx="1025">
                  <c:v>45625</c:v>
                </c:pt>
                <c:pt idx="1026">
                  <c:v>45628</c:v>
                </c:pt>
                <c:pt idx="1027">
                  <c:v>45629</c:v>
                </c:pt>
                <c:pt idx="1028">
                  <c:v>45630</c:v>
                </c:pt>
                <c:pt idx="1029">
                  <c:v>45631</c:v>
                </c:pt>
                <c:pt idx="1030">
                  <c:v>45632</c:v>
                </c:pt>
                <c:pt idx="1031">
                  <c:v>45635</c:v>
                </c:pt>
                <c:pt idx="1032">
                  <c:v>45636</c:v>
                </c:pt>
                <c:pt idx="1033">
                  <c:v>45637</c:v>
                </c:pt>
                <c:pt idx="1034">
                  <c:v>45638</c:v>
                </c:pt>
                <c:pt idx="1035">
                  <c:v>45639</c:v>
                </c:pt>
                <c:pt idx="1036">
                  <c:v>45642</c:v>
                </c:pt>
                <c:pt idx="1037">
                  <c:v>45643</c:v>
                </c:pt>
                <c:pt idx="1038">
                  <c:v>45644</c:v>
                </c:pt>
                <c:pt idx="1039">
                  <c:v>45645</c:v>
                </c:pt>
                <c:pt idx="1040">
                  <c:v>45646</c:v>
                </c:pt>
                <c:pt idx="1041">
                  <c:v>45649</c:v>
                </c:pt>
                <c:pt idx="1042">
                  <c:v>45650</c:v>
                </c:pt>
                <c:pt idx="1043">
                  <c:v>45652</c:v>
                </c:pt>
                <c:pt idx="1044">
                  <c:v>45653</c:v>
                </c:pt>
                <c:pt idx="1045">
                  <c:v>45656</c:v>
                </c:pt>
                <c:pt idx="1046">
                  <c:v>45657</c:v>
                </c:pt>
                <c:pt idx="1047">
                  <c:v>45659</c:v>
                </c:pt>
                <c:pt idx="1048">
                  <c:v>45660</c:v>
                </c:pt>
                <c:pt idx="1049">
                  <c:v>45663</c:v>
                </c:pt>
                <c:pt idx="1050">
                  <c:v>45664</c:v>
                </c:pt>
                <c:pt idx="1051">
                  <c:v>45665</c:v>
                </c:pt>
                <c:pt idx="1052">
                  <c:v>45667</c:v>
                </c:pt>
                <c:pt idx="1053">
                  <c:v>45670</c:v>
                </c:pt>
                <c:pt idx="1054">
                  <c:v>45671</c:v>
                </c:pt>
                <c:pt idx="1055">
                  <c:v>45672</c:v>
                </c:pt>
                <c:pt idx="1056">
                  <c:v>45673</c:v>
                </c:pt>
                <c:pt idx="1057">
                  <c:v>45674</c:v>
                </c:pt>
                <c:pt idx="1058">
                  <c:v>45678</c:v>
                </c:pt>
                <c:pt idx="1059">
                  <c:v>45679</c:v>
                </c:pt>
                <c:pt idx="1060">
                  <c:v>45680</c:v>
                </c:pt>
                <c:pt idx="1061">
                  <c:v>45681</c:v>
                </c:pt>
                <c:pt idx="1062">
                  <c:v>45684</c:v>
                </c:pt>
                <c:pt idx="1063">
                  <c:v>45685</c:v>
                </c:pt>
                <c:pt idx="1064">
                  <c:v>45686</c:v>
                </c:pt>
                <c:pt idx="1065">
                  <c:v>45687</c:v>
                </c:pt>
                <c:pt idx="1066">
                  <c:v>45688</c:v>
                </c:pt>
                <c:pt idx="1067">
                  <c:v>45691</c:v>
                </c:pt>
                <c:pt idx="1068">
                  <c:v>45692</c:v>
                </c:pt>
                <c:pt idx="1069">
                  <c:v>45693</c:v>
                </c:pt>
                <c:pt idx="1070">
                  <c:v>45694</c:v>
                </c:pt>
                <c:pt idx="1071">
                  <c:v>45695</c:v>
                </c:pt>
                <c:pt idx="1072">
                  <c:v>45698</c:v>
                </c:pt>
                <c:pt idx="1073">
                  <c:v>45699</c:v>
                </c:pt>
                <c:pt idx="1074">
                  <c:v>45700</c:v>
                </c:pt>
                <c:pt idx="1075">
                  <c:v>45701</c:v>
                </c:pt>
                <c:pt idx="1076">
                  <c:v>45702</c:v>
                </c:pt>
                <c:pt idx="1077">
                  <c:v>45706</c:v>
                </c:pt>
                <c:pt idx="1078">
                  <c:v>45707</c:v>
                </c:pt>
                <c:pt idx="1079">
                  <c:v>45708</c:v>
                </c:pt>
                <c:pt idx="1080">
                  <c:v>45709</c:v>
                </c:pt>
                <c:pt idx="1081">
                  <c:v>45712</c:v>
                </c:pt>
                <c:pt idx="1082">
                  <c:v>45713</c:v>
                </c:pt>
                <c:pt idx="1083">
                  <c:v>45714</c:v>
                </c:pt>
                <c:pt idx="1084">
                  <c:v>45715</c:v>
                </c:pt>
                <c:pt idx="1085">
                  <c:v>45716</c:v>
                </c:pt>
                <c:pt idx="1086">
                  <c:v>45719</c:v>
                </c:pt>
                <c:pt idx="1087">
                  <c:v>45720</c:v>
                </c:pt>
                <c:pt idx="1088">
                  <c:v>45721</c:v>
                </c:pt>
                <c:pt idx="1089">
                  <c:v>45722</c:v>
                </c:pt>
                <c:pt idx="1090">
                  <c:v>45723</c:v>
                </c:pt>
                <c:pt idx="1091">
                  <c:v>45726</c:v>
                </c:pt>
                <c:pt idx="1092">
                  <c:v>45727</c:v>
                </c:pt>
                <c:pt idx="1093">
                  <c:v>45728</c:v>
                </c:pt>
                <c:pt idx="1094">
                  <c:v>45729</c:v>
                </c:pt>
                <c:pt idx="1095">
                  <c:v>45730</c:v>
                </c:pt>
                <c:pt idx="1096">
                  <c:v>45733</c:v>
                </c:pt>
                <c:pt idx="1097">
                  <c:v>45734</c:v>
                </c:pt>
                <c:pt idx="1098">
                  <c:v>45735</c:v>
                </c:pt>
                <c:pt idx="1099">
                  <c:v>45736</c:v>
                </c:pt>
                <c:pt idx="1100">
                  <c:v>45737</c:v>
                </c:pt>
                <c:pt idx="1101">
                  <c:v>45740</c:v>
                </c:pt>
                <c:pt idx="1102">
                  <c:v>45741</c:v>
                </c:pt>
                <c:pt idx="1103">
                  <c:v>45742</c:v>
                </c:pt>
                <c:pt idx="1104">
                  <c:v>45743</c:v>
                </c:pt>
                <c:pt idx="1105">
                  <c:v>45744</c:v>
                </c:pt>
                <c:pt idx="1106">
                  <c:v>45747</c:v>
                </c:pt>
                <c:pt idx="1107">
                  <c:v>45748</c:v>
                </c:pt>
                <c:pt idx="1108">
                  <c:v>45749</c:v>
                </c:pt>
                <c:pt idx="1109">
                  <c:v>45750</c:v>
                </c:pt>
                <c:pt idx="1110">
                  <c:v>45751</c:v>
                </c:pt>
                <c:pt idx="1111">
                  <c:v>45754</c:v>
                </c:pt>
                <c:pt idx="1112">
                  <c:v>45755</c:v>
                </c:pt>
                <c:pt idx="1113">
                  <c:v>45756</c:v>
                </c:pt>
                <c:pt idx="1114">
                  <c:v>45757</c:v>
                </c:pt>
                <c:pt idx="1115">
                  <c:v>45758</c:v>
                </c:pt>
                <c:pt idx="1116">
                  <c:v>45761</c:v>
                </c:pt>
                <c:pt idx="1117">
                  <c:v>45762</c:v>
                </c:pt>
                <c:pt idx="1118">
                  <c:v>45763</c:v>
                </c:pt>
                <c:pt idx="1119">
                  <c:v>45764</c:v>
                </c:pt>
                <c:pt idx="1120">
                  <c:v>45768</c:v>
                </c:pt>
                <c:pt idx="1121">
                  <c:v>45769</c:v>
                </c:pt>
                <c:pt idx="1122">
                  <c:v>45770</c:v>
                </c:pt>
                <c:pt idx="1123">
                  <c:v>45771</c:v>
                </c:pt>
                <c:pt idx="1124">
                  <c:v>45772</c:v>
                </c:pt>
                <c:pt idx="1125">
                  <c:v>45775</c:v>
                </c:pt>
                <c:pt idx="1126">
                  <c:v>45776</c:v>
                </c:pt>
                <c:pt idx="1127">
                  <c:v>45777</c:v>
                </c:pt>
                <c:pt idx="1128">
                  <c:v>45778</c:v>
                </c:pt>
                <c:pt idx="1129">
                  <c:v>45779</c:v>
                </c:pt>
                <c:pt idx="1130">
                  <c:v>45782</c:v>
                </c:pt>
                <c:pt idx="1131">
                  <c:v>45783</c:v>
                </c:pt>
                <c:pt idx="1132">
                  <c:v>45784</c:v>
                </c:pt>
                <c:pt idx="1133">
                  <c:v>45785</c:v>
                </c:pt>
                <c:pt idx="1134">
                  <c:v>45786</c:v>
                </c:pt>
                <c:pt idx="1135">
                  <c:v>45789</c:v>
                </c:pt>
                <c:pt idx="1136">
                  <c:v>45790</c:v>
                </c:pt>
                <c:pt idx="1137">
                  <c:v>45791</c:v>
                </c:pt>
                <c:pt idx="1138">
                  <c:v>45792</c:v>
                </c:pt>
                <c:pt idx="1139">
                  <c:v>45793</c:v>
                </c:pt>
                <c:pt idx="1140">
                  <c:v>45796</c:v>
                </c:pt>
                <c:pt idx="1141">
                  <c:v>45797</c:v>
                </c:pt>
                <c:pt idx="1142">
                  <c:v>45798</c:v>
                </c:pt>
                <c:pt idx="1143">
                  <c:v>45799</c:v>
                </c:pt>
                <c:pt idx="1144">
                  <c:v>45800</c:v>
                </c:pt>
                <c:pt idx="1145">
                  <c:v>45804</c:v>
                </c:pt>
                <c:pt idx="1146">
                  <c:v>45805</c:v>
                </c:pt>
                <c:pt idx="1147">
                  <c:v>45806</c:v>
                </c:pt>
                <c:pt idx="1148">
                  <c:v>45807</c:v>
                </c:pt>
                <c:pt idx="1149">
                  <c:v>45810</c:v>
                </c:pt>
                <c:pt idx="1150">
                  <c:v>45811</c:v>
                </c:pt>
                <c:pt idx="1151">
                  <c:v>45812</c:v>
                </c:pt>
                <c:pt idx="1152">
                  <c:v>45813</c:v>
                </c:pt>
                <c:pt idx="1153">
                  <c:v>45814</c:v>
                </c:pt>
                <c:pt idx="1154">
                  <c:v>45817</c:v>
                </c:pt>
                <c:pt idx="1155">
                  <c:v>45818</c:v>
                </c:pt>
                <c:pt idx="1156">
                  <c:v>45819</c:v>
                </c:pt>
                <c:pt idx="1157">
                  <c:v>45820</c:v>
                </c:pt>
                <c:pt idx="1158">
                  <c:v>45821</c:v>
                </c:pt>
                <c:pt idx="1159">
                  <c:v>45824</c:v>
                </c:pt>
                <c:pt idx="1160">
                  <c:v>45825</c:v>
                </c:pt>
                <c:pt idx="1161">
                  <c:v>45826</c:v>
                </c:pt>
                <c:pt idx="1162">
                  <c:v>45828</c:v>
                </c:pt>
                <c:pt idx="1163">
                  <c:v>45831</c:v>
                </c:pt>
                <c:pt idx="1164">
                  <c:v>45832</c:v>
                </c:pt>
                <c:pt idx="1165">
                  <c:v>45833</c:v>
                </c:pt>
                <c:pt idx="1166">
                  <c:v>45834</c:v>
                </c:pt>
                <c:pt idx="1167">
                  <c:v>45835</c:v>
                </c:pt>
                <c:pt idx="1168">
                  <c:v>45838</c:v>
                </c:pt>
                <c:pt idx="1169">
                  <c:v>45839</c:v>
                </c:pt>
                <c:pt idx="1170">
                  <c:v>45840</c:v>
                </c:pt>
                <c:pt idx="1171">
                  <c:v>45841</c:v>
                </c:pt>
                <c:pt idx="1172">
                  <c:v>45845</c:v>
                </c:pt>
                <c:pt idx="1173">
                  <c:v>45846</c:v>
                </c:pt>
                <c:pt idx="1174">
                  <c:v>45847</c:v>
                </c:pt>
                <c:pt idx="1175">
                  <c:v>45848</c:v>
                </c:pt>
                <c:pt idx="1176">
                  <c:v>45849</c:v>
                </c:pt>
                <c:pt idx="1177">
                  <c:v>45852</c:v>
                </c:pt>
                <c:pt idx="1178">
                  <c:v>45853</c:v>
                </c:pt>
                <c:pt idx="1179">
                  <c:v>45854</c:v>
                </c:pt>
                <c:pt idx="1180">
                  <c:v>45855</c:v>
                </c:pt>
                <c:pt idx="1181">
                  <c:v>45856</c:v>
                </c:pt>
                <c:pt idx="1182">
                  <c:v>45859</c:v>
                </c:pt>
                <c:pt idx="1183">
                  <c:v>45860</c:v>
                </c:pt>
                <c:pt idx="1184">
                  <c:v>45861</c:v>
                </c:pt>
                <c:pt idx="1185">
                  <c:v>45862</c:v>
                </c:pt>
                <c:pt idx="1186">
                  <c:v>45863</c:v>
                </c:pt>
                <c:pt idx="1187">
                  <c:v>45866</c:v>
                </c:pt>
                <c:pt idx="1188">
                  <c:v>45867</c:v>
                </c:pt>
                <c:pt idx="1189">
                  <c:v>45868</c:v>
                </c:pt>
                <c:pt idx="1190">
                  <c:v>45869</c:v>
                </c:pt>
                <c:pt idx="1191">
                  <c:v>45870</c:v>
                </c:pt>
                <c:pt idx="1192">
                  <c:v>45873</c:v>
                </c:pt>
                <c:pt idx="1193">
                  <c:v>45874</c:v>
                </c:pt>
                <c:pt idx="1194">
                  <c:v>45875</c:v>
                </c:pt>
                <c:pt idx="1195">
                  <c:v>45876</c:v>
                </c:pt>
                <c:pt idx="1196">
                  <c:v>45877</c:v>
                </c:pt>
                <c:pt idx="1197">
                  <c:v>45880</c:v>
                </c:pt>
                <c:pt idx="1198">
                  <c:v>45881</c:v>
                </c:pt>
                <c:pt idx="1199">
                  <c:v>45882</c:v>
                </c:pt>
                <c:pt idx="1200">
                  <c:v>45883</c:v>
                </c:pt>
                <c:pt idx="1201">
                  <c:v>45884</c:v>
                </c:pt>
                <c:pt idx="1202">
                  <c:v>45887</c:v>
                </c:pt>
                <c:pt idx="1203">
                  <c:v>45888</c:v>
                </c:pt>
                <c:pt idx="1204">
                  <c:v>45889</c:v>
                </c:pt>
                <c:pt idx="1205">
                  <c:v>45890</c:v>
                </c:pt>
                <c:pt idx="1206">
                  <c:v>45891</c:v>
                </c:pt>
                <c:pt idx="1207">
                  <c:v>45894</c:v>
                </c:pt>
                <c:pt idx="1208">
                  <c:v>45895</c:v>
                </c:pt>
                <c:pt idx="1209">
                  <c:v>45896</c:v>
                </c:pt>
                <c:pt idx="1210">
                  <c:v>45897</c:v>
                </c:pt>
                <c:pt idx="1211">
                  <c:v>45898</c:v>
                </c:pt>
                <c:pt idx="1212">
                  <c:v>45902</c:v>
                </c:pt>
                <c:pt idx="1213">
                  <c:v>45903</c:v>
                </c:pt>
                <c:pt idx="1214">
                  <c:v>45904</c:v>
                </c:pt>
                <c:pt idx="1215">
                  <c:v>45905</c:v>
                </c:pt>
                <c:pt idx="1216">
                  <c:v>45908</c:v>
                </c:pt>
                <c:pt idx="1217">
                  <c:v>45909</c:v>
                </c:pt>
                <c:pt idx="1218">
                  <c:v>45910</c:v>
                </c:pt>
                <c:pt idx="1219">
                  <c:v>45911</c:v>
                </c:pt>
                <c:pt idx="1220">
                  <c:v>45912</c:v>
                </c:pt>
                <c:pt idx="1221">
                  <c:v>45915</c:v>
                </c:pt>
                <c:pt idx="1222">
                  <c:v>45916</c:v>
                </c:pt>
                <c:pt idx="1223">
                  <c:v>45917</c:v>
                </c:pt>
                <c:pt idx="1224">
                  <c:v>45918</c:v>
                </c:pt>
                <c:pt idx="1225">
                  <c:v>45919</c:v>
                </c:pt>
                <c:pt idx="1226">
                  <c:v>45922</c:v>
                </c:pt>
                <c:pt idx="1227">
                  <c:v>45923</c:v>
                </c:pt>
                <c:pt idx="1228">
                  <c:v>45924</c:v>
                </c:pt>
                <c:pt idx="1229">
                  <c:v>45925</c:v>
                </c:pt>
                <c:pt idx="1230">
                  <c:v>45926</c:v>
                </c:pt>
                <c:pt idx="1231">
                  <c:v>45929</c:v>
                </c:pt>
                <c:pt idx="1232">
                  <c:v>45930</c:v>
                </c:pt>
                <c:pt idx="1233">
                  <c:v>45931</c:v>
                </c:pt>
                <c:pt idx="1234">
                  <c:v>45932</c:v>
                </c:pt>
                <c:pt idx="1235">
                  <c:v>45933</c:v>
                </c:pt>
                <c:pt idx="1236">
                  <c:v>45936</c:v>
                </c:pt>
                <c:pt idx="1237">
                  <c:v>45937</c:v>
                </c:pt>
                <c:pt idx="1238">
                  <c:v>45938</c:v>
                </c:pt>
                <c:pt idx="1239">
                  <c:v>45939</c:v>
                </c:pt>
                <c:pt idx="1240">
                  <c:v>45940</c:v>
                </c:pt>
                <c:pt idx="1241">
                  <c:v>45943</c:v>
                </c:pt>
                <c:pt idx="1242">
                  <c:v>45944</c:v>
                </c:pt>
                <c:pt idx="1243">
                  <c:v>45945</c:v>
                </c:pt>
                <c:pt idx="1244">
                  <c:v>45946</c:v>
                </c:pt>
                <c:pt idx="1245">
                  <c:v>45947</c:v>
                </c:pt>
                <c:pt idx="1246">
                  <c:v>45950</c:v>
                </c:pt>
                <c:pt idx="1247">
                  <c:v>45951</c:v>
                </c:pt>
                <c:pt idx="1248">
                  <c:v>45952</c:v>
                </c:pt>
                <c:pt idx="1249">
                  <c:v>45953</c:v>
                </c:pt>
                <c:pt idx="1250">
                  <c:v>45954</c:v>
                </c:pt>
                <c:pt idx="1251">
                  <c:v>45957</c:v>
                </c:pt>
                <c:pt idx="1252">
                  <c:v>45958</c:v>
                </c:pt>
                <c:pt idx="1253">
                  <c:v>45959</c:v>
                </c:pt>
                <c:pt idx="1254">
                  <c:v>45960</c:v>
                </c:pt>
                <c:pt idx="1255">
                  <c:v>45961</c:v>
                </c:pt>
              </c:numCache>
            </c:numRef>
          </c:cat>
          <c:val>
            <c:numRef>
              <c:f>SPY_close_price!$B$3:$B$1258</c:f>
              <c:numCache>
                <c:formatCode>_-[$$-409]* #,##0.00_ ;_-[$$-409]* \-#,##0.00\ ;_-[$$-409]* "-"??_ ;_-@_ </c:formatCode>
                <c:ptCount val="1256"/>
                <c:pt idx="0">
                  <c:v>330.2</c:v>
                </c:pt>
                <c:pt idx="1">
                  <c:v>336.03</c:v>
                </c:pt>
                <c:pt idx="2">
                  <c:v>343.54</c:v>
                </c:pt>
                <c:pt idx="3">
                  <c:v>350.24</c:v>
                </c:pt>
                <c:pt idx="4">
                  <c:v>350.16</c:v>
                </c:pt>
                <c:pt idx="5">
                  <c:v>354.56</c:v>
                </c:pt>
                <c:pt idx="6">
                  <c:v>354.04</c:v>
                </c:pt>
                <c:pt idx="7">
                  <c:v>356.67</c:v>
                </c:pt>
                <c:pt idx="8">
                  <c:v>353.21</c:v>
                </c:pt>
                <c:pt idx="9">
                  <c:v>358.1</c:v>
                </c:pt>
                <c:pt idx="10">
                  <c:v>362.57</c:v>
                </c:pt>
                <c:pt idx="11">
                  <c:v>360.62</c:v>
                </c:pt>
                <c:pt idx="12">
                  <c:v>356.28</c:v>
                </c:pt>
                <c:pt idx="13">
                  <c:v>357.78</c:v>
                </c:pt>
                <c:pt idx="14">
                  <c:v>355.33</c:v>
                </c:pt>
                <c:pt idx="15">
                  <c:v>357.46</c:v>
                </c:pt>
                <c:pt idx="16">
                  <c:v>363.22</c:v>
                </c:pt>
                <c:pt idx="17">
                  <c:v>362.66</c:v>
                </c:pt>
                <c:pt idx="18">
                  <c:v>363.67</c:v>
                </c:pt>
                <c:pt idx="19">
                  <c:v>362.06</c:v>
                </c:pt>
                <c:pt idx="20">
                  <c:v>366.02</c:v>
                </c:pt>
                <c:pt idx="21">
                  <c:v>366.79</c:v>
                </c:pt>
                <c:pt idx="22">
                  <c:v>366.69</c:v>
                </c:pt>
                <c:pt idx="23">
                  <c:v>369.85</c:v>
                </c:pt>
                <c:pt idx="24">
                  <c:v>369.09</c:v>
                </c:pt>
                <c:pt idx="25">
                  <c:v>370.17</c:v>
                </c:pt>
                <c:pt idx="26">
                  <c:v>366.85</c:v>
                </c:pt>
                <c:pt idx="27">
                  <c:v>366.73</c:v>
                </c:pt>
                <c:pt idx="28">
                  <c:v>366.3</c:v>
                </c:pt>
                <c:pt idx="29">
                  <c:v>364.66</c:v>
                </c:pt>
                <c:pt idx="30">
                  <c:v>369.59</c:v>
                </c:pt>
                <c:pt idx="31">
                  <c:v>370.17</c:v>
                </c:pt>
                <c:pt idx="32">
                  <c:v>372.24</c:v>
                </c:pt>
                <c:pt idx="33">
                  <c:v>369.18</c:v>
                </c:pt>
                <c:pt idx="34">
                  <c:v>367.86</c:v>
                </c:pt>
                <c:pt idx="35">
                  <c:v>367.24</c:v>
                </c:pt>
                <c:pt idx="36">
                  <c:v>367.57</c:v>
                </c:pt>
                <c:pt idx="37">
                  <c:v>369</c:v>
                </c:pt>
                <c:pt idx="38">
                  <c:v>372.17</c:v>
                </c:pt>
                <c:pt idx="39">
                  <c:v>371.46</c:v>
                </c:pt>
                <c:pt idx="40">
                  <c:v>371.99</c:v>
                </c:pt>
                <c:pt idx="41">
                  <c:v>373.88</c:v>
                </c:pt>
                <c:pt idx="42">
                  <c:v>368.79</c:v>
                </c:pt>
                <c:pt idx="43">
                  <c:v>371.33</c:v>
                </c:pt>
                <c:pt idx="44">
                  <c:v>373.55</c:v>
                </c:pt>
                <c:pt idx="45">
                  <c:v>379.1</c:v>
                </c:pt>
                <c:pt idx="46">
                  <c:v>381.26</c:v>
                </c:pt>
                <c:pt idx="47">
                  <c:v>378.69</c:v>
                </c:pt>
                <c:pt idx="48">
                  <c:v>378.77</c:v>
                </c:pt>
                <c:pt idx="49">
                  <c:v>379.79</c:v>
                </c:pt>
                <c:pt idx="50">
                  <c:v>378.46</c:v>
                </c:pt>
                <c:pt idx="51">
                  <c:v>375.7</c:v>
                </c:pt>
                <c:pt idx="52">
                  <c:v>378.65</c:v>
                </c:pt>
                <c:pt idx="53">
                  <c:v>383.89</c:v>
                </c:pt>
                <c:pt idx="54">
                  <c:v>384.24</c:v>
                </c:pt>
                <c:pt idx="55">
                  <c:v>382.88</c:v>
                </c:pt>
                <c:pt idx="56">
                  <c:v>384.39</c:v>
                </c:pt>
                <c:pt idx="57">
                  <c:v>383.79</c:v>
                </c:pt>
                <c:pt idx="58">
                  <c:v>374.41</c:v>
                </c:pt>
                <c:pt idx="59">
                  <c:v>377.63</c:v>
                </c:pt>
                <c:pt idx="60">
                  <c:v>370.07</c:v>
                </c:pt>
                <c:pt idx="61">
                  <c:v>376.23</c:v>
                </c:pt>
                <c:pt idx="62">
                  <c:v>381.55</c:v>
                </c:pt>
                <c:pt idx="63">
                  <c:v>381.85</c:v>
                </c:pt>
                <c:pt idx="64">
                  <c:v>386.19</c:v>
                </c:pt>
                <c:pt idx="65">
                  <c:v>387.71</c:v>
                </c:pt>
                <c:pt idx="66">
                  <c:v>390.51</c:v>
                </c:pt>
                <c:pt idx="67">
                  <c:v>390.25</c:v>
                </c:pt>
                <c:pt idx="68">
                  <c:v>390.08</c:v>
                </c:pt>
                <c:pt idx="69">
                  <c:v>390.71</c:v>
                </c:pt>
                <c:pt idx="70">
                  <c:v>392.64</c:v>
                </c:pt>
                <c:pt idx="71">
                  <c:v>392.3</c:v>
                </c:pt>
                <c:pt idx="72">
                  <c:v>392.39</c:v>
                </c:pt>
                <c:pt idx="73">
                  <c:v>390.72</c:v>
                </c:pt>
                <c:pt idx="74">
                  <c:v>390.03</c:v>
                </c:pt>
                <c:pt idx="75">
                  <c:v>387.03</c:v>
                </c:pt>
                <c:pt idx="76">
                  <c:v>387.5</c:v>
                </c:pt>
                <c:pt idx="77">
                  <c:v>391.77</c:v>
                </c:pt>
                <c:pt idx="78">
                  <c:v>382.33</c:v>
                </c:pt>
                <c:pt idx="79">
                  <c:v>380.36</c:v>
                </c:pt>
                <c:pt idx="80">
                  <c:v>389.58</c:v>
                </c:pt>
                <c:pt idx="81">
                  <c:v>386.54</c:v>
                </c:pt>
                <c:pt idx="82">
                  <c:v>381.42</c:v>
                </c:pt>
                <c:pt idx="83">
                  <c:v>376.7</c:v>
                </c:pt>
                <c:pt idx="84">
                  <c:v>383.63</c:v>
                </c:pt>
                <c:pt idx="85">
                  <c:v>381.72</c:v>
                </c:pt>
                <c:pt idx="86">
                  <c:v>387.17</c:v>
                </c:pt>
                <c:pt idx="87">
                  <c:v>389.58</c:v>
                </c:pt>
                <c:pt idx="88">
                  <c:v>393.53</c:v>
                </c:pt>
                <c:pt idx="89">
                  <c:v>394.06</c:v>
                </c:pt>
                <c:pt idx="90">
                  <c:v>396.41</c:v>
                </c:pt>
                <c:pt idx="91">
                  <c:v>395.91</c:v>
                </c:pt>
                <c:pt idx="92">
                  <c:v>397.26</c:v>
                </c:pt>
                <c:pt idx="93">
                  <c:v>391.48</c:v>
                </c:pt>
                <c:pt idx="94">
                  <c:v>389.48</c:v>
                </c:pt>
                <c:pt idx="95">
                  <c:v>392.59</c:v>
                </c:pt>
                <c:pt idx="96">
                  <c:v>389.5</c:v>
                </c:pt>
                <c:pt idx="97">
                  <c:v>387.52</c:v>
                </c:pt>
                <c:pt idx="98">
                  <c:v>389.7</c:v>
                </c:pt>
                <c:pt idx="99">
                  <c:v>395.98</c:v>
                </c:pt>
                <c:pt idx="100">
                  <c:v>395.78</c:v>
                </c:pt>
                <c:pt idx="101">
                  <c:v>394.73</c:v>
                </c:pt>
                <c:pt idx="102">
                  <c:v>396.33</c:v>
                </c:pt>
                <c:pt idx="103">
                  <c:v>400.61</c:v>
                </c:pt>
                <c:pt idx="104">
                  <c:v>406.36</c:v>
                </c:pt>
                <c:pt idx="105">
                  <c:v>406.12</c:v>
                </c:pt>
                <c:pt idx="106">
                  <c:v>406.59</c:v>
                </c:pt>
                <c:pt idx="107">
                  <c:v>408.52</c:v>
                </c:pt>
                <c:pt idx="108">
                  <c:v>411.49</c:v>
                </c:pt>
                <c:pt idx="109">
                  <c:v>411.64</c:v>
                </c:pt>
                <c:pt idx="110">
                  <c:v>412.86</c:v>
                </c:pt>
                <c:pt idx="111">
                  <c:v>411.45</c:v>
                </c:pt>
                <c:pt idx="112">
                  <c:v>415.87</c:v>
                </c:pt>
                <c:pt idx="113">
                  <c:v>417.26</c:v>
                </c:pt>
                <c:pt idx="114">
                  <c:v>415.21</c:v>
                </c:pt>
                <c:pt idx="115">
                  <c:v>412.17</c:v>
                </c:pt>
                <c:pt idx="116">
                  <c:v>416.07</c:v>
                </c:pt>
                <c:pt idx="117">
                  <c:v>412.27</c:v>
                </c:pt>
                <c:pt idx="118">
                  <c:v>416.74</c:v>
                </c:pt>
                <c:pt idx="119">
                  <c:v>417.61</c:v>
                </c:pt>
                <c:pt idx="120">
                  <c:v>417.52</c:v>
                </c:pt>
                <c:pt idx="121">
                  <c:v>417.4</c:v>
                </c:pt>
                <c:pt idx="122">
                  <c:v>420.06</c:v>
                </c:pt>
                <c:pt idx="123">
                  <c:v>417.3</c:v>
                </c:pt>
                <c:pt idx="124">
                  <c:v>418.2</c:v>
                </c:pt>
                <c:pt idx="125">
                  <c:v>415.62</c:v>
                </c:pt>
                <c:pt idx="126">
                  <c:v>415.75</c:v>
                </c:pt>
                <c:pt idx="127">
                  <c:v>419.07</c:v>
                </c:pt>
                <c:pt idx="128">
                  <c:v>422.12</c:v>
                </c:pt>
                <c:pt idx="129">
                  <c:v>417.94</c:v>
                </c:pt>
                <c:pt idx="130">
                  <c:v>414.21</c:v>
                </c:pt>
                <c:pt idx="131">
                  <c:v>405.41</c:v>
                </c:pt>
                <c:pt idx="132">
                  <c:v>410.28</c:v>
                </c:pt>
                <c:pt idx="133">
                  <c:v>416.58</c:v>
                </c:pt>
                <c:pt idx="134">
                  <c:v>415.52</c:v>
                </c:pt>
                <c:pt idx="135">
                  <c:v>411.94</c:v>
                </c:pt>
                <c:pt idx="136">
                  <c:v>410.86</c:v>
                </c:pt>
                <c:pt idx="137">
                  <c:v>415.28</c:v>
                </c:pt>
                <c:pt idx="138">
                  <c:v>414.94</c:v>
                </c:pt>
                <c:pt idx="139">
                  <c:v>419.17</c:v>
                </c:pt>
                <c:pt idx="140">
                  <c:v>418.24</c:v>
                </c:pt>
                <c:pt idx="141">
                  <c:v>419.07</c:v>
                </c:pt>
                <c:pt idx="142">
                  <c:v>419.29</c:v>
                </c:pt>
                <c:pt idx="143">
                  <c:v>420.04</c:v>
                </c:pt>
                <c:pt idx="144">
                  <c:v>419.67</c:v>
                </c:pt>
                <c:pt idx="145">
                  <c:v>420.33</c:v>
                </c:pt>
                <c:pt idx="146">
                  <c:v>418.77</c:v>
                </c:pt>
                <c:pt idx="147">
                  <c:v>422.6</c:v>
                </c:pt>
                <c:pt idx="148">
                  <c:v>422.19</c:v>
                </c:pt>
                <c:pt idx="149">
                  <c:v>422.28</c:v>
                </c:pt>
                <c:pt idx="150">
                  <c:v>421.65</c:v>
                </c:pt>
                <c:pt idx="151">
                  <c:v>423.61</c:v>
                </c:pt>
                <c:pt idx="152">
                  <c:v>424.31</c:v>
                </c:pt>
                <c:pt idx="153">
                  <c:v>425.26</c:v>
                </c:pt>
                <c:pt idx="154">
                  <c:v>424.48</c:v>
                </c:pt>
                <c:pt idx="155">
                  <c:v>422.11</c:v>
                </c:pt>
                <c:pt idx="156">
                  <c:v>421.97</c:v>
                </c:pt>
                <c:pt idx="157">
                  <c:v>414.92</c:v>
                </c:pt>
                <c:pt idx="158">
                  <c:v>420.86</c:v>
                </c:pt>
                <c:pt idx="159">
                  <c:v>423.11</c:v>
                </c:pt>
                <c:pt idx="160">
                  <c:v>422.6</c:v>
                </c:pt>
                <c:pt idx="161">
                  <c:v>425.1</c:v>
                </c:pt>
                <c:pt idx="162">
                  <c:v>426.61</c:v>
                </c:pt>
                <c:pt idx="163">
                  <c:v>427.47</c:v>
                </c:pt>
                <c:pt idx="164">
                  <c:v>427.7</c:v>
                </c:pt>
                <c:pt idx="165">
                  <c:v>428.06</c:v>
                </c:pt>
                <c:pt idx="166">
                  <c:v>430.43</c:v>
                </c:pt>
                <c:pt idx="167">
                  <c:v>433.72</c:v>
                </c:pt>
                <c:pt idx="168">
                  <c:v>432.93</c:v>
                </c:pt>
                <c:pt idx="169">
                  <c:v>434.46</c:v>
                </c:pt>
                <c:pt idx="170">
                  <c:v>430.92</c:v>
                </c:pt>
                <c:pt idx="171">
                  <c:v>435.52</c:v>
                </c:pt>
                <c:pt idx="172">
                  <c:v>437.08</c:v>
                </c:pt>
                <c:pt idx="173">
                  <c:v>435.59</c:v>
                </c:pt>
                <c:pt idx="174">
                  <c:v>436.24</c:v>
                </c:pt>
                <c:pt idx="175">
                  <c:v>434.75</c:v>
                </c:pt>
                <c:pt idx="176">
                  <c:v>431.34</c:v>
                </c:pt>
                <c:pt idx="177">
                  <c:v>424.97</c:v>
                </c:pt>
                <c:pt idx="178">
                  <c:v>431.06</c:v>
                </c:pt>
                <c:pt idx="179">
                  <c:v>434.55</c:v>
                </c:pt>
                <c:pt idx="180">
                  <c:v>435.46</c:v>
                </c:pt>
                <c:pt idx="181">
                  <c:v>439.94</c:v>
                </c:pt>
                <c:pt idx="182">
                  <c:v>441.02</c:v>
                </c:pt>
                <c:pt idx="183">
                  <c:v>439.01</c:v>
                </c:pt>
                <c:pt idx="184">
                  <c:v>438.83</c:v>
                </c:pt>
                <c:pt idx="185">
                  <c:v>440.65</c:v>
                </c:pt>
                <c:pt idx="186">
                  <c:v>438.51</c:v>
                </c:pt>
                <c:pt idx="187">
                  <c:v>437.59</c:v>
                </c:pt>
                <c:pt idx="188">
                  <c:v>441.15</c:v>
                </c:pt>
                <c:pt idx="189">
                  <c:v>438.98</c:v>
                </c:pt>
                <c:pt idx="190">
                  <c:v>441.76</c:v>
                </c:pt>
                <c:pt idx="191">
                  <c:v>442.49</c:v>
                </c:pt>
                <c:pt idx="192">
                  <c:v>442.13</c:v>
                </c:pt>
                <c:pt idx="193">
                  <c:v>442.68</c:v>
                </c:pt>
                <c:pt idx="194">
                  <c:v>443.78</c:v>
                </c:pt>
                <c:pt idx="195">
                  <c:v>445.11</c:v>
                </c:pt>
                <c:pt idx="196">
                  <c:v>445.92</c:v>
                </c:pt>
                <c:pt idx="197">
                  <c:v>446.97</c:v>
                </c:pt>
                <c:pt idx="198">
                  <c:v>444.04</c:v>
                </c:pt>
                <c:pt idx="199">
                  <c:v>439.18</c:v>
                </c:pt>
                <c:pt idx="200">
                  <c:v>439.86</c:v>
                </c:pt>
                <c:pt idx="201">
                  <c:v>443.36</c:v>
                </c:pt>
                <c:pt idx="202">
                  <c:v>447.26</c:v>
                </c:pt>
                <c:pt idx="203">
                  <c:v>447.97</c:v>
                </c:pt>
                <c:pt idx="204">
                  <c:v>448.91</c:v>
                </c:pt>
                <c:pt idx="205">
                  <c:v>446.26</c:v>
                </c:pt>
                <c:pt idx="206">
                  <c:v>450.25</c:v>
                </c:pt>
                <c:pt idx="207">
                  <c:v>452.23</c:v>
                </c:pt>
                <c:pt idx="208">
                  <c:v>451.56</c:v>
                </c:pt>
                <c:pt idx="209">
                  <c:v>451.8</c:v>
                </c:pt>
                <c:pt idx="210">
                  <c:v>453.19</c:v>
                </c:pt>
                <c:pt idx="211">
                  <c:v>453.08</c:v>
                </c:pt>
                <c:pt idx="212">
                  <c:v>451.46</c:v>
                </c:pt>
                <c:pt idx="213">
                  <c:v>450.91</c:v>
                </c:pt>
                <c:pt idx="214">
                  <c:v>448.98</c:v>
                </c:pt>
                <c:pt idx="215">
                  <c:v>445.44</c:v>
                </c:pt>
                <c:pt idx="216">
                  <c:v>446.58</c:v>
                </c:pt>
                <c:pt idx="217">
                  <c:v>444.17</c:v>
                </c:pt>
                <c:pt idx="218">
                  <c:v>447.88</c:v>
                </c:pt>
                <c:pt idx="219">
                  <c:v>447.17</c:v>
                </c:pt>
                <c:pt idx="220">
                  <c:v>441.4</c:v>
                </c:pt>
                <c:pt idx="221">
                  <c:v>434.04</c:v>
                </c:pt>
                <c:pt idx="222">
                  <c:v>433.63</c:v>
                </c:pt>
                <c:pt idx="223">
                  <c:v>437.86</c:v>
                </c:pt>
                <c:pt idx="224">
                  <c:v>443.18</c:v>
                </c:pt>
                <c:pt idx="225">
                  <c:v>443.91</c:v>
                </c:pt>
                <c:pt idx="226">
                  <c:v>442.64</c:v>
                </c:pt>
                <c:pt idx="227">
                  <c:v>433.72</c:v>
                </c:pt>
                <c:pt idx="228">
                  <c:v>434.45</c:v>
                </c:pt>
                <c:pt idx="229">
                  <c:v>429.14</c:v>
                </c:pt>
                <c:pt idx="230">
                  <c:v>434.24</c:v>
                </c:pt>
                <c:pt idx="231">
                  <c:v>428.64</c:v>
                </c:pt>
                <c:pt idx="232">
                  <c:v>433.1</c:v>
                </c:pt>
                <c:pt idx="233">
                  <c:v>434.9</c:v>
                </c:pt>
                <c:pt idx="234">
                  <c:v>438.66</c:v>
                </c:pt>
                <c:pt idx="235">
                  <c:v>437.86</c:v>
                </c:pt>
                <c:pt idx="236">
                  <c:v>434.69</c:v>
                </c:pt>
                <c:pt idx="237">
                  <c:v>433.62</c:v>
                </c:pt>
                <c:pt idx="238">
                  <c:v>435.18</c:v>
                </c:pt>
                <c:pt idx="239">
                  <c:v>442.5</c:v>
                </c:pt>
                <c:pt idx="240">
                  <c:v>445.87</c:v>
                </c:pt>
                <c:pt idx="241">
                  <c:v>447.19</c:v>
                </c:pt>
                <c:pt idx="242">
                  <c:v>450.64</c:v>
                </c:pt>
                <c:pt idx="243">
                  <c:v>452.41</c:v>
                </c:pt>
                <c:pt idx="244">
                  <c:v>453.59</c:v>
                </c:pt>
                <c:pt idx="245">
                  <c:v>453.12</c:v>
                </c:pt>
                <c:pt idx="246">
                  <c:v>455.55</c:v>
                </c:pt>
                <c:pt idx="247">
                  <c:v>455.96</c:v>
                </c:pt>
                <c:pt idx="248">
                  <c:v>453.94</c:v>
                </c:pt>
                <c:pt idx="249">
                  <c:v>458.32</c:v>
                </c:pt>
                <c:pt idx="250">
                  <c:v>459.25</c:v>
                </c:pt>
                <c:pt idx="251">
                  <c:v>460.04</c:v>
                </c:pt>
                <c:pt idx="252">
                  <c:v>461.9</c:v>
                </c:pt>
                <c:pt idx="253">
                  <c:v>464.72</c:v>
                </c:pt>
                <c:pt idx="254">
                  <c:v>466.91</c:v>
                </c:pt>
                <c:pt idx="255">
                  <c:v>468.53</c:v>
                </c:pt>
                <c:pt idx="256">
                  <c:v>468.93</c:v>
                </c:pt>
                <c:pt idx="257">
                  <c:v>467.38</c:v>
                </c:pt>
                <c:pt idx="258">
                  <c:v>463.62</c:v>
                </c:pt>
                <c:pt idx="259">
                  <c:v>463.77</c:v>
                </c:pt>
                <c:pt idx="260">
                  <c:v>467.27</c:v>
                </c:pt>
                <c:pt idx="261">
                  <c:v>467.43</c:v>
                </c:pt>
                <c:pt idx="262">
                  <c:v>469.28</c:v>
                </c:pt>
                <c:pt idx="263">
                  <c:v>468.14</c:v>
                </c:pt>
                <c:pt idx="264">
                  <c:v>469.73</c:v>
                </c:pt>
                <c:pt idx="265">
                  <c:v>468.89</c:v>
                </c:pt>
                <c:pt idx="266">
                  <c:v>467.57</c:v>
                </c:pt>
                <c:pt idx="267">
                  <c:v>468.19</c:v>
                </c:pt>
                <c:pt idx="268">
                  <c:v>469.44</c:v>
                </c:pt>
                <c:pt idx="269">
                  <c:v>458.97</c:v>
                </c:pt>
                <c:pt idx="270">
                  <c:v>464.6</c:v>
                </c:pt>
                <c:pt idx="271">
                  <c:v>455.56</c:v>
                </c:pt>
                <c:pt idx="272">
                  <c:v>450.5</c:v>
                </c:pt>
                <c:pt idx="273">
                  <c:v>457.4</c:v>
                </c:pt>
                <c:pt idx="274">
                  <c:v>453.42</c:v>
                </c:pt>
                <c:pt idx="275">
                  <c:v>458.79</c:v>
                </c:pt>
                <c:pt idx="276">
                  <c:v>468.28</c:v>
                </c:pt>
                <c:pt idx="277">
                  <c:v>469.52</c:v>
                </c:pt>
                <c:pt idx="278">
                  <c:v>466.35</c:v>
                </c:pt>
                <c:pt idx="279">
                  <c:v>470.74</c:v>
                </c:pt>
                <c:pt idx="280">
                  <c:v>466.57</c:v>
                </c:pt>
                <c:pt idx="281">
                  <c:v>463.36</c:v>
                </c:pt>
                <c:pt idx="282">
                  <c:v>470.6</c:v>
                </c:pt>
                <c:pt idx="283">
                  <c:v>466.45</c:v>
                </c:pt>
                <c:pt idx="284">
                  <c:v>459.87</c:v>
                </c:pt>
                <c:pt idx="285">
                  <c:v>454.98</c:v>
                </c:pt>
                <c:pt idx="286">
                  <c:v>463.06</c:v>
                </c:pt>
                <c:pt idx="287">
                  <c:v>467.69</c:v>
                </c:pt>
                <c:pt idx="288">
                  <c:v>470.6</c:v>
                </c:pt>
                <c:pt idx="289">
                  <c:v>477.26</c:v>
                </c:pt>
                <c:pt idx="290">
                  <c:v>476.87</c:v>
                </c:pt>
                <c:pt idx="291">
                  <c:v>477.48</c:v>
                </c:pt>
                <c:pt idx="292">
                  <c:v>476.16</c:v>
                </c:pt>
                <c:pt idx="293">
                  <c:v>474.96</c:v>
                </c:pt>
                <c:pt idx="294">
                  <c:v>477.71</c:v>
                </c:pt>
                <c:pt idx="295">
                  <c:v>477.55</c:v>
                </c:pt>
                <c:pt idx="296">
                  <c:v>468.38</c:v>
                </c:pt>
                <c:pt idx="297">
                  <c:v>467.94</c:v>
                </c:pt>
                <c:pt idx="298">
                  <c:v>466.09</c:v>
                </c:pt>
                <c:pt idx="299">
                  <c:v>465.51</c:v>
                </c:pt>
                <c:pt idx="300">
                  <c:v>469.75</c:v>
                </c:pt>
                <c:pt idx="301">
                  <c:v>471.02</c:v>
                </c:pt>
                <c:pt idx="302">
                  <c:v>464.53</c:v>
                </c:pt>
                <c:pt idx="303">
                  <c:v>464.72</c:v>
                </c:pt>
                <c:pt idx="304">
                  <c:v>456.49</c:v>
                </c:pt>
                <c:pt idx="305">
                  <c:v>451.75</c:v>
                </c:pt>
                <c:pt idx="306">
                  <c:v>446.75</c:v>
                </c:pt>
                <c:pt idx="307">
                  <c:v>437.98</c:v>
                </c:pt>
                <c:pt idx="308">
                  <c:v>439.84</c:v>
                </c:pt>
                <c:pt idx="309">
                  <c:v>434.47</c:v>
                </c:pt>
                <c:pt idx="310">
                  <c:v>433.38</c:v>
                </c:pt>
                <c:pt idx="311">
                  <c:v>431.24</c:v>
                </c:pt>
                <c:pt idx="312">
                  <c:v>441.95</c:v>
                </c:pt>
                <c:pt idx="313">
                  <c:v>449.91</c:v>
                </c:pt>
                <c:pt idx="314">
                  <c:v>452.95</c:v>
                </c:pt>
                <c:pt idx="315">
                  <c:v>457.35</c:v>
                </c:pt>
                <c:pt idx="316">
                  <c:v>446.6</c:v>
                </c:pt>
                <c:pt idx="317">
                  <c:v>448.7</c:v>
                </c:pt>
                <c:pt idx="318">
                  <c:v>447.26</c:v>
                </c:pt>
                <c:pt idx="319">
                  <c:v>450.94</c:v>
                </c:pt>
                <c:pt idx="320">
                  <c:v>457.54</c:v>
                </c:pt>
                <c:pt idx="321">
                  <c:v>449.32</c:v>
                </c:pt>
                <c:pt idx="322">
                  <c:v>440.46</c:v>
                </c:pt>
                <c:pt idx="323">
                  <c:v>439.02</c:v>
                </c:pt>
                <c:pt idx="324">
                  <c:v>446.1</c:v>
                </c:pt>
                <c:pt idx="325">
                  <c:v>446.6</c:v>
                </c:pt>
                <c:pt idx="326">
                  <c:v>437.06</c:v>
                </c:pt>
                <c:pt idx="327">
                  <c:v>434.23</c:v>
                </c:pt>
                <c:pt idx="328">
                  <c:v>429.57</c:v>
                </c:pt>
                <c:pt idx="329">
                  <c:v>421.95</c:v>
                </c:pt>
                <c:pt idx="330">
                  <c:v>428.3</c:v>
                </c:pt>
                <c:pt idx="331">
                  <c:v>437.75</c:v>
                </c:pt>
                <c:pt idx="332">
                  <c:v>436.63</c:v>
                </c:pt>
                <c:pt idx="333">
                  <c:v>429.98</c:v>
                </c:pt>
                <c:pt idx="334">
                  <c:v>437.89</c:v>
                </c:pt>
                <c:pt idx="335">
                  <c:v>435.71</c:v>
                </c:pt>
                <c:pt idx="336">
                  <c:v>432.17</c:v>
                </c:pt>
                <c:pt idx="337">
                  <c:v>419.43</c:v>
                </c:pt>
                <c:pt idx="338">
                  <c:v>416.25</c:v>
                </c:pt>
                <c:pt idx="339">
                  <c:v>427.41</c:v>
                </c:pt>
                <c:pt idx="340">
                  <c:v>425.48</c:v>
                </c:pt>
                <c:pt idx="341">
                  <c:v>420.07</c:v>
                </c:pt>
                <c:pt idx="342">
                  <c:v>417</c:v>
                </c:pt>
                <c:pt idx="343">
                  <c:v>426.17</c:v>
                </c:pt>
                <c:pt idx="344">
                  <c:v>435.62</c:v>
                </c:pt>
                <c:pt idx="345">
                  <c:v>441.07</c:v>
                </c:pt>
                <c:pt idx="346">
                  <c:v>444.52</c:v>
                </c:pt>
                <c:pt idx="347">
                  <c:v>444.39</c:v>
                </c:pt>
                <c:pt idx="348">
                  <c:v>449.59</c:v>
                </c:pt>
                <c:pt idx="349">
                  <c:v>443.8</c:v>
                </c:pt>
                <c:pt idx="350">
                  <c:v>450.49</c:v>
                </c:pt>
                <c:pt idx="351">
                  <c:v>452.69</c:v>
                </c:pt>
                <c:pt idx="352">
                  <c:v>455.91</c:v>
                </c:pt>
                <c:pt idx="353">
                  <c:v>461.55</c:v>
                </c:pt>
                <c:pt idx="354">
                  <c:v>458.7</c:v>
                </c:pt>
                <c:pt idx="355">
                  <c:v>451.64</c:v>
                </c:pt>
                <c:pt idx="356">
                  <c:v>452.92</c:v>
                </c:pt>
                <c:pt idx="357">
                  <c:v>456.8</c:v>
                </c:pt>
                <c:pt idx="358">
                  <c:v>451.03</c:v>
                </c:pt>
                <c:pt idx="359">
                  <c:v>446.52</c:v>
                </c:pt>
                <c:pt idx="360">
                  <c:v>448.77</c:v>
                </c:pt>
                <c:pt idx="361">
                  <c:v>447.57</c:v>
                </c:pt>
                <c:pt idx="362">
                  <c:v>439.92</c:v>
                </c:pt>
                <c:pt idx="363">
                  <c:v>438.29</c:v>
                </c:pt>
                <c:pt idx="364">
                  <c:v>443.31</c:v>
                </c:pt>
                <c:pt idx="365">
                  <c:v>437.79</c:v>
                </c:pt>
                <c:pt idx="366">
                  <c:v>437.97</c:v>
                </c:pt>
                <c:pt idx="367">
                  <c:v>445.04</c:v>
                </c:pt>
                <c:pt idx="368">
                  <c:v>444.71</c:v>
                </c:pt>
                <c:pt idx="369">
                  <c:v>438.06</c:v>
                </c:pt>
                <c:pt idx="370">
                  <c:v>426.04</c:v>
                </c:pt>
                <c:pt idx="371">
                  <c:v>428.51</c:v>
                </c:pt>
                <c:pt idx="372">
                  <c:v>416.1</c:v>
                </c:pt>
                <c:pt idx="373">
                  <c:v>417.27</c:v>
                </c:pt>
                <c:pt idx="374">
                  <c:v>427.81</c:v>
                </c:pt>
                <c:pt idx="375">
                  <c:v>412</c:v>
                </c:pt>
                <c:pt idx="376">
                  <c:v>414.48</c:v>
                </c:pt>
                <c:pt idx="377">
                  <c:v>416.38</c:v>
                </c:pt>
                <c:pt idx="378">
                  <c:v>429.06</c:v>
                </c:pt>
                <c:pt idx="379">
                  <c:v>413.81</c:v>
                </c:pt>
                <c:pt idx="380">
                  <c:v>411.34</c:v>
                </c:pt>
                <c:pt idx="381">
                  <c:v>398.17</c:v>
                </c:pt>
                <c:pt idx="382">
                  <c:v>399.09</c:v>
                </c:pt>
                <c:pt idx="383">
                  <c:v>392.75</c:v>
                </c:pt>
                <c:pt idx="384">
                  <c:v>392.34</c:v>
                </c:pt>
                <c:pt idx="385">
                  <c:v>401.72</c:v>
                </c:pt>
                <c:pt idx="386">
                  <c:v>400.09</c:v>
                </c:pt>
                <c:pt idx="387">
                  <c:v>408.32</c:v>
                </c:pt>
                <c:pt idx="388">
                  <c:v>391.86</c:v>
                </c:pt>
                <c:pt idx="389">
                  <c:v>389.46</c:v>
                </c:pt>
                <c:pt idx="390">
                  <c:v>389.63</c:v>
                </c:pt>
                <c:pt idx="391">
                  <c:v>396.92</c:v>
                </c:pt>
                <c:pt idx="392">
                  <c:v>393.89</c:v>
                </c:pt>
                <c:pt idx="393">
                  <c:v>397.37</c:v>
                </c:pt>
                <c:pt idx="394">
                  <c:v>405.31</c:v>
                </c:pt>
                <c:pt idx="395">
                  <c:v>415.26</c:v>
                </c:pt>
                <c:pt idx="396">
                  <c:v>412.93</c:v>
                </c:pt>
                <c:pt idx="397">
                  <c:v>409.59</c:v>
                </c:pt>
                <c:pt idx="398">
                  <c:v>417.39</c:v>
                </c:pt>
                <c:pt idx="399">
                  <c:v>410.54</c:v>
                </c:pt>
                <c:pt idx="400">
                  <c:v>411.79</c:v>
                </c:pt>
                <c:pt idx="401">
                  <c:v>415.74</c:v>
                </c:pt>
                <c:pt idx="402">
                  <c:v>411.22</c:v>
                </c:pt>
                <c:pt idx="403">
                  <c:v>401.44</c:v>
                </c:pt>
                <c:pt idx="404">
                  <c:v>389.8</c:v>
                </c:pt>
                <c:pt idx="405">
                  <c:v>375</c:v>
                </c:pt>
                <c:pt idx="406">
                  <c:v>373.87</c:v>
                </c:pt>
                <c:pt idx="407">
                  <c:v>379.2</c:v>
                </c:pt>
                <c:pt idx="408">
                  <c:v>366.65</c:v>
                </c:pt>
                <c:pt idx="409">
                  <c:v>365.86</c:v>
                </c:pt>
                <c:pt idx="410">
                  <c:v>375.07</c:v>
                </c:pt>
                <c:pt idx="411">
                  <c:v>374.39</c:v>
                </c:pt>
                <c:pt idx="412">
                  <c:v>378.06</c:v>
                </c:pt>
                <c:pt idx="413">
                  <c:v>390.08</c:v>
                </c:pt>
                <c:pt idx="414">
                  <c:v>388.59</c:v>
                </c:pt>
                <c:pt idx="415">
                  <c:v>380.65</c:v>
                </c:pt>
                <c:pt idx="416">
                  <c:v>380.34</c:v>
                </c:pt>
                <c:pt idx="417">
                  <c:v>377.25</c:v>
                </c:pt>
                <c:pt idx="418">
                  <c:v>381.24</c:v>
                </c:pt>
                <c:pt idx="419">
                  <c:v>381.96</c:v>
                </c:pt>
                <c:pt idx="420">
                  <c:v>383.25</c:v>
                </c:pt>
                <c:pt idx="421">
                  <c:v>388.99</c:v>
                </c:pt>
                <c:pt idx="422">
                  <c:v>388.67</c:v>
                </c:pt>
                <c:pt idx="423">
                  <c:v>384.23</c:v>
                </c:pt>
                <c:pt idx="424">
                  <c:v>380.83</c:v>
                </c:pt>
                <c:pt idx="425">
                  <c:v>378.83</c:v>
                </c:pt>
                <c:pt idx="426">
                  <c:v>377.91</c:v>
                </c:pt>
                <c:pt idx="427">
                  <c:v>385.13</c:v>
                </c:pt>
                <c:pt idx="428">
                  <c:v>381.95</c:v>
                </c:pt>
                <c:pt idx="429">
                  <c:v>392.27</c:v>
                </c:pt>
                <c:pt idx="430">
                  <c:v>394.77</c:v>
                </c:pt>
                <c:pt idx="431">
                  <c:v>398.79</c:v>
                </c:pt>
                <c:pt idx="432">
                  <c:v>395.09</c:v>
                </c:pt>
                <c:pt idx="433">
                  <c:v>395.57</c:v>
                </c:pt>
                <c:pt idx="434">
                  <c:v>390.89</c:v>
                </c:pt>
                <c:pt idx="435">
                  <c:v>401.04</c:v>
                </c:pt>
                <c:pt idx="436">
                  <c:v>406.07</c:v>
                </c:pt>
                <c:pt idx="437">
                  <c:v>411.99</c:v>
                </c:pt>
                <c:pt idx="438">
                  <c:v>410.77</c:v>
                </c:pt>
                <c:pt idx="439">
                  <c:v>408.06</c:v>
                </c:pt>
                <c:pt idx="440">
                  <c:v>414.45</c:v>
                </c:pt>
                <c:pt idx="441">
                  <c:v>414.17</c:v>
                </c:pt>
                <c:pt idx="442">
                  <c:v>413.47</c:v>
                </c:pt>
                <c:pt idx="443">
                  <c:v>412.99</c:v>
                </c:pt>
                <c:pt idx="444">
                  <c:v>411.35</c:v>
                </c:pt>
                <c:pt idx="445">
                  <c:v>419.99</c:v>
                </c:pt>
                <c:pt idx="446">
                  <c:v>419.99</c:v>
                </c:pt>
                <c:pt idx="447">
                  <c:v>427.1</c:v>
                </c:pt>
                <c:pt idx="448">
                  <c:v>428.86</c:v>
                </c:pt>
                <c:pt idx="449">
                  <c:v>429.7</c:v>
                </c:pt>
                <c:pt idx="450">
                  <c:v>426.65</c:v>
                </c:pt>
                <c:pt idx="451">
                  <c:v>427.89</c:v>
                </c:pt>
                <c:pt idx="452">
                  <c:v>422.14</c:v>
                </c:pt>
                <c:pt idx="453">
                  <c:v>413.35</c:v>
                </c:pt>
                <c:pt idx="454">
                  <c:v>412.35</c:v>
                </c:pt>
                <c:pt idx="455">
                  <c:v>413.67</c:v>
                </c:pt>
                <c:pt idx="456">
                  <c:v>419.51</c:v>
                </c:pt>
                <c:pt idx="457">
                  <c:v>405.31</c:v>
                </c:pt>
                <c:pt idx="458">
                  <c:v>402.63</c:v>
                </c:pt>
                <c:pt idx="459">
                  <c:v>398.21</c:v>
                </c:pt>
                <c:pt idx="460">
                  <c:v>395.18</c:v>
                </c:pt>
                <c:pt idx="461">
                  <c:v>396.42</c:v>
                </c:pt>
                <c:pt idx="462">
                  <c:v>392.24</c:v>
                </c:pt>
                <c:pt idx="463">
                  <c:v>390.76</c:v>
                </c:pt>
                <c:pt idx="464">
                  <c:v>397.78</c:v>
                </c:pt>
                <c:pt idx="465">
                  <c:v>400.38</c:v>
                </c:pt>
                <c:pt idx="466">
                  <c:v>406.6</c:v>
                </c:pt>
                <c:pt idx="467">
                  <c:v>410.97</c:v>
                </c:pt>
                <c:pt idx="468">
                  <c:v>393.1</c:v>
                </c:pt>
                <c:pt idx="469">
                  <c:v>394.6</c:v>
                </c:pt>
                <c:pt idx="470">
                  <c:v>390.12</c:v>
                </c:pt>
                <c:pt idx="471">
                  <c:v>385.56</c:v>
                </c:pt>
                <c:pt idx="472">
                  <c:v>388.55</c:v>
                </c:pt>
                <c:pt idx="473">
                  <c:v>384.09</c:v>
                </c:pt>
                <c:pt idx="474">
                  <c:v>377.39</c:v>
                </c:pt>
                <c:pt idx="475">
                  <c:v>374.22</c:v>
                </c:pt>
                <c:pt idx="476">
                  <c:v>367.95</c:v>
                </c:pt>
                <c:pt idx="477">
                  <c:v>364.31</c:v>
                </c:pt>
                <c:pt idx="478">
                  <c:v>363.38</c:v>
                </c:pt>
                <c:pt idx="479">
                  <c:v>370.53</c:v>
                </c:pt>
                <c:pt idx="480">
                  <c:v>362.79</c:v>
                </c:pt>
                <c:pt idx="481">
                  <c:v>357.18</c:v>
                </c:pt>
                <c:pt idx="482">
                  <c:v>366.61</c:v>
                </c:pt>
                <c:pt idx="483">
                  <c:v>377.97</c:v>
                </c:pt>
                <c:pt idx="484">
                  <c:v>377.09</c:v>
                </c:pt>
                <c:pt idx="485">
                  <c:v>373.2</c:v>
                </c:pt>
                <c:pt idx="486">
                  <c:v>362.79</c:v>
                </c:pt>
                <c:pt idx="487">
                  <c:v>360.02</c:v>
                </c:pt>
                <c:pt idx="488">
                  <c:v>357.74</c:v>
                </c:pt>
                <c:pt idx="489">
                  <c:v>356.56</c:v>
                </c:pt>
                <c:pt idx="490">
                  <c:v>365.97</c:v>
                </c:pt>
                <c:pt idx="491">
                  <c:v>357.63</c:v>
                </c:pt>
                <c:pt idx="492">
                  <c:v>366.82</c:v>
                </c:pt>
                <c:pt idx="493">
                  <c:v>371.13</c:v>
                </c:pt>
                <c:pt idx="494">
                  <c:v>368.5</c:v>
                </c:pt>
                <c:pt idx="495">
                  <c:v>365.41</c:v>
                </c:pt>
                <c:pt idx="496">
                  <c:v>374.29</c:v>
                </c:pt>
                <c:pt idx="497">
                  <c:v>378.87</c:v>
                </c:pt>
                <c:pt idx="498">
                  <c:v>384.92</c:v>
                </c:pt>
                <c:pt idx="499">
                  <c:v>382.02</c:v>
                </c:pt>
                <c:pt idx="500">
                  <c:v>379.98</c:v>
                </c:pt>
                <c:pt idx="501">
                  <c:v>389.02</c:v>
                </c:pt>
                <c:pt idx="502">
                  <c:v>386.21</c:v>
                </c:pt>
                <c:pt idx="503">
                  <c:v>384.52</c:v>
                </c:pt>
                <c:pt idx="504">
                  <c:v>374.87</c:v>
                </c:pt>
                <c:pt idx="505">
                  <c:v>371.01</c:v>
                </c:pt>
                <c:pt idx="506">
                  <c:v>376.35</c:v>
                </c:pt>
                <c:pt idx="507">
                  <c:v>379.95</c:v>
                </c:pt>
                <c:pt idx="508">
                  <c:v>382</c:v>
                </c:pt>
                <c:pt idx="509">
                  <c:v>374.13</c:v>
                </c:pt>
                <c:pt idx="510">
                  <c:v>394.69</c:v>
                </c:pt>
                <c:pt idx="511">
                  <c:v>398.51</c:v>
                </c:pt>
                <c:pt idx="512">
                  <c:v>395.12</c:v>
                </c:pt>
                <c:pt idx="513">
                  <c:v>398.49</c:v>
                </c:pt>
                <c:pt idx="514">
                  <c:v>395.45</c:v>
                </c:pt>
                <c:pt idx="515">
                  <c:v>394.24</c:v>
                </c:pt>
                <c:pt idx="516">
                  <c:v>396.03</c:v>
                </c:pt>
                <c:pt idx="517">
                  <c:v>394.59</c:v>
                </c:pt>
                <c:pt idx="518">
                  <c:v>399.9</c:v>
                </c:pt>
                <c:pt idx="519">
                  <c:v>402.42</c:v>
                </c:pt>
                <c:pt idx="520">
                  <c:v>402.33</c:v>
                </c:pt>
                <c:pt idx="521">
                  <c:v>395.91</c:v>
                </c:pt>
                <c:pt idx="522">
                  <c:v>395.23</c:v>
                </c:pt>
                <c:pt idx="523">
                  <c:v>407.68</c:v>
                </c:pt>
                <c:pt idx="524">
                  <c:v>407.38</c:v>
                </c:pt>
                <c:pt idx="525">
                  <c:v>406.91</c:v>
                </c:pt>
                <c:pt idx="526">
                  <c:v>399.59</c:v>
                </c:pt>
                <c:pt idx="527">
                  <c:v>393.83</c:v>
                </c:pt>
                <c:pt idx="528">
                  <c:v>393.16</c:v>
                </c:pt>
                <c:pt idx="529">
                  <c:v>396.24</c:v>
                </c:pt>
                <c:pt idx="530">
                  <c:v>393.28</c:v>
                </c:pt>
                <c:pt idx="531">
                  <c:v>398.95</c:v>
                </c:pt>
                <c:pt idx="532">
                  <c:v>401.97</c:v>
                </c:pt>
                <c:pt idx="533">
                  <c:v>399.4</c:v>
                </c:pt>
                <c:pt idx="534">
                  <c:v>389.63</c:v>
                </c:pt>
                <c:pt idx="535">
                  <c:v>383.27</c:v>
                </c:pt>
                <c:pt idx="536">
                  <c:v>380.02</c:v>
                </c:pt>
                <c:pt idx="537">
                  <c:v>380.54</c:v>
                </c:pt>
                <c:pt idx="538">
                  <c:v>386.23</c:v>
                </c:pt>
                <c:pt idx="539">
                  <c:v>380.72</c:v>
                </c:pt>
                <c:pt idx="540">
                  <c:v>382.91</c:v>
                </c:pt>
                <c:pt idx="541">
                  <c:v>381.4</c:v>
                </c:pt>
                <c:pt idx="542">
                  <c:v>376.66</c:v>
                </c:pt>
                <c:pt idx="543">
                  <c:v>383.44</c:v>
                </c:pt>
                <c:pt idx="544">
                  <c:v>382.43</c:v>
                </c:pt>
                <c:pt idx="545">
                  <c:v>380.82</c:v>
                </c:pt>
                <c:pt idx="546">
                  <c:v>383.76</c:v>
                </c:pt>
                <c:pt idx="547">
                  <c:v>379.38</c:v>
                </c:pt>
                <c:pt idx="548">
                  <c:v>388.08</c:v>
                </c:pt>
                <c:pt idx="549">
                  <c:v>387.86</c:v>
                </c:pt>
                <c:pt idx="550">
                  <c:v>390.58</c:v>
                </c:pt>
                <c:pt idx="551">
                  <c:v>395.52</c:v>
                </c:pt>
                <c:pt idx="552">
                  <c:v>396.96</c:v>
                </c:pt>
                <c:pt idx="553">
                  <c:v>398.5</c:v>
                </c:pt>
                <c:pt idx="554">
                  <c:v>397.77</c:v>
                </c:pt>
                <c:pt idx="555">
                  <c:v>391.49</c:v>
                </c:pt>
                <c:pt idx="556">
                  <c:v>388.64</c:v>
                </c:pt>
                <c:pt idx="557">
                  <c:v>395.88</c:v>
                </c:pt>
                <c:pt idx="558">
                  <c:v>400.63</c:v>
                </c:pt>
                <c:pt idx="559">
                  <c:v>400.2</c:v>
                </c:pt>
                <c:pt idx="560">
                  <c:v>400.35</c:v>
                </c:pt>
                <c:pt idx="561">
                  <c:v>404.75</c:v>
                </c:pt>
                <c:pt idx="562">
                  <c:v>405.68</c:v>
                </c:pt>
                <c:pt idx="563">
                  <c:v>400.59</c:v>
                </c:pt>
                <c:pt idx="564">
                  <c:v>406.48</c:v>
                </c:pt>
                <c:pt idx="565">
                  <c:v>410.8</c:v>
                </c:pt>
                <c:pt idx="566">
                  <c:v>416.78</c:v>
                </c:pt>
                <c:pt idx="567">
                  <c:v>412.35</c:v>
                </c:pt>
                <c:pt idx="568">
                  <c:v>409.83</c:v>
                </c:pt>
                <c:pt idx="569">
                  <c:v>415.19</c:v>
                </c:pt>
                <c:pt idx="570">
                  <c:v>410.65</c:v>
                </c:pt>
                <c:pt idx="571">
                  <c:v>407.09</c:v>
                </c:pt>
                <c:pt idx="572">
                  <c:v>408.04</c:v>
                </c:pt>
                <c:pt idx="573">
                  <c:v>412.83</c:v>
                </c:pt>
                <c:pt idx="574">
                  <c:v>412.64</c:v>
                </c:pt>
                <c:pt idx="575">
                  <c:v>413.98</c:v>
                </c:pt>
                <c:pt idx="576">
                  <c:v>408.28</c:v>
                </c:pt>
                <c:pt idx="577">
                  <c:v>407.26</c:v>
                </c:pt>
                <c:pt idx="578">
                  <c:v>399.09</c:v>
                </c:pt>
                <c:pt idx="579">
                  <c:v>398.54</c:v>
                </c:pt>
                <c:pt idx="580">
                  <c:v>400.66</c:v>
                </c:pt>
                <c:pt idx="581">
                  <c:v>396.38</c:v>
                </c:pt>
                <c:pt idx="582">
                  <c:v>397.73</c:v>
                </c:pt>
                <c:pt idx="583">
                  <c:v>396.26</c:v>
                </c:pt>
                <c:pt idx="584">
                  <c:v>394.74</c:v>
                </c:pt>
                <c:pt idx="585">
                  <c:v>397.81</c:v>
                </c:pt>
                <c:pt idx="586">
                  <c:v>404.19</c:v>
                </c:pt>
                <c:pt idx="587">
                  <c:v>404.47</c:v>
                </c:pt>
                <c:pt idx="588">
                  <c:v>398.27</c:v>
                </c:pt>
                <c:pt idx="589">
                  <c:v>398.92</c:v>
                </c:pt>
                <c:pt idx="590">
                  <c:v>391.56</c:v>
                </c:pt>
                <c:pt idx="591">
                  <c:v>385.91</c:v>
                </c:pt>
                <c:pt idx="592">
                  <c:v>385.36</c:v>
                </c:pt>
                <c:pt idx="593">
                  <c:v>391.73</c:v>
                </c:pt>
                <c:pt idx="594">
                  <c:v>389.28</c:v>
                </c:pt>
                <c:pt idx="595">
                  <c:v>396.11</c:v>
                </c:pt>
                <c:pt idx="596">
                  <c:v>389.99</c:v>
                </c:pt>
                <c:pt idx="597">
                  <c:v>393.74</c:v>
                </c:pt>
                <c:pt idx="598">
                  <c:v>398.91</c:v>
                </c:pt>
                <c:pt idx="599">
                  <c:v>392.11</c:v>
                </c:pt>
                <c:pt idx="600">
                  <c:v>393.17</c:v>
                </c:pt>
                <c:pt idx="601">
                  <c:v>395.75</c:v>
                </c:pt>
                <c:pt idx="602">
                  <c:v>396.49</c:v>
                </c:pt>
                <c:pt idx="603">
                  <c:v>395.6</c:v>
                </c:pt>
                <c:pt idx="604">
                  <c:v>401.35</c:v>
                </c:pt>
                <c:pt idx="605">
                  <c:v>403.7</c:v>
                </c:pt>
                <c:pt idx="606">
                  <c:v>409.39</c:v>
                </c:pt>
                <c:pt idx="607">
                  <c:v>410.95</c:v>
                </c:pt>
                <c:pt idx="608">
                  <c:v>408.67</c:v>
                </c:pt>
                <c:pt idx="609">
                  <c:v>407.6</c:v>
                </c:pt>
                <c:pt idx="610">
                  <c:v>409.19</c:v>
                </c:pt>
                <c:pt idx="611">
                  <c:v>409.61</c:v>
                </c:pt>
                <c:pt idx="612">
                  <c:v>409.72</c:v>
                </c:pt>
                <c:pt idx="613">
                  <c:v>408.05</c:v>
                </c:pt>
                <c:pt idx="614">
                  <c:v>413.47</c:v>
                </c:pt>
                <c:pt idx="615">
                  <c:v>412.46</c:v>
                </c:pt>
                <c:pt idx="616">
                  <c:v>413.94</c:v>
                </c:pt>
                <c:pt idx="617">
                  <c:v>414.21</c:v>
                </c:pt>
                <c:pt idx="618">
                  <c:v>414.14</c:v>
                </c:pt>
                <c:pt idx="619">
                  <c:v>411.88</c:v>
                </c:pt>
                <c:pt idx="620">
                  <c:v>412.2</c:v>
                </c:pt>
                <c:pt idx="621">
                  <c:v>412.63</c:v>
                </c:pt>
                <c:pt idx="622">
                  <c:v>406.08</c:v>
                </c:pt>
                <c:pt idx="623">
                  <c:v>404.36</c:v>
                </c:pt>
                <c:pt idx="624">
                  <c:v>412.41</c:v>
                </c:pt>
                <c:pt idx="625">
                  <c:v>415.93</c:v>
                </c:pt>
                <c:pt idx="626">
                  <c:v>415.51</c:v>
                </c:pt>
                <c:pt idx="627">
                  <c:v>410.84</c:v>
                </c:pt>
                <c:pt idx="628">
                  <c:v>408.02</c:v>
                </c:pt>
                <c:pt idx="629">
                  <c:v>405.13</c:v>
                </c:pt>
                <c:pt idx="630">
                  <c:v>412.63</c:v>
                </c:pt>
                <c:pt idx="631">
                  <c:v>412.74</c:v>
                </c:pt>
                <c:pt idx="632">
                  <c:v>410.93</c:v>
                </c:pt>
                <c:pt idx="633">
                  <c:v>412.85</c:v>
                </c:pt>
                <c:pt idx="634">
                  <c:v>412.13</c:v>
                </c:pt>
                <c:pt idx="635">
                  <c:v>411.59</c:v>
                </c:pt>
                <c:pt idx="636">
                  <c:v>413.01</c:v>
                </c:pt>
                <c:pt idx="637">
                  <c:v>410.25</c:v>
                </c:pt>
                <c:pt idx="638">
                  <c:v>415.23</c:v>
                </c:pt>
                <c:pt idx="639">
                  <c:v>419.23</c:v>
                </c:pt>
                <c:pt idx="640">
                  <c:v>418.62</c:v>
                </c:pt>
                <c:pt idx="641">
                  <c:v>418.79</c:v>
                </c:pt>
                <c:pt idx="642">
                  <c:v>414.09</c:v>
                </c:pt>
                <c:pt idx="643">
                  <c:v>411.09</c:v>
                </c:pt>
                <c:pt idx="644">
                  <c:v>414.65</c:v>
                </c:pt>
                <c:pt idx="645">
                  <c:v>420.02</c:v>
                </c:pt>
                <c:pt idx="646">
                  <c:v>420.18</c:v>
                </c:pt>
                <c:pt idx="647">
                  <c:v>417.85</c:v>
                </c:pt>
                <c:pt idx="648">
                  <c:v>421.82</c:v>
                </c:pt>
                <c:pt idx="649">
                  <c:v>427.92</c:v>
                </c:pt>
                <c:pt idx="650">
                  <c:v>427.1</c:v>
                </c:pt>
                <c:pt idx="651">
                  <c:v>428.03</c:v>
                </c:pt>
                <c:pt idx="652">
                  <c:v>426.55</c:v>
                </c:pt>
                <c:pt idx="653">
                  <c:v>429.13</c:v>
                </c:pt>
                <c:pt idx="654">
                  <c:v>429.9</c:v>
                </c:pt>
                <c:pt idx="655">
                  <c:v>433.8</c:v>
                </c:pt>
                <c:pt idx="656">
                  <c:v>436.66</c:v>
                </c:pt>
                <c:pt idx="657">
                  <c:v>437.18</c:v>
                </c:pt>
                <c:pt idx="658">
                  <c:v>442.6</c:v>
                </c:pt>
                <c:pt idx="659">
                  <c:v>439.46</c:v>
                </c:pt>
                <c:pt idx="660">
                  <c:v>437.18</c:v>
                </c:pt>
                <c:pt idx="661">
                  <c:v>434.94</c:v>
                </c:pt>
                <c:pt idx="662">
                  <c:v>436.51</c:v>
                </c:pt>
                <c:pt idx="663">
                  <c:v>433.21</c:v>
                </c:pt>
                <c:pt idx="664">
                  <c:v>431.44</c:v>
                </c:pt>
                <c:pt idx="665">
                  <c:v>436.17</c:v>
                </c:pt>
                <c:pt idx="666">
                  <c:v>436.39</c:v>
                </c:pt>
                <c:pt idx="667">
                  <c:v>438.11</c:v>
                </c:pt>
                <c:pt idx="668">
                  <c:v>443.28</c:v>
                </c:pt>
                <c:pt idx="669">
                  <c:v>443.79</c:v>
                </c:pt>
                <c:pt idx="670">
                  <c:v>443.13</c:v>
                </c:pt>
                <c:pt idx="671">
                  <c:v>439.66</c:v>
                </c:pt>
                <c:pt idx="672">
                  <c:v>438.55</c:v>
                </c:pt>
                <c:pt idx="673">
                  <c:v>439.66</c:v>
                </c:pt>
                <c:pt idx="674">
                  <c:v>442.46</c:v>
                </c:pt>
                <c:pt idx="675">
                  <c:v>446.02</c:v>
                </c:pt>
                <c:pt idx="676">
                  <c:v>449.56</c:v>
                </c:pt>
                <c:pt idx="677">
                  <c:v>449.28</c:v>
                </c:pt>
                <c:pt idx="678">
                  <c:v>450.84</c:v>
                </c:pt>
                <c:pt idx="679">
                  <c:v>454.19</c:v>
                </c:pt>
                <c:pt idx="680">
                  <c:v>455.2</c:v>
                </c:pt>
                <c:pt idx="681">
                  <c:v>452.18</c:v>
                </c:pt>
                <c:pt idx="682">
                  <c:v>452.18</c:v>
                </c:pt>
                <c:pt idx="683">
                  <c:v>454.2</c:v>
                </c:pt>
                <c:pt idx="684">
                  <c:v>455.44</c:v>
                </c:pt>
                <c:pt idx="685">
                  <c:v>455.51</c:v>
                </c:pt>
                <c:pt idx="686">
                  <c:v>452.49</c:v>
                </c:pt>
                <c:pt idx="687">
                  <c:v>456.92</c:v>
                </c:pt>
                <c:pt idx="688">
                  <c:v>457.79</c:v>
                </c:pt>
                <c:pt idx="689">
                  <c:v>456.48</c:v>
                </c:pt>
                <c:pt idx="690">
                  <c:v>450.13</c:v>
                </c:pt>
                <c:pt idx="691">
                  <c:v>448.84</c:v>
                </c:pt>
                <c:pt idx="692">
                  <c:v>446.81</c:v>
                </c:pt>
                <c:pt idx="693">
                  <c:v>450.71</c:v>
                </c:pt>
                <c:pt idx="694">
                  <c:v>448.75</c:v>
                </c:pt>
                <c:pt idx="695">
                  <c:v>445.75</c:v>
                </c:pt>
                <c:pt idx="696">
                  <c:v>445.91</c:v>
                </c:pt>
                <c:pt idx="697">
                  <c:v>445.65</c:v>
                </c:pt>
                <c:pt idx="698">
                  <c:v>448.11</c:v>
                </c:pt>
                <c:pt idx="699">
                  <c:v>442.89</c:v>
                </c:pt>
                <c:pt idx="700">
                  <c:v>439.64</c:v>
                </c:pt>
                <c:pt idx="701">
                  <c:v>436.29</c:v>
                </c:pt>
                <c:pt idx="702">
                  <c:v>436.5</c:v>
                </c:pt>
                <c:pt idx="703">
                  <c:v>439.34</c:v>
                </c:pt>
                <c:pt idx="704">
                  <c:v>438.15</c:v>
                </c:pt>
                <c:pt idx="705">
                  <c:v>443.03</c:v>
                </c:pt>
                <c:pt idx="706">
                  <c:v>436.89</c:v>
                </c:pt>
                <c:pt idx="707">
                  <c:v>439.97</c:v>
                </c:pt>
                <c:pt idx="708">
                  <c:v>442.76</c:v>
                </c:pt>
                <c:pt idx="709">
                  <c:v>449.16</c:v>
                </c:pt>
                <c:pt idx="710">
                  <c:v>451.01</c:v>
                </c:pt>
                <c:pt idx="711">
                  <c:v>450.35</c:v>
                </c:pt>
                <c:pt idx="712">
                  <c:v>451.19</c:v>
                </c:pt>
                <c:pt idx="713">
                  <c:v>449.24</c:v>
                </c:pt>
                <c:pt idx="714">
                  <c:v>446.22</c:v>
                </c:pt>
                <c:pt idx="715">
                  <c:v>444.85</c:v>
                </c:pt>
                <c:pt idx="716">
                  <c:v>445.52</c:v>
                </c:pt>
                <c:pt idx="717">
                  <c:v>448.45</c:v>
                </c:pt>
                <c:pt idx="718">
                  <c:v>445.99</c:v>
                </c:pt>
                <c:pt idx="719">
                  <c:v>446.51</c:v>
                </c:pt>
                <c:pt idx="720">
                  <c:v>450.36</c:v>
                </c:pt>
                <c:pt idx="721">
                  <c:v>443.37</c:v>
                </c:pt>
                <c:pt idx="722">
                  <c:v>443.63</c:v>
                </c:pt>
                <c:pt idx="723">
                  <c:v>442.71</c:v>
                </c:pt>
                <c:pt idx="724">
                  <c:v>438.64</c:v>
                </c:pt>
                <c:pt idx="725">
                  <c:v>431.39</c:v>
                </c:pt>
                <c:pt idx="726">
                  <c:v>430.42</c:v>
                </c:pt>
                <c:pt idx="727">
                  <c:v>432.23</c:v>
                </c:pt>
                <c:pt idx="728">
                  <c:v>425.88</c:v>
                </c:pt>
                <c:pt idx="729">
                  <c:v>426.05</c:v>
                </c:pt>
                <c:pt idx="730">
                  <c:v>428.52</c:v>
                </c:pt>
                <c:pt idx="731">
                  <c:v>427.48</c:v>
                </c:pt>
                <c:pt idx="732">
                  <c:v>427.31</c:v>
                </c:pt>
                <c:pt idx="733">
                  <c:v>421.59</c:v>
                </c:pt>
                <c:pt idx="734">
                  <c:v>424.66</c:v>
                </c:pt>
                <c:pt idx="735">
                  <c:v>424.5</c:v>
                </c:pt>
                <c:pt idx="736">
                  <c:v>429.54</c:v>
                </c:pt>
                <c:pt idx="737">
                  <c:v>432.29</c:v>
                </c:pt>
                <c:pt idx="738">
                  <c:v>434.54</c:v>
                </c:pt>
                <c:pt idx="739">
                  <c:v>436.32</c:v>
                </c:pt>
                <c:pt idx="740">
                  <c:v>433.66</c:v>
                </c:pt>
                <c:pt idx="741">
                  <c:v>431.5</c:v>
                </c:pt>
                <c:pt idx="742">
                  <c:v>436.04</c:v>
                </c:pt>
                <c:pt idx="743">
                  <c:v>436.02</c:v>
                </c:pt>
                <c:pt idx="744">
                  <c:v>430.21</c:v>
                </c:pt>
                <c:pt idx="745">
                  <c:v>426.43</c:v>
                </c:pt>
                <c:pt idx="746">
                  <c:v>421.19</c:v>
                </c:pt>
                <c:pt idx="747">
                  <c:v>420.46</c:v>
                </c:pt>
                <c:pt idx="748">
                  <c:v>423.63</c:v>
                </c:pt>
                <c:pt idx="749">
                  <c:v>417.55</c:v>
                </c:pt>
                <c:pt idx="750">
                  <c:v>412.55</c:v>
                </c:pt>
                <c:pt idx="751">
                  <c:v>410.68</c:v>
                </c:pt>
                <c:pt idx="752">
                  <c:v>415.59</c:v>
                </c:pt>
                <c:pt idx="753">
                  <c:v>418.2</c:v>
                </c:pt>
                <c:pt idx="754">
                  <c:v>422.66</c:v>
                </c:pt>
                <c:pt idx="755">
                  <c:v>430.76</c:v>
                </c:pt>
                <c:pt idx="756">
                  <c:v>434.69</c:v>
                </c:pt>
                <c:pt idx="757">
                  <c:v>435.69</c:v>
                </c:pt>
                <c:pt idx="758">
                  <c:v>436.93</c:v>
                </c:pt>
                <c:pt idx="759">
                  <c:v>437.25</c:v>
                </c:pt>
                <c:pt idx="760">
                  <c:v>433.84</c:v>
                </c:pt>
                <c:pt idx="761">
                  <c:v>440.61</c:v>
                </c:pt>
                <c:pt idx="762">
                  <c:v>440.19</c:v>
                </c:pt>
                <c:pt idx="763">
                  <c:v>448.73</c:v>
                </c:pt>
                <c:pt idx="764">
                  <c:v>449.68</c:v>
                </c:pt>
                <c:pt idx="765">
                  <c:v>450.23</c:v>
                </c:pt>
                <c:pt idx="766">
                  <c:v>450.79</c:v>
                </c:pt>
                <c:pt idx="767">
                  <c:v>454.26</c:v>
                </c:pt>
                <c:pt idx="768">
                  <c:v>453.27</c:v>
                </c:pt>
                <c:pt idx="769">
                  <c:v>455.02</c:v>
                </c:pt>
                <c:pt idx="770">
                  <c:v>455.3</c:v>
                </c:pt>
                <c:pt idx="771">
                  <c:v>454.48</c:v>
                </c:pt>
                <c:pt idx="772">
                  <c:v>454.93</c:v>
                </c:pt>
                <c:pt idx="773">
                  <c:v>454.61</c:v>
                </c:pt>
                <c:pt idx="774">
                  <c:v>456.4</c:v>
                </c:pt>
                <c:pt idx="775">
                  <c:v>459.1</c:v>
                </c:pt>
                <c:pt idx="776">
                  <c:v>456.69</c:v>
                </c:pt>
                <c:pt idx="777">
                  <c:v>456.6</c:v>
                </c:pt>
                <c:pt idx="778">
                  <c:v>454.76</c:v>
                </c:pt>
                <c:pt idx="779">
                  <c:v>458.23</c:v>
                </c:pt>
                <c:pt idx="780">
                  <c:v>460.2</c:v>
                </c:pt>
                <c:pt idx="781">
                  <c:v>461.99</c:v>
                </c:pt>
                <c:pt idx="782">
                  <c:v>464.1</c:v>
                </c:pt>
                <c:pt idx="783">
                  <c:v>470.5</c:v>
                </c:pt>
                <c:pt idx="784">
                  <c:v>472.01</c:v>
                </c:pt>
                <c:pt idx="785">
                  <c:v>469.33</c:v>
                </c:pt>
                <c:pt idx="786">
                  <c:v>471.97</c:v>
                </c:pt>
                <c:pt idx="787">
                  <c:v>474.84</c:v>
                </c:pt>
                <c:pt idx="788">
                  <c:v>468.26</c:v>
                </c:pt>
                <c:pt idx="789">
                  <c:v>472.7</c:v>
                </c:pt>
                <c:pt idx="790">
                  <c:v>473.65</c:v>
                </c:pt>
                <c:pt idx="791">
                  <c:v>475.65</c:v>
                </c:pt>
                <c:pt idx="792">
                  <c:v>476.51</c:v>
                </c:pt>
                <c:pt idx="793">
                  <c:v>476.69</c:v>
                </c:pt>
                <c:pt idx="794">
                  <c:v>475.31</c:v>
                </c:pt>
                <c:pt idx="795">
                  <c:v>472.65</c:v>
                </c:pt>
                <c:pt idx="796">
                  <c:v>468.79</c:v>
                </c:pt>
                <c:pt idx="797">
                  <c:v>467.28</c:v>
                </c:pt>
                <c:pt idx="798">
                  <c:v>467.92</c:v>
                </c:pt>
                <c:pt idx="799">
                  <c:v>474.6</c:v>
                </c:pt>
                <c:pt idx="800">
                  <c:v>473.88</c:v>
                </c:pt>
                <c:pt idx="801">
                  <c:v>476.56</c:v>
                </c:pt>
                <c:pt idx="802">
                  <c:v>476.35</c:v>
                </c:pt>
                <c:pt idx="803">
                  <c:v>476.68</c:v>
                </c:pt>
                <c:pt idx="804">
                  <c:v>474.93</c:v>
                </c:pt>
                <c:pt idx="805">
                  <c:v>472.29</c:v>
                </c:pt>
                <c:pt idx="806">
                  <c:v>476.49</c:v>
                </c:pt>
                <c:pt idx="807">
                  <c:v>482.43</c:v>
                </c:pt>
                <c:pt idx="808">
                  <c:v>483.45</c:v>
                </c:pt>
                <c:pt idx="809">
                  <c:v>484.86</c:v>
                </c:pt>
                <c:pt idx="810">
                  <c:v>485.39</c:v>
                </c:pt>
                <c:pt idx="811">
                  <c:v>488.03</c:v>
                </c:pt>
                <c:pt idx="812">
                  <c:v>487.41</c:v>
                </c:pt>
                <c:pt idx="813">
                  <c:v>491.27</c:v>
                </c:pt>
                <c:pt idx="814">
                  <c:v>490.89</c:v>
                </c:pt>
                <c:pt idx="815">
                  <c:v>482.88</c:v>
                </c:pt>
                <c:pt idx="816">
                  <c:v>489.2</c:v>
                </c:pt>
                <c:pt idx="817">
                  <c:v>494.35</c:v>
                </c:pt>
                <c:pt idx="818">
                  <c:v>492.55</c:v>
                </c:pt>
                <c:pt idx="819">
                  <c:v>493.98</c:v>
                </c:pt>
                <c:pt idx="820">
                  <c:v>498.1</c:v>
                </c:pt>
                <c:pt idx="821">
                  <c:v>498.32</c:v>
                </c:pt>
                <c:pt idx="822">
                  <c:v>501.2</c:v>
                </c:pt>
                <c:pt idx="823">
                  <c:v>500.98</c:v>
                </c:pt>
                <c:pt idx="824">
                  <c:v>494.08</c:v>
                </c:pt>
                <c:pt idx="825">
                  <c:v>498.57</c:v>
                </c:pt>
                <c:pt idx="826">
                  <c:v>502.01</c:v>
                </c:pt>
                <c:pt idx="827">
                  <c:v>499.51</c:v>
                </c:pt>
                <c:pt idx="828">
                  <c:v>496.76</c:v>
                </c:pt>
                <c:pt idx="829">
                  <c:v>497.21</c:v>
                </c:pt>
                <c:pt idx="830">
                  <c:v>507.5</c:v>
                </c:pt>
                <c:pt idx="831">
                  <c:v>507.85</c:v>
                </c:pt>
                <c:pt idx="832">
                  <c:v>505.99</c:v>
                </c:pt>
                <c:pt idx="833">
                  <c:v>506.93</c:v>
                </c:pt>
                <c:pt idx="834">
                  <c:v>506.26</c:v>
                </c:pt>
                <c:pt idx="835">
                  <c:v>508.08</c:v>
                </c:pt>
                <c:pt idx="836">
                  <c:v>512.85</c:v>
                </c:pt>
                <c:pt idx="837">
                  <c:v>512.29999999999995</c:v>
                </c:pt>
                <c:pt idx="838">
                  <c:v>507.18</c:v>
                </c:pt>
                <c:pt idx="839">
                  <c:v>509.75</c:v>
                </c:pt>
                <c:pt idx="840">
                  <c:v>514.80999999999995</c:v>
                </c:pt>
                <c:pt idx="841">
                  <c:v>511.72</c:v>
                </c:pt>
                <c:pt idx="842">
                  <c:v>511.28</c:v>
                </c:pt>
                <c:pt idx="843">
                  <c:v>516.78</c:v>
                </c:pt>
                <c:pt idx="844">
                  <c:v>515.97</c:v>
                </c:pt>
                <c:pt idx="845">
                  <c:v>514.95000000000005</c:v>
                </c:pt>
                <c:pt idx="846">
                  <c:v>509.83</c:v>
                </c:pt>
                <c:pt idx="847">
                  <c:v>512.86</c:v>
                </c:pt>
                <c:pt idx="848">
                  <c:v>515.71</c:v>
                </c:pt>
                <c:pt idx="849">
                  <c:v>520.48</c:v>
                </c:pt>
                <c:pt idx="850">
                  <c:v>522.20000000000005</c:v>
                </c:pt>
                <c:pt idx="851">
                  <c:v>521.21</c:v>
                </c:pt>
                <c:pt idx="852">
                  <c:v>519.77</c:v>
                </c:pt>
                <c:pt idx="853">
                  <c:v>518.80999999999995</c:v>
                </c:pt>
                <c:pt idx="854">
                  <c:v>523.16999999999996</c:v>
                </c:pt>
                <c:pt idx="855">
                  <c:v>523.07000000000005</c:v>
                </c:pt>
                <c:pt idx="856">
                  <c:v>522.16</c:v>
                </c:pt>
                <c:pt idx="857">
                  <c:v>518.84</c:v>
                </c:pt>
                <c:pt idx="858">
                  <c:v>519.41</c:v>
                </c:pt>
                <c:pt idx="859">
                  <c:v>513.07000000000005</c:v>
                </c:pt>
                <c:pt idx="860">
                  <c:v>518.42999999999995</c:v>
                </c:pt>
                <c:pt idx="861">
                  <c:v>518.72</c:v>
                </c:pt>
                <c:pt idx="862">
                  <c:v>519.32000000000005</c:v>
                </c:pt>
                <c:pt idx="863">
                  <c:v>514.12</c:v>
                </c:pt>
                <c:pt idx="864">
                  <c:v>518</c:v>
                </c:pt>
                <c:pt idx="865">
                  <c:v>510.85</c:v>
                </c:pt>
                <c:pt idx="866">
                  <c:v>504.45</c:v>
                </c:pt>
                <c:pt idx="867">
                  <c:v>503.53</c:v>
                </c:pt>
                <c:pt idx="868">
                  <c:v>500.55</c:v>
                </c:pt>
                <c:pt idx="869">
                  <c:v>499.52</c:v>
                </c:pt>
                <c:pt idx="870">
                  <c:v>495.16</c:v>
                </c:pt>
                <c:pt idx="871">
                  <c:v>499.72</c:v>
                </c:pt>
                <c:pt idx="872">
                  <c:v>505.65</c:v>
                </c:pt>
                <c:pt idx="873">
                  <c:v>505.41</c:v>
                </c:pt>
                <c:pt idx="874">
                  <c:v>503.49</c:v>
                </c:pt>
                <c:pt idx="875">
                  <c:v>508.26</c:v>
                </c:pt>
                <c:pt idx="876">
                  <c:v>510.06</c:v>
                </c:pt>
                <c:pt idx="877">
                  <c:v>501.98</c:v>
                </c:pt>
                <c:pt idx="878">
                  <c:v>500.35</c:v>
                </c:pt>
                <c:pt idx="879">
                  <c:v>505.03</c:v>
                </c:pt>
                <c:pt idx="880">
                  <c:v>511.29</c:v>
                </c:pt>
                <c:pt idx="881">
                  <c:v>516.57000000000005</c:v>
                </c:pt>
                <c:pt idx="882">
                  <c:v>517.14</c:v>
                </c:pt>
                <c:pt idx="883">
                  <c:v>517.19000000000005</c:v>
                </c:pt>
                <c:pt idx="884">
                  <c:v>520.16999999999996</c:v>
                </c:pt>
                <c:pt idx="885">
                  <c:v>520.84</c:v>
                </c:pt>
                <c:pt idx="886">
                  <c:v>520.91</c:v>
                </c:pt>
                <c:pt idx="887">
                  <c:v>523.29999999999995</c:v>
                </c:pt>
                <c:pt idx="888">
                  <c:v>529.78</c:v>
                </c:pt>
                <c:pt idx="889">
                  <c:v>528.69000000000005</c:v>
                </c:pt>
                <c:pt idx="890">
                  <c:v>529.45000000000005</c:v>
                </c:pt>
                <c:pt idx="891">
                  <c:v>530.05999999999995</c:v>
                </c:pt>
                <c:pt idx="892">
                  <c:v>531.36</c:v>
                </c:pt>
                <c:pt idx="893">
                  <c:v>529.83000000000004</c:v>
                </c:pt>
                <c:pt idx="894">
                  <c:v>525.96</c:v>
                </c:pt>
                <c:pt idx="895">
                  <c:v>529.44000000000005</c:v>
                </c:pt>
                <c:pt idx="896">
                  <c:v>529.80999999999995</c:v>
                </c:pt>
                <c:pt idx="897">
                  <c:v>526.1</c:v>
                </c:pt>
                <c:pt idx="898">
                  <c:v>522.61</c:v>
                </c:pt>
                <c:pt idx="899">
                  <c:v>527.37</c:v>
                </c:pt>
                <c:pt idx="900">
                  <c:v>527.79999999999995</c:v>
                </c:pt>
                <c:pt idx="901">
                  <c:v>528.39</c:v>
                </c:pt>
                <c:pt idx="902">
                  <c:v>534.66999999999996</c:v>
                </c:pt>
                <c:pt idx="903">
                  <c:v>534.66</c:v>
                </c:pt>
                <c:pt idx="904">
                  <c:v>534.01</c:v>
                </c:pt>
                <c:pt idx="905">
                  <c:v>535.66</c:v>
                </c:pt>
                <c:pt idx="906">
                  <c:v>536.95000000000005</c:v>
                </c:pt>
                <c:pt idx="907">
                  <c:v>541.36</c:v>
                </c:pt>
                <c:pt idx="908">
                  <c:v>542.45000000000005</c:v>
                </c:pt>
                <c:pt idx="909">
                  <c:v>542.78</c:v>
                </c:pt>
                <c:pt idx="910">
                  <c:v>547.1</c:v>
                </c:pt>
                <c:pt idx="911">
                  <c:v>548.49</c:v>
                </c:pt>
                <c:pt idx="912">
                  <c:v>547</c:v>
                </c:pt>
                <c:pt idx="913">
                  <c:v>544.51</c:v>
                </c:pt>
                <c:pt idx="914">
                  <c:v>542.74</c:v>
                </c:pt>
                <c:pt idx="915">
                  <c:v>544.83000000000004</c:v>
                </c:pt>
                <c:pt idx="916">
                  <c:v>545.51</c:v>
                </c:pt>
                <c:pt idx="917">
                  <c:v>546.37</c:v>
                </c:pt>
                <c:pt idx="918">
                  <c:v>544.22</c:v>
                </c:pt>
                <c:pt idx="919">
                  <c:v>545.34</c:v>
                </c:pt>
                <c:pt idx="920">
                  <c:v>549.01</c:v>
                </c:pt>
                <c:pt idx="921">
                  <c:v>551.46</c:v>
                </c:pt>
                <c:pt idx="922">
                  <c:v>554.64</c:v>
                </c:pt>
                <c:pt idx="923">
                  <c:v>555.28</c:v>
                </c:pt>
                <c:pt idx="924">
                  <c:v>555.82000000000005</c:v>
                </c:pt>
                <c:pt idx="925">
                  <c:v>561.32000000000005</c:v>
                </c:pt>
                <c:pt idx="926">
                  <c:v>556.48</c:v>
                </c:pt>
                <c:pt idx="927">
                  <c:v>559.99</c:v>
                </c:pt>
                <c:pt idx="928">
                  <c:v>561.53</c:v>
                </c:pt>
                <c:pt idx="929">
                  <c:v>564.86</c:v>
                </c:pt>
                <c:pt idx="930">
                  <c:v>556.94000000000005</c:v>
                </c:pt>
                <c:pt idx="931">
                  <c:v>552.66</c:v>
                </c:pt>
                <c:pt idx="932">
                  <c:v>548.99</c:v>
                </c:pt>
                <c:pt idx="933">
                  <c:v>554.65</c:v>
                </c:pt>
                <c:pt idx="934">
                  <c:v>553.78</c:v>
                </c:pt>
                <c:pt idx="935">
                  <c:v>541.23</c:v>
                </c:pt>
                <c:pt idx="936">
                  <c:v>538.41</c:v>
                </c:pt>
                <c:pt idx="937">
                  <c:v>544.44000000000005</c:v>
                </c:pt>
                <c:pt idx="938">
                  <c:v>544.76</c:v>
                </c:pt>
                <c:pt idx="939">
                  <c:v>542</c:v>
                </c:pt>
                <c:pt idx="940">
                  <c:v>550.80999999999995</c:v>
                </c:pt>
                <c:pt idx="941">
                  <c:v>543.01</c:v>
                </c:pt>
                <c:pt idx="942">
                  <c:v>532.9</c:v>
                </c:pt>
                <c:pt idx="943">
                  <c:v>517.38</c:v>
                </c:pt>
                <c:pt idx="944">
                  <c:v>522.15</c:v>
                </c:pt>
                <c:pt idx="945">
                  <c:v>518.66</c:v>
                </c:pt>
                <c:pt idx="946">
                  <c:v>530.65</c:v>
                </c:pt>
                <c:pt idx="947">
                  <c:v>532.99</c:v>
                </c:pt>
                <c:pt idx="948">
                  <c:v>533.27</c:v>
                </c:pt>
                <c:pt idx="949">
                  <c:v>542.04</c:v>
                </c:pt>
                <c:pt idx="950">
                  <c:v>543.75</c:v>
                </c:pt>
                <c:pt idx="951">
                  <c:v>553.07000000000005</c:v>
                </c:pt>
                <c:pt idx="952">
                  <c:v>554.30999999999995</c:v>
                </c:pt>
                <c:pt idx="953">
                  <c:v>559.61</c:v>
                </c:pt>
                <c:pt idx="954">
                  <c:v>558.70000000000005</c:v>
                </c:pt>
                <c:pt idx="955">
                  <c:v>560.62</c:v>
                </c:pt>
                <c:pt idx="956">
                  <c:v>556.22</c:v>
                </c:pt>
                <c:pt idx="957">
                  <c:v>562.13</c:v>
                </c:pt>
                <c:pt idx="958">
                  <c:v>560.79</c:v>
                </c:pt>
                <c:pt idx="959">
                  <c:v>561.55999999999995</c:v>
                </c:pt>
                <c:pt idx="960">
                  <c:v>558.29999999999995</c:v>
                </c:pt>
                <c:pt idx="961">
                  <c:v>558.35</c:v>
                </c:pt>
                <c:pt idx="962">
                  <c:v>563.67999999999995</c:v>
                </c:pt>
                <c:pt idx="963">
                  <c:v>552.08000000000004</c:v>
                </c:pt>
                <c:pt idx="964">
                  <c:v>550.95000000000005</c:v>
                </c:pt>
                <c:pt idx="965">
                  <c:v>549.61</c:v>
                </c:pt>
                <c:pt idx="966">
                  <c:v>540.36</c:v>
                </c:pt>
                <c:pt idx="967">
                  <c:v>546.41</c:v>
                </c:pt>
                <c:pt idx="968">
                  <c:v>548.79</c:v>
                </c:pt>
                <c:pt idx="969">
                  <c:v>554.41999999999996</c:v>
                </c:pt>
                <c:pt idx="970">
                  <c:v>559.09</c:v>
                </c:pt>
                <c:pt idx="971">
                  <c:v>562.01</c:v>
                </c:pt>
                <c:pt idx="972">
                  <c:v>562.84</c:v>
                </c:pt>
                <c:pt idx="973">
                  <c:v>563.07000000000005</c:v>
                </c:pt>
                <c:pt idx="974">
                  <c:v>561.4</c:v>
                </c:pt>
                <c:pt idx="975">
                  <c:v>570.98</c:v>
                </c:pt>
                <c:pt idx="976">
                  <c:v>568.25</c:v>
                </c:pt>
                <c:pt idx="977">
                  <c:v>569.66999999999996</c:v>
                </c:pt>
                <c:pt idx="978">
                  <c:v>571.29999999999995</c:v>
                </c:pt>
                <c:pt idx="979">
                  <c:v>570.04</c:v>
                </c:pt>
                <c:pt idx="980">
                  <c:v>572.29999999999995</c:v>
                </c:pt>
                <c:pt idx="981">
                  <c:v>571.47</c:v>
                </c:pt>
                <c:pt idx="982">
                  <c:v>573.76</c:v>
                </c:pt>
                <c:pt idx="983">
                  <c:v>568.62</c:v>
                </c:pt>
                <c:pt idx="984">
                  <c:v>568.86</c:v>
                </c:pt>
                <c:pt idx="985">
                  <c:v>567.82000000000005</c:v>
                </c:pt>
                <c:pt idx="986">
                  <c:v>572.98</c:v>
                </c:pt>
                <c:pt idx="987">
                  <c:v>567.79999999999995</c:v>
                </c:pt>
                <c:pt idx="988">
                  <c:v>573.16999999999996</c:v>
                </c:pt>
                <c:pt idx="989">
                  <c:v>577.14</c:v>
                </c:pt>
                <c:pt idx="990">
                  <c:v>576.13</c:v>
                </c:pt>
                <c:pt idx="991">
                  <c:v>579.58000000000004</c:v>
                </c:pt>
                <c:pt idx="992">
                  <c:v>584.32000000000005</c:v>
                </c:pt>
                <c:pt idx="993">
                  <c:v>579.78</c:v>
                </c:pt>
                <c:pt idx="994">
                  <c:v>582.29999999999995</c:v>
                </c:pt>
                <c:pt idx="995">
                  <c:v>582.35</c:v>
                </c:pt>
                <c:pt idx="996">
                  <c:v>584.59</c:v>
                </c:pt>
                <c:pt idx="997">
                  <c:v>583.63</c:v>
                </c:pt>
                <c:pt idx="998">
                  <c:v>583.32000000000005</c:v>
                </c:pt>
                <c:pt idx="999">
                  <c:v>577.99</c:v>
                </c:pt>
                <c:pt idx="1000">
                  <c:v>579.24</c:v>
                </c:pt>
                <c:pt idx="1001">
                  <c:v>579.04</c:v>
                </c:pt>
                <c:pt idx="1002">
                  <c:v>580.83000000000004</c:v>
                </c:pt>
                <c:pt idx="1003">
                  <c:v>581.77</c:v>
                </c:pt>
                <c:pt idx="1004">
                  <c:v>580.01</c:v>
                </c:pt>
                <c:pt idx="1005">
                  <c:v>568.64</c:v>
                </c:pt>
                <c:pt idx="1006">
                  <c:v>571.04</c:v>
                </c:pt>
                <c:pt idx="1007">
                  <c:v>569.80999999999995</c:v>
                </c:pt>
                <c:pt idx="1008">
                  <c:v>576.70000000000005</c:v>
                </c:pt>
                <c:pt idx="1009">
                  <c:v>591.04</c:v>
                </c:pt>
                <c:pt idx="1010">
                  <c:v>595.61</c:v>
                </c:pt>
                <c:pt idx="1011">
                  <c:v>598.19000000000005</c:v>
                </c:pt>
                <c:pt idx="1012">
                  <c:v>598.76</c:v>
                </c:pt>
                <c:pt idx="1013">
                  <c:v>596.9</c:v>
                </c:pt>
                <c:pt idx="1014">
                  <c:v>597.19000000000005</c:v>
                </c:pt>
                <c:pt idx="1015">
                  <c:v>593.35</c:v>
                </c:pt>
                <c:pt idx="1016">
                  <c:v>585.75</c:v>
                </c:pt>
                <c:pt idx="1017">
                  <c:v>588.15</c:v>
                </c:pt>
                <c:pt idx="1018">
                  <c:v>590.29999999999995</c:v>
                </c:pt>
                <c:pt idx="1019">
                  <c:v>590.5</c:v>
                </c:pt>
                <c:pt idx="1020">
                  <c:v>593.66999999999996</c:v>
                </c:pt>
                <c:pt idx="1021">
                  <c:v>595.51</c:v>
                </c:pt>
                <c:pt idx="1022">
                  <c:v>597.53</c:v>
                </c:pt>
                <c:pt idx="1023">
                  <c:v>600.65</c:v>
                </c:pt>
                <c:pt idx="1024">
                  <c:v>598.83000000000004</c:v>
                </c:pt>
                <c:pt idx="1025">
                  <c:v>602.54999999999995</c:v>
                </c:pt>
                <c:pt idx="1026">
                  <c:v>603.63</c:v>
                </c:pt>
                <c:pt idx="1027">
                  <c:v>603.91</c:v>
                </c:pt>
                <c:pt idx="1028">
                  <c:v>607.66</c:v>
                </c:pt>
                <c:pt idx="1029">
                  <c:v>606.66</c:v>
                </c:pt>
                <c:pt idx="1030">
                  <c:v>607.80999999999995</c:v>
                </c:pt>
                <c:pt idx="1031">
                  <c:v>604.67999999999995</c:v>
                </c:pt>
                <c:pt idx="1032">
                  <c:v>602.79999999999995</c:v>
                </c:pt>
                <c:pt idx="1033">
                  <c:v>607.46</c:v>
                </c:pt>
                <c:pt idx="1034">
                  <c:v>604.33000000000004</c:v>
                </c:pt>
                <c:pt idx="1035">
                  <c:v>604.21</c:v>
                </c:pt>
                <c:pt idx="1036">
                  <c:v>606.79</c:v>
                </c:pt>
                <c:pt idx="1037">
                  <c:v>604.29</c:v>
                </c:pt>
                <c:pt idx="1038">
                  <c:v>586.28</c:v>
                </c:pt>
                <c:pt idx="1039">
                  <c:v>586.1</c:v>
                </c:pt>
                <c:pt idx="1040">
                  <c:v>591.15</c:v>
                </c:pt>
                <c:pt idx="1041">
                  <c:v>594.69000000000005</c:v>
                </c:pt>
                <c:pt idx="1042">
                  <c:v>601.29999999999995</c:v>
                </c:pt>
                <c:pt idx="1043">
                  <c:v>601.34</c:v>
                </c:pt>
                <c:pt idx="1044">
                  <c:v>595.01</c:v>
                </c:pt>
                <c:pt idx="1045">
                  <c:v>588.22</c:v>
                </c:pt>
                <c:pt idx="1046">
                  <c:v>586.08000000000004</c:v>
                </c:pt>
                <c:pt idx="1047">
                  <c:v>584.64</c:v>
                </c:pt>
                <c:pt idx="1048">
                  <c:v>591.95000000000005</c:v>
                </c:pt>
                <c:pt idx="1049">
                  <c:v>595.36</c:v>
                </c:pt>
                <c:pt idx="1050">
                  <c:v>588.63</c:v>
                </c:pt>
                <c:pt idx="1051">
                  <c:v>589.49</c:v>
                </c:pt>
                <c:pt idx="1052">
                  <c:v>580.49</c:v>
                </c:pt>
                <c:pt idx="1053">
                  <c:v>581.39</c:v>
                </c:pt>
                <c:pt idx="1054">
                  <c:v>582.19000000000005</c:v>
                </c:pt>
                <c:pt idx="1055">
                  <c:v>592.78</c:v>
                </c:pt>
                <c:pt idx="1056">
                  <c:v>591.64</c:v>
                </c:pt>
                <c:pt idx="1057">
                  <c:v>597.58000000000004</c:v>
                </c:pt>
                <c:pt idx="1058">
                  <c:v>603.04999999999995</c:v>
                </c:pt>
                <c:pt idx="1059">
                  <c:v>606.44000000000005</c:v>
                </c:pt>
                <c:pt idx="1060">
                  <c:v>609.75</c:v>
                </c:pt>
                <c:pt idx="1061">
                  <c:v>607.97</c:v>
                </c:pt>
                <c:pt idx="1062">
                  <c:v>599.37</c:v>
                </c:pt>
                <c:pt idx="1063">
                  <c:v>604.52</c:v>
                </c:pt>
                <c:pt idx="1064">
                  <c:v>601.80999999999995</c:v>
                </c:pt>
                <c:pt idx="1065">
                  <c:v>605.04</c:v>
                </c:pt>
                <c:pt idx="1066">
                  <c:v>601.82000000000005</c:v>
                </c:pt>
                <c:pt idx="1067">
                  <c:v>597.77</c:v>
                </c:pt>
                <c:pt idx="1068">
                  <c:v>601.78</c:v>
                </c:pt>
                <c:pt idx="1069">
                  <c:v>604.22</c:v>
                </c:pt>
                <c:pt idx="1070">
                  <c:v>606.32000000000005</c:v>
                </c:pt>
                <c:pt idx="1071">
                  <c:v>600.77</c:v>
                </c:pt>
                <c:pt idx="1072">
                  <c:v>604.85</c:v>
                </c:pt>
                <c:pt idx="1073">
                  <c:v>605.30999999999995</c:v>
                </c:pt>
                <c:pt idx="1074">
                  <c:v>603.36</c:v>
                </c:pt>
                <c:pt idx="1075">
                  <c:v>609.73</c:v>
                </c:pt>
                <c:pt idx="1076">
                  <c:v>609.70000000000005</c:v>
                </c:pt>
                <c:pt idx="1077">
                  <c:v>611.49</c:v>
                </c:pt>
                <c:pt idx="1078">
                  <c:v>612.92999999999995</c:v>
                </c:pt>
                <c:pt idx="1079">
                  <c:v>610.38</c:v>
                </c:pt>
                <c:pt idx="1080">
                  <c:v>599.94000000000005</c:v>
                </c:pt>
                <c:pt idx="1081">
                  <c:v>597.21</c:v>
                </c:pt>
                <c:pt idx="1082">
                  <c:v>594.24</c:v>
                </c:pt>
                <c:pt idx="1083">
                  <c:v>594.54</c:v>
                </c:pt>
                <c:pt idx="1084">
                  <c:v>585.04999999999995</c:v>
                </c:pt>
                <c:pt idx="1085">
                  <c:v>594.17999999999995</c:v>
                </c:pt>
                <c:pt idx="1086">
                  <c:v>583.77</c:v>
                </c:pt>
                <c:pt idx="1087">
                  <c:v>576.86</c:v>
                </c:pt>
                <c:pt idx="1088">
                  <c:v>583.05999999999995</c:v>
                </c:pt>
                <c:pt idx="1089">
                  <c:v>572.71</c:v>
                </c:pt>
                <c:pt idx="1090">
                  <c:v>575.91999999999996</c:v>
                </c:pt>
                <c:pt idx="1091">
                  <c:v>560.58000000000004</c:v>
                </c:pt>
                <c:pt idx="1092">
                  <c:v>555.91999999999996</c:v>
                </c:pt>
                <c:pt idx="1093">
                  <c:v>558.87</c:v>
                </c:pt>
                <c:pt idx="1094">
                  <c:v>551.41999999999996</c:v>
                </c:pt>
                <c:pt idx="1095">
                  <c:v>562.80999999999995</c:v>
                </c:pt>
                <c:pt idx="1096">
                  <c:v>567.15</c:v>
                </c:pt>
                <c:pt idx="1097">
                  <c:v>561.02</c:v>
                </c:pt>
                <c:pt idx="1098">
                  <c:v>567.13</c:v>
                </c:pt>
                <c:pt idx="1099">
                  <c:v>565.49</c:v>
                </c:pt>
                <c:pt idx="1100">
                  <c:v>563.98</c:v>
                </c:pt>
                <c:pt idx="1101">
                  <c:v>574.08000000000004</c:v>
                </c:pt>
                <c:pt idx="1102">
                  <c:v>575.46</c:v>
                </c:pt>
                <c:pt idx="1103">
                  <c:v>568.59</c:v>
                </c:pt>
                <c:pt idx="1104">
                  <c:v>567.08000000000004</c:v>
                </c:pt>
                <c:pt idx="1105">
                  <c:v>555.66</c:v>
                </c:pt>
                <c:pt idx="1106">
                  <c:v>559.39</c:v>
                </c:pt>
                <c:pt idx="1107">
                  <c:v>560.97</c:v>
                </c:pt>
                <c:pt idx="1108">
                  <c:v>564.52</c:v>
                </c:pt>
                <c:pt idx="1109">
                  <c:v>536.70000000000005</c:v>
                </c:pt>
                <c:pt idx="1110">
                  <c:v>505.28</c:v>
                </c:pt>
                <c:pt idx="1111">
                  <c:v>504.38</c:v>
                </c:pt>
                <c:pt idx="1112">
                  <c:v>496.48</c:v>
                </c:pt>
                <c:pt idx="1113">
                  <c:v>548.62</c:v>
                </c:pt>
                <c:pt idx="1114">
                  <c:v>524.58000000000004</c:v>
                </c:pt>
                <c:pt idx="1115">
                  <c:v>533.94000000000005</c:v>
                </c:pt>
                <c:pt idx="1116">
                  <c:v>539.12</c:v>
                </c:pt>
                <c:pt idx="1117">
                  <c:v>537.61</c:v>
                </c:pt>
                <c:pt idx="1118">
                  <c:v>525.66</c:v>
                </c:pt>
                <c:pt idx="1119">
                  <c:v>526.41</c:v>
                </c:pt>
                <c:pt idx="1120">
                  <c:v>513.88</c:v>
                </c:pt>
                <c:pt idx="1121">
                  <c:v>527.25</c:v>
                </c:pt>
                <c:pt idx="1122">
                  <c:v>535.41999999999996</c:v>
                </c:pt>
                <c:pt idx="1123">
                  <c:v>546.69000000000005</c:v>
                </c:pt>
                <c:pt idx="1124">
                  <c:v>550.64</c:v>
                </c:pt>
                <c:pt idx="1125">
                  <c:v>550.85</c:v>
                </c:pt>
                <c:pt idx="1126">
                  <c:v>554.32000000000005</c:v>
                </c:pt>
                <c:pt idx="1127">
                  <c:v>554.54</c:v>
                </c:pt>
                <c:pt idx="1128">
                  <c:v>558.47</c:v>
                </c:pt>
                <c:pt idx="1129">
                  <c:v>566.76</c:v>
                </c:pt>
                <c:pt idx="1130">
                  <c:v>563.51</c:v>
                </c:pt>
                <c:pt idx="1131">
                  <c:v>558.79999999999995</c:v>
                </c:pt>
                <c:pt idx="1132">
                  <c:v>561.15</c:v>
                </c:pt>
                <c:pt idx="1133">
                  <c:v>565.05999999999995</c:v>
                </c:pt>
                <c:pt idx="1134">
                  <c:v>564.34</c:v>
                </c:pt>
                <c:pt idx="1135">
                  <c:v>582.99</c:v>
                </c:pt>
                <c:pt idx="1136">
                  <c:v>586.84</c:v>
                </c:pt>
                <c:pt idx="1137">
                  <c:v>587.59</c:v>
                </c:pt>
                <c:pt idx="1138">
                  <c:v>590.46</c:v>
                </c:pt>
                <c:pt idx="1139">
                  <c:v>594.20000000000005</c:v>
                </c:pt>
                <c:pt idx="1140">
                  <c:v>594.85</c:v>
                </c:pt>
                <c:pt idx="1141">
                  <c:v>592.85</c:v>
                </c:pt>
                <c:pt idx="1142">
                  <c:v>582.86</c:v>
                </c:pt>
                <c:pt idx="1143">
                  <c:v>583.09</c:v>
                </c:pt>
                <c:pt idx="1144">
                  <c:v>579.11</c:v>
                </c:pt>
                <c:pt idx="1145">
                  <c:v>591.15</c:v>
                </c:pt>
                <c:pt idx="1146">
                  <c:v>587.73</c:v>
                </c:pt>
                <c:pt idx="1147">
                  <c:v>590.04999999999995</c:v>
                </c:pt>
                <c:pt idx="1148">
                  <c:v>589.39</c:v>
                </c:pt>
                <c:pt idx="1149">
                  <c:v>592.71</c:v>
                </c:pt>
                <c:pt idx="1150">
                  <c:v>596.09</c:v>
                </c:pt>
                <c:pt idx="1151">
                  <c:v>595.92999999999995</c:v>
                </c:pt>
                <c:pt idx="1152">
                  <c:v>593.04999999999995</c:v>
                </c:pt>
                <c:pt idx="1153">
                  <c:v>599.14</c:v>
                </c:pt>
                <c:pt idx="1154">
                  <c:v>599.67999999999995</c:v>
                </c:pt>
                <c:pt idx="1155">
                  <c:v>603.08000000000004</c:v>
                </c:pt>
                <c:pt idx="1156">
                  <c:v>601.36</c:v>
                </c:pt>
                <c:pt idx="1157">
                  <c:v>603.75</c:v>
                </c:pt>
                <c:pt idx="1158">
                  <c:v>597</c:v>
                </c:pt>
                <c:pt idx="1159">
                  <c:v>602.67999999999995</c:v>
                </c:pt>
                <c:pt idx="1160">
                  <c:v>597.53</c:v>
                </c:pt>
                <c:pt idx="1161">
                  <c:v>597.44000000000005</c:v>
                </c:pt>
                <c:pt idx="1162">
                  <c:v>594.28</c:v>
                </c:pt>
                <c:pt idx="1163">
                  <c:v>600.15</c:v>
                </c:pt>
                <c:pt idx="1164">
                  <c:v>606.78</c:v>
                </c:pt>
                <c:pt idx="1165">
                  <c:v>607.12</c:v>
                </c:pt>
                <c:pt idx="1166">
                  <c:v>611.87</c:v>
                </c:pt>
                <c:pt idx="1167">
                  <c:v>614.91</c:v>
                </c:pt>
                <c:pt idx="1168">
                  <c:v>617.85</c:v>
                </c:pt>
                <c:pt idx="1169">
                  <c:v>617.65</c:v>
                </c:pt>
                <c:pt idx="1170">
                  <c:v>620.45000000000005</c:v>
                </c:pt>
                <c:pt idx="1171">
                  <c:v>625.34</c:v>
                </c:pt>
                <c:pt idx="1172">
                  <c:v>620.67999999999995</c:v>
                </c:pt>
                <c:pt idx="1173">
                  <c:v>620.34</c:v>
                </c:pt>
                <c:pt idx="1174">
                  <c:v>624.05999999999995</c:v>
                </c:pt>
                <c:pt idx="1175">
                  <c:v>625.82000000000005</c:v>
                </c:pt>
                <c:pt idx="1176">
                  <c:v>623.62</c:v>
                </c:pt>
                <c:pt idx="1177">
                  <c:v>624.80999999999995</c:v>
                </c:pt>
                <c:pt idx="1178">
                  <c:v>622.14</c:v>
                </c:pt>
                <c:pt idx="1179">
                  <c:v>624.22</c:v>
                </c:pt>
                <c:pt idx="1180">
                  <c:v>628.04</c:v>
                </c:pt>
                <c:pt idx="1181">
                  <c:v>627.58000000000004</c:v>
                </c:pt>
                <c:pt idx="1182">
                  <c:v>628.77</c:v>
                </c:pt>
                <c:pt idx="1183">
                  <c:v>628.86</c:v>
                </c:pt>
                <c:pt idx="1184">
                  <c:v>634.21</c:v>
                </c:pt>
                <c:pt idx="1185">
                  <c:v>634.41999999999996</c:v>
                </c:pt>
                <c:pt idx="1186">
                  <c:v>637.1</c:v>
                </c:pt>
                <c:pt idx="1187">
                  <c:v>636.94000000000005</c:v>
                </c:pt>
                <c:pt idx="1188">
                  <c:v>635.26</c:v>
                </c:pt>
                <c:pt idx="1189">
                  <c:v>634.46</c:v>
                </c:pt>
                <c:pt idx="1190">
                  <c:v>632.08000000000004</c:v>
                </c:pt>
                <c:pt idx="1191">
                  <c:v>621.72</c:v>
                </c:pt>
                <c:pt idx="1192">
                  <c:v>631.16999999999996</c:v>
                </c:pt>
                <c:pt idx="1193">
                  <c:v>627.97</c:v>
                </c:pt>
                <c:pt idx="1194">
                  <c:v>632.78</c:v>
                </c:pt>
                <c:pt idx="1195">
                  <c:v>632.25</c:v>
                </c:pt>
                <c:pt idx="1196">
                  <c:v>637.17999999999995</c:v>
                </c:pt>
                <c:pt idx="1197">
                  <c:v>635.91999999999996</c:v>
                </c:pt>
                <c:pt idx="1198">
                  <c:v>642.69000000000005</c:v>
                </c:pt>
                <c:pt idx="1199">
                  <c:v>644.89</c:v>
                </c:pt>
                <c:pt idx="1200">
                  <c:v>644.95000000000005</c:v>
                </c:pt>
                <c:pt idx="1201">
                  <c:v>643.44000000000005</c:v>
                </c:pt>
                <c:pt idx="1202">
                  <c:v>643.29999999999995</c:v>
                </c:pt>
                <c:pt idx="1203">
                  <c:v>639.80999999999995</c:v>
                </c:pt>
                <c:pt idx="1204">
                  <c:v>638.11</c:v>
                </c:pt>
                <c:pt idx="1205">
                  <c:v>635.54999999999995</c:v>
                </c:pt>
                <c:pt idx="1206">
                  <c:v>645.30999999999995</c:v>
                </c:pt>
                <c:pt idx="1207">
                  <c:v>642.47</c:v>
                </c:pt>
                <c:pt idx="1208">
                  <c:v>645.16</c:v>
                </c:pt>
                <c:pt idx="1209">
                  <c:v>646.63</c:v>
                </c:pt>
                <c:pt idx="1210">
                  <c:v>648.91999999999996</c:v>
                </c:pt>
                <c:pt idx="1211">
                  <c:v>645.04999999999995</c:v>
                </c:pt>
                <c:pt idx="1212">
                  <c:v>640.27</c:v>
                </c:pt>
                <c:pt idx="1213">
                  <c:v>643.74</c:v>
                </c:pt>
                <c:pt idx="1214">
                  <c:v>649.12</c:v>
                </c:pt>
                <c:pt idx="1215">
                  <c:v>647.24</c:v>
                </c:pt>
                <c:pt idx="1216">
                  <c:v>648.83000000000004</c:v>
                </c:pt>
                <c:pt idx="1217">
                  <c:v>650.33000000000004</c:v>
                </c:pt>
                <c:pt idx="1218">
                  <c:v>652.21</c:v>
                </c:pt>
                <c:pt idx="1219">
                  <c:v>657.63</c:v>
                </c:pt>
                <c:pt idx="1220">
                  <c:v>657.41</c:v>
                </c:pt>
                <c:pt idx="1221">
                  <c:v>660.91</c:v>
                </c:pt>
                <c:pt idx="1222">
                  <c:v>660</c:v>
                </c:pt>
                <c:pt idx="1223">
                  <c:v>659.18</c:v>
                </c:pt>
                <c:pt idx="1224">
                  <c:v>662.26</c:v>
                </c:pt>
                <c:pt idx="1225">
                  <c:v>663.7</c:v>
                </c:pt>
                <c:pt idx="1226">
                  <c:v>666.84</c:v>
                </c:pt>
                <c:pt idx="1227">
                  <c:v>663.21</c:v>
                </c:pt>
                <c:pt idx="1228">
                  <c:v>661.1</c:v>
                </c:pt>
                <c:pt idx="1229">
                  <c:v>658.05</c:v>
                </c:pt>
                <c:pt idx="1230">
                  <c:v>661.82</c:v>
                </c:pt>
                <c:pt idx="1231">
                  <c:v>663.68</c:v>
                </c:pt>
                <c:pt idx="1232">
                  <c:v>666.18</c:v>
                </c:pt>
                <c:pt idx="1233">
                  <c:v>668.45</c:v>
                </c:pt>
                <c:pt idx="1234">
                  <c:v>669.22</c:v>
                </c:pt>
                <c:pt idx="1235">
                  <c:v>669.21</c:v>
                </c:pt>
                <c:pt idx="1236">
                  <c:v>671.61</c:v>
                </c:pt>
                <c:pt idx="1237">
                  <c:v>669.12</c:v>
                </c:pt>
                <c:pt idx="1238">
                  <c:v>673.11</c:v>
                </c:pt>
                <c:pt idx="1239">
                  <c:v>671.16</c:v>
                </c:pt>
                <c:pt idx="1240">
                  <c:v>653.02</c:v>
                </c:pt>
                <c:pt idx="1241">
                  <c:v>663.04</c:v>
                </c:pt>
                <c:pt idx="1242">
                  <c:v>662.23</c:v>
                </c:pt>
                <c:pt idx="1243">
                  <c:v>665.17</c:v>
                </c:pt>
                <c:pt idx="1244">
                  <c:v>660.64</c:v>
                </c:pt>
                <c:pt idx="1245">
                  <c:v>664.39</c:v>
                </c:pt>
                <c:pt idx="1246">
                  <c:v>671.3</c:v>
                </c:pt>
                <c:pt idx="1247">
                  <c:v>671.29</c:v>
                </c:pt>
                <c:pt idx="1248">
                  <c:v>667.8</c:v>
                </c:pt>
                <c:pt idx="1249">
                  <c:v>671.76</c:v>
                </c:pt>
                <c:pt idx="1250">
                  <c:v>677.25</c:v>
                </c:pt>
                <c:pt idx="1251">
                  <c:v>685.24</c:v>
                </c:pt>
                <c:pt idx="1252">
                  <c:v>687.06</c:v>
                </c:pt>
                <c:pt idx="1253">
                  <c:v>687.39</c:v>
                </c:pt>
                <c:pt idx="1254">
                  <c:v>679.83</c:v>
                </c:pt>
                <c:pt idx="1255">
                  <c:v>682.06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E-46AA-94F0-51279CA4A2AE}"/>
            </c:ext>
          </c:extLst>
        </c:ser>
        <c:ser>
          <c:idx val="1"/>
          <c:order val="1"/>
          <c:tx>
            <c:strRef>
              <c:f>SPY_close_price!$C$2</c:f>
              <c:strCache>
                <c:ptCount val="1"/>
                <c:pt idx="0">
                  <c:v>50-MA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SPY_close_price!$A$3:$A$1258</c:f>
              <c:numCache>
                <c:formatCode>m/d/yyyy</c:formatCode>
                <c:ptCount val="1256"/>
                <c:pt idx="0">
                  <c:v>44137</c:v>
                </c:pt>
                <c:pt idx="1">
                  <c:v>44138</c:v>
                </c:pt>
                <c:pt idx="2">
                  <c:v>44139</c:v>
                </c:pt>
                <c:pt idx="3">
                  <c:v>44140</c:v>
                </c:pt>
                <c:pt idx="4">
                  <c:v>44141</c:v>
                </c:pt>
                <c:pt idx="5">
                  <c:v>44144</c:v>
                </c:pt>
                <c:pt idx="6">
                  <c:v>44145</c:v>
                </c:pt>
                <c:pt idx="7">
                  <c:v>44146</c:v>
                </c:pt>
                <c:pt idx="8">
                  <c:v>44147</c:v>
                </c:pt>
                <c:pt idx="9">
                  <c:v>44148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44158</c:v>
                </c:pt>
                <c:pt idx="16">
                  <c:v>44159</c:v>
                </c:pt>
                <c:pt idx="17">
                  <c:v>44160</c:v>
                </c:pt>
                <c:pt idx="18">
                  <c:v>44162</c:v>
                </c:pt>
                <c:pt idx="19">
                  <c:v>44165</c:v>
                </c:pt>
                <c:pt idx="20">
                  <c:v>44166</c:v>
                </c:pt>
                <c:pt idx="21">
                  <c:v>44167</c:v>
                </c:pt>
                <c:pt idx="22">
                  <c:v>44168</c:v>
                </c:pt>
                <c:pt idx="23">
                  <c:v>44169</c:v>
                </c:pt>
                <c:pt idx="24">
                  <c:v>44172</c:v>
                </c:pt>
                <c:pt idx="25">
                  <c:v>44173</c:v>
                </c:pt>
                <c:pt idx="26">
                  <c:v>44174</c:v>
                </c:pt>
                <c:pt idx="27">
                  <c:v>44175</c:v>
                </c:pt>
                <c:pt idx="28">
                  <c:v>44176</c:v>
                </c:pt>
                <c:pt idx="29">
                  <c:v>44179</c:v>
                </c:pt>
                <c:pt idx="30">
                  <c:v>44180</c:v>
                </c:pt>
                <c:pt idx="31">
                  <c:v>44181</c:v>
                </c:pt>
                <c:pt idx="32">
                  <c:v>44182</c:v>
                </c:pt>
                <c:pt idx="33">
                  <c:v>44183</c:v>
                </c:pt>
                <c:pt idx="34">
                  <c:v>44186</c:v>
                </c:pt>
                <c:pt idx="35">
                  <c:v>44187</c:v>
                </c:pt>
                <c:pt idx="36">
                  <c:v>44188</c:v>
                </c:pt>
                <c:pt idx="37">
                  <c:v>44189</c:v>
                </c:pt>
                <c:pt idx="38">
                  <c:v>44193</c:v>
                </c:pt>
                <c:pt idx="39">
                  <c:v>44194</c:v>
                </c:pt>
                <c:pt idx="40">
                  <c:v>44195</c:v>
                </c:pt>
                <c:pt idx="41">
                  <c:v>44196</c:v>
                </c:pt>
                <c:pt idx="42">
                  <c:v>44200</c:v>
                </c:pt>
                <c:pt idx="43">
                  <c:v>44201</c:v>
                </c:pt>
                <c:pt idx="44">
                  <c:v>44202</c:v>
                </c:pt>
                <c:pt idx="45">
                  <c:v>44203</c:v>
                </c:pt>
                <c:pt idx="46">
                  <c:v>44204</c:v>
                </c:pt>
                <c:pt idx="47">
                  <c:v>44207</c:v>
                </c:pt>
                <c:pt idx="48">
                  <c:v>44208</c:v>
                </c:pt>
                <c:pt idx="49">
                  <c:v>44209</c:v>
                </c:pt>
                <c:pt idx="50">
                  <c:v>44210</c:v>
                </c:pt>
                <c:pt idx="51">
                  <c:v>44211</c:v>
                </c:pt>
                <c:pt idx="52">
                  <c:v>44215</c:v>
                </c:pt>
                <c:pt idx="53">
                  <c:v>44216</c:v>
                </c:pt>
                <c:pt idx="54">
                  <c:v>44217</c:v>
                </c:pt>
                <c:pt idx="55">
                  <c:v>44218</c:v>
                </c:pt>
                <c:pt idx="56">
                  <c:v>44221</c:v>
                </c:pt>
                <c:pt idx="57">
                  <c:v>44222</c:v>
                </c:pt>
                <c:pt idx="58">
                  <c:v>44223</c:v>
                </c:pt>
                <c:pt idx="59">
                  <c:v>44224</c:v>
                </c:pt>
                <c:pt idx="60">
                  <c:v>44225</c:v>
                </c:pt>
                <c:pt idx="61">
                  <c:v>44228</c:v>
                </c:pt>
                <c:pt idx="62">
                  <c:v>44229</c:v>
                </c:pt>
                <c:pt idx="63">
                  <c:v>44230</c:v>
                </c:pt>
                <c:pt idx="64">
                  <c:v>44231</c:v>
                </c:pt>
                <c:pt idx="65">
                  <c:v>44232</c:v>
                </c:pt>
                <c:pt idx="66">
                  <c:v>44235</c:v>
                </c:pt>
                <c:pt idx="67">
                  <c:v>44236</c:v>
                </c:pt>
                <c:pt idx="68">
                  <c:v>44237</c:v>
                </c:pt>
                <c:pt idx="69">
                  <c:v>44238</c:v>
                </c:pt>
                <c:pt idx="70">
                  <c:v>44239</c:v>
                </c:pt>
                <c:pt idx="71">
                  <c:v>44243</c:v>
                </c:pt>
                <c:pt idx="72">
                  <c:v>44244</c:v>
                </c:pt>
                <c:pt idx="73">
                  <c:v>44245</c:v>
                </c:pt>
                <c:pt idx="74">
                  <c:v>44246</c:v>
                </c:pt>
                <c:pt idx="75">
                  <c:v>44249</c:v>
                </c:pt>
                <c:pt idx="76">
                  <c:v>44250</c:v>
                </c:pt>
                <c:pt idx="77">
                  <c:v>44251</c:v>
                </c:pt>
                <c:pt idx="78">
                  <c:v>44252</c:v>
                </c:pt>
                <c:pt idx="79">
                  <c:v>44253</c:v>
                </c:pt>
                <c:pt idx="80">
                  <c:v>44256</c:v>
                </c:pt>
                <c:pt idx="81">
                  <c:v>44257</c:v>
                </c:pt>
                <c:pt idx="82">
                  <c:v>44258</c:v>
                </c:pt>
                <c:pt idx="83">
                  <c:v>44259</c:v>
                </c:pt>
                <c:pt idx="84">
                  <c:v>44260</c:v>
                </c:pt>
                <c:pt idx="85">
                  <c:v>44263</c:v>
                </c:pt>
                <c:pt idx="86">
                  <c:v>44264</c:v>
                </c:pt>
                <c:pt idx="87">
                  <c:v>44265</c:v>
                </c:pt>
                <c:pt idx="88">
                  <c:v>44266</c:v>
                </c:pt>
                <c:pt idx="89">
                  <c:v>44267</c:v>
                </c:pt>
                <c:pt idx="90">
                  <c:v>44270</c:v>
                </c:pt>
                <c:pt idx="91">
                  <c:v>44271</c:v>
                </c:pt>
                <c:pt idx="92">
                  <c:v>44272</c:v>
                </c:pt>
                <c:pt idx="93">
                  <c:v>44273</c:v>
                </c:pt>
                <c:pt idx="94">
                  <c:v>44274</c:v>
                </c:pt>
                <c:pt idx="95">
                  <c:v>44277</c:v>
                </c:pt>
                <c:pt idx="96">
                  <c:v>44278</c:v>
                </c:pt>
                <c:pt idx="97">
                  <c:v>44279</c:v>
                </c:pt>
                <c:pt idx="98">
                  <c:v>44280</c:v>
                </c:pt>
                <c:pt idx="99">
                  <c:v>44281</c:v>
                </c:pt>
                <c:pt idx="100">
                  <c:v>44284</c:v>
                </c:pt>
                <c:pt idx="101">
                  <c:v>44285</c:v>
                </c:pt>
                <c:pt idx="102">
                  <c:v>44286</c:v>
                </c:pt>
                <c:pt idx="103">
                  <c:v>44287</c:v>
                </c:pt>
                <c:pt idx="104">
                  <c:v>44291</c:v>
                </c:pt>
                <c:pt idx="105">
                  <c:v>44292</c:v>
                </c:pt>
                <c:pt idx="106">
                  <c:v>44293</c:v>
                </c:pt>
                <c:pt idx="107">
                  <c:v>44294</c:v>
                </c:pt>
                <c:pt idx="108">
                  <c:v>44295</c:v>
                </c:pt>
                <c:pt idx="109">
                  <c:v>44298</c:v>
                </c:pt>
                <c:pt idx="110">
                  <c:v>44299</c:v>
                </c:pt>
                <c:pt idx="111">
                  <c:v>44300</c:v>
                </c:pt>
                <c:pt idx="112">
                  <c:v>44301</c:v>
                </c:pt>
                <c:pt idx="113">
                  <c:v>44302</c:v>
                </c:pt>
                <c:pt idx="114">
                  <c:v>44305</c:v>
                </c:pt>
                <c:pt idx="115">
                  <c:v>44306</c:v>
                </c:pt>
                <c:pt idx="116">
                  <c:v>44307</c:v>
                </c:pt>
                <c:pt idx="117">
                  <c:v>44308</c:v>
                </c:pt>
                <c:pt idx="118">
                  <c:v>44309</c:v>
                </c:pt>
                <c:pt idx="119">
                  <c:v>44312</c:v>
                </c:pt>
                <c:pt idx="120">
                  <c:v>44313</c:v>
                </c:pt>
                <c:pt idx="121">
                  <c:v>44314</c:v>
                </c:pt>
                <c:pt idx="122">
                  <c:v>44315</c:v>
                </c:pt>
                <c:pt idx="123">
                  <c:v>44316</c:v>
                </c:pt>
                <c:pt idx="124">
                  <c:v>44319</c:v>
                </c:pt>
                <c:pt idx="125">
                  <c:v>44320</c:v>
                </c:pt>
                <c:pt idx="126">
                  <c:v>44321</c:v>
                </c:pt>
                <c:pt idx="127">
                  <c:v>44322</c:v>
                </c:pt>
                <c:pt idx="128">
                  <c:v>44323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44333</c:v>
                </c:pt>
                <c:pt idx="135">
                  <c:v>44334</c:v>
                </c:pt>
                <c:pt idx="136">
                  <c:v>44335</c:v>
                </c:pt>
                <c:pt idx="137">
                  <c:v>44336</c:v>
                </c:pt>
                <c:pt idx="138">
                  <c:v>44337</c:v>
                </c:pt>
                <c:pt idx="139">
                  <c:v>44340</c:v>
                </c:pt>
                <c:pt idx="140">
                  <c:v>44341</c:v>
                </c:pt>
                <c:pt idx="141">
                  <c:v>44342</c:v>
                </c:pt>
                <c:pt idx="142">
                  <c:v>44343</c:v>
                </c:pt>
                <c:pt idx="143">
                  <c:v>44344</c:v>
                </c:pt>
                <c:pt idx="144">
                  <c:v>44348</c:v>
                </c:pt>
                <c:pt idx="145">
                  <c:v>44349</c:v>
                </c:pt>
                <c:pt idx="146">
                  <c:v>44350</c:v>
                </c:pt>
                <c:pt idx="147">
                  <c:v>44351</c:v>
                </c:pt>
                <c:pt idx="148">
                  <c:v>44354</c:v>
                </c:pt>
                <c:pt idx="149">
                  <c:v>44355</c:v>
                </c:pt>
                <c:pt idx="150">
                  <c:v>44356</c:v>
                </c:pt>
                <c:pt idx="151">
                  <c:v>44357</c:v>
                </c:pt>
                <c:pt idx="152">
                  <c:v>44358</c:v>
                </c:pt>
                <c:pt idx="153">
                  <c:v>44361</c:v>
                </c:pt>
                <c:pt idx="154">
                  <c:v>44362</c:v>
                </c:pt>
                <c:pt idx="155">
                  <c:v>44363</c:v>
                </c:pt>
                <c:pt idx="156">
                  <c:v>44364</c:v>
                </c:pt>
                <c:pt idx="157">
                  <c:v>44365</c:v>
                </c:pt>
                <c:pt idx="158">
                  <c:v>44368</c:v>
                </c:pt>
                <c:pt idx="159">
                  <c:v>44369</c:v>
                </c:pt>
                <c:pt idx="160">
                  <c:v>44370</c:v>
                </c:pt>
                <c:pt idx="161">
                  <c:v>44371</c:v>
                </c:pt>
                <c:pt idx="162">
                  <c:v>44372</c:v>
                </c:pt>
                <c:pt idx="163">
                  <c:v>44375</c:v>
                </c:pt>
                <c:pt idx="164">
                  <c:v>44376</c:v>
                </c:pt>
                <c:pt idx="165">
                  <c:v>44377</c:v>
                </c:pt>
                <c:pt idx="166">
                  <c:v>44378</c:v>
                </c:pt>
                <c:pt idx="167">
                  <c:v>44379</c:v>
                </c:pt>
                <c:pt idx="168">
                  <c:v>44383</c:v>
                </c:pt>
                <c:pt idx="169">
                  <c:v>44384</c:v>
                </c:pt>
                <c:pt idx="170">
                  <c:v>44385</c:v>
                </c:pt>
                <c:pt idx="171">
                  <c:v>44386</c:v>
                </c:pt>
                <c:pt idx="172">
                  <c:v>44389</c:v>
                </c:pt>
                <c:pt idx="173">
                  <c:v>44390</c:v>
                </c:pt>
                <c:pt idx="174">
                  <c:v>44391</c:v>
                </c:pt>
                <c:pt idx="175">
                  <c:v>44392</c:v>
                </c:pt>
                <c:pt idx="176">
                  <c:v>44393</c:v>
                </c:pt>
                <c:pt idx="177">
                  <c:v>44396</c:v>
                </c:pt>
                <c:pt idx="178">
                  <c:v>44397</c:v>
                </c:pt>
                <c:pt idx="179">
                  <c:v>44398</c:v>
                </c:pt>
                <c:pt idx="180">
                  <c:v>44399</c:v>
                </c:pt>
                <c:pt idx="181">
                  <c:v>44400</c:v>
                </c:pt>
                <c:pt idx="182">
                  <c:v>44403</c:v>
                </c:pt>
                <c:pt idx="183">
                  <c:v>44404</c:v>
                </c:pt>
                <c:pt idx="184">
                  <c:v>44405</c:v>
                </c:pt>
                <c:pt idx="185">
                  <c:v>44406</c:v>
                </c:pt>
                <c:pt idx="186">
                  <c:v>44407</c:v>
                </c:pt>
                <c:pt idx="187">
                  <c:v>44410</c:v>
                </c:pt>
                <c:pt idx="188">
                  <c:v>44411</c:v>
                </c:pt>
                <c:pt idx="189">
                  <c:v>44412</c:v>
                </c:pt>
                <c:pt idx="190">
                  <c:v>44413</c:v>
                </c:pt>
                <c:pt idx="191">
                  <c:v>44414</c:v>
                </c:pt>
                <c:pt idx="192">
                  <c:v>44417</c:v>
                </c:pt>
                <c:pt idx="193">
                  <c:v>44418</c:v>
                </c:pt>
                <c:pt idx="194">
                  <c:v>44419</c:v>
                </c:pt>
                <c:pt idx="195">
                  <c:v>44420</c:v>
                </c:pt>
                <c:pt idx="196">
                  <c:v>44421</c:v>
                </c:pt>
                <c:pt idx="197">
                  <c:v>44424</c:v>
                </c:pt>
                <c:pt idx="198">
                  <c:v>44425</c:v>
                </c:pt>
                <c:pt idx="199">
                  <c:v>44426</c:v>
                </c:pt>
                <c:pt idx="200">
                  <c:v>44427</c:v>
                </c:pt>
                <c:pt idx="201">
                  <c:v>44428</c:v>
                </c:pt>
                <c:pt idx="202">
                  <c:v>44431</c:v>
                </c:pt>
                <c:pt idx="203">
                  <c:v>44432</c:v>
                </c:pt>
                <c:pt idx="204">
                  <c:v>44433</c:v>
                </c:pt>
                <c:pt idx="205">
                  <c:v>44434</c:v>
                </c:pt>
                <c:pt idx="206">
                  <c:v>44435</c:v>
                </c:pt>
                <c:pt idx="207">
                  <c:v>44438</c:v>
                </c:pt>
                <c:pt idx="208">
                  <c:v>44439</c:v>
                </c:pt>
                <c:pt idx="209">
                  <c:v>44440</c:v>
                </c:pt>
                <c:pt idx="210">
                  <c:v>44441</c:v>
                </c:pt>
                <c:pt idx="211">
                  <c:v>44442</c:v>
                </c:pt>
                <c:pt idx="212">
                  <c:v>44446</c:v>
                </c:pt>
                <c:pt idx="213">
                  <c:v>44447</c:v>
                </c:pt>
                <c:pt idx="214">
                  <c:v>44448</c:v>
                </c:pt>
                <c:pt idx="215">
                  <c:v>44449</c:v>
                </c:pt>
                <c:pt idx="216">
                  <c:v>44452</c:v>
                </c:pt>
                <c:pt idx="217">
                  <c:v>44453</c:v>
                </c:pt>
                <c:pt idx="218">
                  <c:v>44454</c:v>
                </c:pt>
                <c:pt idx="219">
                  <c:v>44455</c:v>
                </c:pt>
                <c:pt idx="220">
                  <c:v>44456</c:v>
                </c:pt>
                <c:pt idx="221">
                  <c:v>44459</c:v>
                </c:pt>
                <c:pt idx="222">
                  <c:v>44460</c:v>
                </c:pt>
                <c:pt idx="223">
                  <c:v>44461</c:v>
                </c:pt>
                <c:pt idx="224">
                  <c:v>44462</c:v>
                </c:pt>
                <c:pt idx="225">
                  <c:v>44463</c:v>
                </c:pt>
                <c:pt idx="226">
                  <c:v>44466</c:v>
                </c:pt>
                <c:pt idx="227">
                  <c:v>44467</c:v>
                </c:pt>
                <c:pt idx="228">
                  <c:v>44468</c:v>
                </c:pt>
                <c:pt idx="229">
                  <c:v>44469</c:v>
                </c:pt>
                <c:pt idx="230">
                  <c:v>44470</c:v>
                </c:pt>
                <c:pt idx="231">
                  <c:v>44473</c:v>
                </c:pt>
                <c:pt idx="232">
                  <c:v>44474</c:v>
                </c:pt>
                <c:pt idx="233">
                  <c:v>44475</c:v>
                </c:pt>
                <c:pt idx="234">
                  <c:v>44476</c:v>
                </c:pt>
                <c:pt idx="235">
                  <c:v>44477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44487</c:v>
                </c:pt>
                <c:pt idx="242">
                  <c:v>44488</c:v>
                </c:pt>
                <c:pt idx="243">
                  <c:v>44489</c:v>
                </c:pt>
                <c:pt idx="244">
                  <c:v>44490</c:v>
                </c:pt>
                <c:pt idx="245">
                  <c:v>44491</c:v>
                </c:pt>
                <c:pt idx="246">
                  <c:v>44494</c:v>
                </c:pt>
                <c:pt idx="247">
                  <c:v>44495</c:v>
                </c:pt>
                <c:pt idx="248">
                  <c:v>44496</c:v>
                </c:pt>
                <c:pt idx="249">
                  <c:v>44497</c:v>
                </c:pt>
                <c:pt idx="250">
                  <c:v>44498</c:v>
                </c:pt>
                <c:pt idx="251">
                  <c:v>44501</c:v>
                </c:pt>
                <c:pt idx="252">
                  <c:v>44502</c:v>
                </c:pt>
                <c:pt idx="253">
                  <c:v>44503</c:v>
                </c:pt>
                <c:pt idx="254">
                  <c:v>44504</c:v>
                </c:pt>
                <c:pt idx="255">
                  <c:v>44505</c:v>
                </c:pt>
                <c:pt idx="256">
                  <c:v>44508</c:v>
                </c:pt>
                <c:pt idx="257">
                  <c:v>44509</c:v>
                </c:pt>
                <c:pt idx="258">
                  <c:v>44510</c:v>
                </c:pt>
                <c:pt idx="259">
                  <c:v>44511</c:v>
                </c:pt>
                <c:pt idx="260">
                  <c:v>44512</c:v>
                </c:pt>
                <c:pt idx="261">
                  <c:v>44515</c:v>
                </c:pt>
                <c:pt idx="262">
                  <c:v>44516</c:v>
                </c:pt>
                <c:pt idx="263">
                  <c:v>44517</c:v>
                </c:pt>
                <c:pt idx="264">
                  <c:v>44518</c:v>
                </c:pt>
                <c:pt idx="265">
                  <c:v>44519</c:v>
                </c:pt>
                <c:pt idx="266">
                  <c:v>44522</c:v>
                </c:pt>
                <c:pt idx="267">
                  <c:v>44523</c:v>
                </c:pt>
                <c:pt idx="268">
                  <c:v>44524</c:v>
                </c:pt>
                <c:pt idx="269">
                  <c:v>44526</c:v>
                </c:pt>
                <c:pt idx="270">
                  <c:v>44529</c:v>
                </c:pt>
                <c:pt idx="271">
                  <c:v>44530</c:v>
                </c:pt>
                <c:pt idx="272">
                  <c:v>44531</c:v>
                </c:pt>
                <c:pt idx="273">
                  <c:v>44532</c:v>
                </c:pt>
                <c:pt idx="274">
                  <c:v>44533</c:v>
                </c:pt>
                <c:pt idx="275">
                  <c:v>44536</c:v>
                </c:pt>
                <c:pt idx="276">
                  <c:v>44537</c:v>
                </c:pt>
                <c:pt idx="277">
                  <c:v>44538</c:v>
                </c:pt>
                <c:pt idx="278">
                  <c:v>44539</c:v>
                </c:pt>
                <c:pt idx="279">
                  <c:v>44540</c:v>
                </c:pt>
                <c:pt idx="280">
                  <c:v>44543</c:v>
                </c:pt>
                <c:pt idx="281">
                  <c:v>44544</c:v>
                </c:pt>
                <c:pt idx="282">
                  <c:v>44545</c:v>
                </c:pt>
                <c:pt idx="283">
                  <c:v>44546</c:v>
                </c:pt>
                <c:pt idx="284">
                  <c:v>44547</c:v>
                </c:pt>
                <c:pt idx="285">
                  <c:v>44550</c:v>
                </c:pt>
                <c:pt idx="286">
                  <c:v>44551</c:v>
                </c:pt>
                <c:pt idx="287">
                  <c:v>44552</c:v>
                </c:pt>
                <c:pt idx="288">
                  <c:v>44553</c:v>
                </c:pt>
                <c:pt idx="289">
                  <c:v>44557</c:v>
                </c:pt>
                <c:pt idx="290">
                  <c:v>44558</c:v>
                </c:pt>
                <c:pt idx="291">
                  <c:v>44559</c:v>
                </c:pt>
                <c:pt idx="292">
                  <c:v>44560</c:v>
                </c:pt>
                <c:pt idx="293">
                  <c:v>44561</c:v>
                </c:pt>
                <c:pt idx="294">
                  <c:v>44564</c:v>
                </c:pt>
                <c:pt idx="295">
                  <c:v>44565</c:v>
                </c:pt>
                <c:pt idx="296">
                  <c:v>44566</c:v>
                </c:pt>
                <c:pt idx="297">
                  <c:v>44567</c:v>
                </c:pt>
                <c:pt idx="298">
                  <c:v>44568</c:v>
                </c:pt>
                <c:pt idx="299">
                  <c:v>44571</c:v>
                </c:pt>
                <c:pt idx="300">
                  <c:v>44572</c:v>
                </c:pt>
                <c:pt idx="301">
                  <c:v>44573</c:v>
                </c:pt>
                <c:pt idx="302">
                  <c:v>44574</c:v>
                </c:pt>
                <c:pt idx="303">
                  <c:v>44575</c:v>
                </c:pt>
                <c:pt idx="304">
                  <c:v>44579</c:v>
                </c:pt>
                <c:pt idx="305">
                  <c:v>44580</c:v>
                </c:pt>
                <c:pt idx="306">
                  <c:v>44581</c:v>
                </c:pt>
                <c:pt idx="307">
                  <c:v>44582</c:v>
                </c:pt>
                <c:pt idx="308">
                  <c:v>44585</c:v>
                </c:pt>
                <c:pt idx="309">
                  <c:v>44586</c:v>
                </c:pt>
                <c:pt idx="310">
                  <c:v>44587</c:v>
                </c:pt>
                <c:pt idx="311">
                  <c:v>44588</c:v>
                </c:pt>
                <c:pt idx="312">
                  <c:v>44589</c:v>
                </c:pt>
                <c:pt idx="313">
                  <c:v>44592</c:v>
                </c:pt>
                <c:pt idx="314">
                  <c:v>44593</c:v>
                </c:pt>
                <c:pt idx="315">
                  <c:v>44594</c:v>
                </c:pt>
                <c:pt idx="316">
                  <c:v>44595</c:v>
                </c:pt>
                <c:pt idx="317">
                  <c:v>44596</c:v>
                </c:pt>
                <c:pt idx="318">
                  <c:v>44599</c:v>
                </c:pt>
                <c:pt idx="319">
                  <c:v>44600</c:v>
                </c:pt>
                <c:pt idx="320">
                  <c:v>44601</c:v>
                </c:pt>
                <c:pt idx="321">
                  <c:v>44602</c:v>
                </c:pt>
                <c:pt idx="322">
                  <c:v>44603</c:v>
                </c:pt>
                <c:pt idx="323">
                  <c:v>44606</c:v>
                </c:pt>
                <c:pt idx="324">
                  <c:v>44607</c:v>
                </c:pt>
                <c:pt idx="325">
                  <c:v>44608</c:v>
                </c:pt>
                <c:pt idx="326">
                  <c:v>44609</c:v>
                </c:pt>
                <c:pt idx="327">
                  <c:v>44610</c:v>
                </c:pt>
                <c:pt idx="328">
                  <c:v>44614</c:v>
                </c:pt>
                <c:pt idx="329">
                  <c:v>44615</c:v>
                </c:pt>
                <c:pt idx="330">
                  <c:v>44616</c:v>
                </c:pt>
                <c:pt idx="331">
                  <c:v>44617</c:v>
                </c:pt>
                <c:pt idx="332">
                  <c:v>44620</c:v>
                </c:pt>
                <c:pt idx="333">
                  <c:v>44621</c:v>
                </c:pt>
                <c:pt idx="334">
                  <c:v>44622</c:v>
                </c:pt>
                <c:pt idx="335">
                  <c:v>44623</c:v>
                </c:pt>
                <c:pt idx="336">
                  <c:v>44624</c:v>
                </c:pt>
                <c:pt idx="337">
                  <c:v>44627</c:v>
                </c:pt>
                <c:pt idx="338">
                  <c:v>44628</c:v>
                </c:pt>
                <c:pt idx="339">
                  <c:v>44629</c:v>
                </c:pt>
                <c:pt idx="340">
                  <c:v>44630</c:v>
                </c:pt>
                <c:pt idx="341">
                  <c:v>44631</c:v>
                </c:pt>
                <c:pt idx="342">
                  <c:v>44634</c:v>
                </c:pt>
                <c:pt idx="343">
                  <c:v>44635</c:v>
                </c:pt>
                <c:pt idx="344">
                  <c:v>44636</c:v>
                </c:pt>
                <c:pt idx="345">
                  <c:v>44637</c:v>
                </c:pt>
                <c:pt idx="346">
                  <c:v>44638</c:v>
                </c:pt>
                <c:pt idx="347">
                  <c:v>44641</c:v>
                </c:pt>
                <c:pt idx="348">
                  <c:v>44642</c:v>
                </c:pt>
                <c:pt idx="349">
                  <c:v>44643</c:v>
                </c:pt>
                <c:pt idx="350">
                  <c:v>44644</c:v>
                </c:pt>
                <c:pt idx="351">
                  <c:v>44645</c:v>
                </c:pt>
                <c:pt idx="352">
                  <c:v>44648</c:v>
                </c:pt>
                <c:pt idx="353">
                  <c:v>44649</c:v>
                </c:pt>
                <c:pt idx="354">
                  <c:v>44650</c:v>
                </c:pt>
                <c:pt idx="355">
                  <c:v>44651</c:v>
                </c:pt>
                <c:pt idx="356">
                  <c:v>44652</c:v>
                </c:pt>
                <c:pt idx="357">
                  <c:v>44655</c:v>
                </c:pt>
                <c:pt idx="358">
                  <c:v>44656</c:v>
                </c:pt>
                <c:pt idx="359">
                  <c:v>44657</c:v>
                </c:pt>
                <c:pt idx="360">
                  <c:v>44658</c:v>
                </c:pt>
                <c:pt idx="361">
                  <c:v>44659</c:v>
                </c:pt>
                <c:pt idx="362">
                  <c:v>44662</c:v>
                </c:pt>
                <c:pt idx="363">
                  <c:v>44663</c:v>
                </c:pt>
                <c:pt idx="364">
                  <c:v>44664</c:v>
                </c:pt>
                <c:pt idx="365">
                  <c:v>44665</c:v>
                </c:pt>
                <c:pt idx="366">
                  <c:v>44669</c:v>
                </c:pt>
                <c:pt idx="367">
                  <c:v>44670</c:v>
                </c:pt>
                <c:pt idx="368">
                  <c:v>44671</c:v>
                </c:pt>
                <c:pt idx="369">
                  <c:v>44672</c:v>
                </c:pt>
                <c:pt idx="370">
                  <c:v>44673</c:v>
                </c:pt>
                <c:pt idx="371">
                  <c:v>44676</c:v>
                </c:pt>
                <c:pt idx="372">
                  <c:v>44677</c:v>
                </c:pt>
                <c:pt idx="373">
                  <c:v>44678</c:v>
                </c:pt>
                <c:pt idx="374">
                  <c:v>44679</c:v>
                </c:pt>
                <c:pt idx="375">
                  <c:v>44680</c:v>
                </c:pt>
                <c:pt idx="376">
                  <c:v>44683</c:v>
                </c:pt>
                <c:pt idx="377">
                  <c:v>44684</c:v>
                </c:pt>
                <c:pt idx="378">
                  <c:v>44685</c:v>
                </c:pt>
                <c:pt idx="379">
                  <c:v>44686</c:v>
                </c:pt>
                <c:pt idx="380">
                  <c:v>44687</c:v>
                </c:pt>
                <c:pt idx="381">
                  <c:v>44690</c:v>
                </c:pt>
                <c:pt idx="382">
                  <c:v>44691</c:v>
                </c:pt>
                <c:pt idx="383">
                  <c:v>44692</c:v>
                </c:pt>
                <c:pt idx="384">
                  <c:v>44693</c:v>
                </c:pt>
                <c:pt idx="385">
                  <c:v>44694</c:v>
                </c:pt>
                <c:pt idx="386">
                  <c:v>44697</c:v>
                </c:pt>
                <c:pt idx="387">
                  <c:v>44698</c:v>
                </c:pt>
                <c:pt idx="388">
                  <c:v>44699</c:v>
                </c:pt>
                <c:pt idx="389">
                  <c:v>44700</c:v>
                </c:pt>
                <c:pt idx="390">
                  <c:v>44701</c:v>
                </c:pt>
                <c:pt idx="391">
                  <c:v>44704</c:v>
                </c:pt>
                <c:pt idx="392">
                  <c:v>44705</c:v>
                </c:pt>
                <c:pt idx="393">
                  <c:v>44706</c:v>
                </c:pt>
                <c:pt idx="394">
                  <c:v>44707</c:v>
                </c:pt>
                <c:pt idx="395">
                  <c:v>44708</c:v>
                </c:pt>
                <c:pt idx="396">
                  <c:v>44712</c:v>
                </c:pt>
                <c:pt idx="397">
                  <c:v>44713</c:v>
                </c:pt>
                <c:pt idx="398">
                  <c:v>44714</c:v>
                </c:pt>
                <c:pt idx="399">
                  <c:v>44715</c:v>
                </c:pt>
                <c:pt idx="400">
                  <c:v>44718</c:v>
                </c:pt>
                <c:pt idx="401">
                  <c:v>44719</c:v>
                </c:pt>
                <c:pt idx="402">
                  <c:v>44720</c:v>
                </c:pt>
                <c:pt idx="403">
                  <c:v>44721</c:v>
                </c:pt>
                <c:pt idx="404">
                  <c:v>44722</c:v>
                </c:pt>
                <c:pt idx="405">
                  <c:v>44725</c:v>
                </c:pt>
                <c:pt idx="406">
                  <c:v>44726</c:v>
                </c:pt>
                <c:pt idx="407">
                  <c:v>44727</c:v>
                </c:pt>
                <c:pt idx="408">
                  <c:v>44728</c:v>
                </c:pt>
                <c:pt idx="409">
                  <c:v>44729</c:v>
                </c:pt>
                <c:pt idx="410">
                  <c:v>44733</c:v>
                </c:pt>
                <c:pt idx="411">
                  <c:v>44734</c:v>
                </c:pt>
                <c:pt idx="412">
                  <c:v>44735</c:v>
                </c:pt>
                <c:pt idx="413">
                  <c:v>44736</c:v>
                </c:pt>
                <c:pt idx="414">
                  <c:v>44739</c:v>
                </c:pt>
                <c:pt idx="415">
                  <c:v>44740</c:v>
                </c:pt>
                <c:pt idx="416">
                  <c:v>44741</c:v>
                </c:pt>
                <c:pt idx="417">
                  <c:v>44742</c:v>
                </c:pt>
                <c:pt idx="418">
                  <c:v>44743</c:v>
                </c:pt>
                <c:pt idx="419">
                  <c:v>44747</c:v>
                </c:pt>
                <c:pt idx="420">
                  <c:v>44748</c:v>
                </c:pt>
                <c:pt idx="421">
                  <c:v>44749</c:v>
                </c:pt>
                <c:pt idx="422">
                  <c:v>44750</c:v>
                </c:pt>
                <c:pt idx="423">
                  <c:v>44753</c:v>
                </c:pt>
                <c:pt idx="424">
                  <c:v>44754</c:v>
                </c:pt>
                <c:pt idx="425">
                  <c:v>44755</c:v>
                </c:pt>
                <c:pt idx="426">
                  <c:v>44756</c:v>
                </c:pt>
                <c:pt idx="427">
                  <c:v>44757</c:v>
                </c:pt>
                <c:pt idx="428">
                  <c:v>44760</c:v>
                </c:pt>
                <c:pt idx="429">
                  <c:v>44761</c:v>
                </c:pt>
                <c:pt idx="430">
                  <c:v>44762</c:v>
                </c:pt>
                <c:pt idx="431">
                  <c:v>44763</c:v>
                </c:pt>
                <c:pt idx="432">
                  <c:v>44764</c:v>
                </c:pt>
                <c:pt idx="433">
                  <c:v>44767</c:v>
                </c:pt>
                <c:pt idx="434">
                  <c:v>44768</c:v>
                </c:pt>
                <c:pt idx="435">
                  <c:v>44769</c:v>
                </c:pt>
                <c:pt idx="436">
                  <c:v>44770</c:v>
                </c:pt>
                <c:pt idx="437">
                  <c:v>44771</c:v>
                </c:pt>
                <c:pt idx="438">
                  <c:v>44774</c:v>
                </c:pt>
                <c:pt idx="439">
                  <c:v>44775</c:v>
                </c:pt>
                <c:pt idx="440">
                  <c:v>44776</c:v>
                </c:pt>
                <c:pt idx="441">
                  <c:v>44777</c:v>
                </c:pt>
                <c:pt idx="442">
                  <c:v>44778</c:v>
                </c:pt>
                <c:pt idx="443">
                  <c:v>44781</c:v>
                </c:pt>
                <c:pt idx="444">
                  <c:v>44782</c:v>
                </c:pt>
                <c:pt idx="445">
                  <c:v>44783</c:v>
                </c:pt>
                <c:pt idx="446">
                  <c:v>44784</c:v>
                </c:pt>
                <c:pt idx="447">
                  <c:v>44785</c:v>
                </c:pt>
                <c:pt idx="448">
                  <c:v>44788</c:v>
                </c:pt>
                <c:pt idx="449">
                  <c:v>44789</c:v>
                </c:pt>
                <c:pt idx="450">
                  <c:v>44790</c:v>
                </c:pt>
                <c:pt idx="451">
                  <c:v>44791</c:v>
                </c:pt>
                <c:pt idx="452">
                  <c:v>44792</c:v>
                </c:pt>
                <c:pt idx="453">
                  <c:v>44795</c:v>
                </c:pt>
                <c:pt idx="454">
                  <c:v>44796</c:v>
                </c:pt>
                <c:pt idx="455">
                  <c:v>44797</c:v>
                </c:pt>
                <c:pt idx="456">
                  <c:v>44798</c:v>
                </c:pt>
                <c:pt idx="457">
                  <c:v>44799</c:v>
                </c:pt>
                <c:pt idx="458">
                  <c:v>44802</c:v>
                </c:pt>
                <c:pt idx="459">
                  <c:v>44803</c:v>
                </c:pt>
                <c:pt idx="460">
                  <c:v>44804</c:v>
                </c:pt>
                <c:pt idx="461">
                  <c:v>44805</c:v>
                </c:pt>
                <c:pt idx="462">
                  <c:v>44806</c:v>
                </c:pt>
                <c:pt idx="463">
                  <c:v>44810</c:v>
                </c:pt>
                <c:pt idx="464">
                  <c:v>44811</c:v>
                </c:pt>
                <c:pt idx="465">
                  <c:v>44812</c:v>
                </c:pt>
                <c:pt idx="466">
                  <c:v>44813</c:v>
                </c:pt>
                <c:pt idx="467">
                  <c:v>44816</c:v>
                </c:pt>
                <c:pt idx="468">
                  <c:v>44817</c:v>
                </c:pt>
                <c:pt idx="469">
                  <c:v>44818</c:v>
                </c:pt>
                <c:pt idx="470">
                  <c:v>44819</c:v>
                </c:pt>
                <c:pt idx="471">
                  <c:v>44820</c:v>
                </c:pt>
                <c:pt idx="472">
                  <c:v>44823</c:v>
                </c:pt>
                <c:pt idx="473">
                  <c:v>44824</c:v>
                </c:pt>
                <c:pt idx="474">
                  <c:v>44825</c:v>
                </c:pt>
                <c:pt idx="475">
                  <c:v>44826</c:v>
                </c:pt>
                <c:pt idx="476">
                  <c:v>44827</c:v>
                </c:pt>
                <c:pt idx="477">
                  <c:v>44830</c:v>
                </c:pt>
                <c:pt idx="478">
                  <c:v>44831</c:v>
                </c:pt>
                <c:pt idx="479">
                  <c:v>44832</c:v>
                </c:pt>
                <c:pt idx="480">
                  <c:v>44833</c:v>
                </c:pt>
                <c:pt idx="481">
                  <c:v>44834</c:v>
                </c:pt>
                <c:pt idx="482">
                  <c:v>44837</c:v>
                </c:pt>
                <c:pt idx="483">
                  <c:v>44838</c:v>
                </c:pt>
                <c:pt idx="484">
                  <c:v>44839</c:v>
                </c:pt>
                <c:pt idx="485">
                  <c:v>44840</c:v>
                </c:pt>
                <c:pt idx="486">
                  <c:v>44841</c:v>
                </c:pt>
                <c:pt idx="487">
                  <c:v>44844</c:v>
                </c:pt>
                <c:pt idx="488">
                  <c:v>44845</c:v>
                </c:pt>
                <c:pt idx="489">
                  <c:v>44846</c:v>
                </c:pt>
                <c:pt idx="490">
                  <c:v>44847</c:v>
                </c:pt>
                <c:pt idx="491">
                  <c:v>44848</c:v>
                </c:pt>
                <c:pt idx="492">
                  <c:v>44851</c:v>
                </c:pt>
                <c:pt idx="493">
                  <c:v>44852</c:v>
                </c:pt>
                <c:pt idx="494">
                  <c:v>44853</c:v>
                </c:pt>
                <c:pt idx="495">
                  <c:v>44854</c:v>
                </c:pt>
                <c:pt idx="496">
                  <c:v>44855</c:v>
                </c:pt>
                <c:pt idx="497">
                  <c:v>44858</c:v>
                </c:pt>
                <c:pt idx="498">
                  <c:v>44859</c:v>
                </c:pt>
                <c:pt idx="499">
                  <c:v>44860</c:v>
                </c:pt>
                <c:pt idx="500">
                  <c:v>44861</c:v>
                </c:pt>
                <c:pt idx="501">
                  <c:v>44862</c:v>
                </c:pt>
                <c:pt idx="502">
                  <c:v>44865</c:v>
                </c:pt>
                <c:pt idx="503">
                  <c:v>44866</c:v>
                </c:pt>
                <c:pt idx="504">
                  <c:v>44867</c:v>
                </c:pt>
                <c:pt idx="505">
                  <c:v>44868</c:v>
                </c:pt>
                <c:pt idx="506">
                  <c:v>44869</c:v>
                </c:pt>
                <c:pt idx="507">
                  <c:v>44872</c:v>
                </c:pt>
                <c:pt idx="508">
                  <c:v>44873</c:v>
                </c:pt>
                <c:pt idx="509">
                  <c:v>44874</c:v>
                </c:pt>
                <c:pt idx="510">
                  <c:v>44875</c:v>
                </c:pt>
                <c:pt idx="511">
                  <c:v>44876</c:v>
                </c:pt>
                <c:pt idx="512">
                  <c:v>44879</c:v>
                </c:pt>
                <c:pt idx="513">
                  <c:v>44880</c:v>
                </c:pt>
                <c:pt idx="514">
                  <c:v>44881</c:v>
                </c:pt>
                <c:pt idx="515">
                  <c:v>44882</c:v>
                </c:pt>
                <c:pt idx="516">
                  <c:v>44883</c:v>
                </c:pt>
                <c:pt idx="517">
                  <c:v>44886</c:v>
                </c:pt>
                <c:pt idx="518">
                  <c:v>44887</c:v>
                </c:pt>
                <c:pt idx="519">
                  <c:v>44888</c:v>
                </c:pt>
                <c:pt idx="520">
                  <c:v>44890</c:v>
                </c:pt>
                <c:pt idx="521">
                  <c:v>44893</c:v>
                </c:pt>
                <c:pt idx="522">
                  <c:v>44894</c:v>
                </c:pt>
                <c:pt idx="523">
                  <c:v>44895</c:v>
                </c:pt>
                <c:pt idx="524">
                  <c:v>44896</c:v>
                </c:pt>
                <c:pt idx="525">
                  <c:v>44897</c:v>
                </c:pt>
                <c:pt idx="526">
                  <c:v>44900</c:v>
                </c:pt>
                <c:pt idx="527">
                  <c:v>44901</c:v>
                </c:pt>
                <c:pt idx="528">
                  <c:v>44902</c:v>
                </c:pt>
                <c:pt idx="529">
                  <c:v>44903</c:v>
                </c:pt>
                <c:pt idx="530">
                  <c:v>44904</c:v>
                </c:pt>
                <c:pt idx="531">
                  <c:v>44907</c:v>
                </c:pt>
                <c:pt idx="532">
                  <c:v>44908</c:v>
                </c:pt>
                <c:pt idx="533">
                  <c:v>44909</c:v>
                </c:pt>
                <c:pt idx="534">
                  <c:v>44910</c:v>
                </c:pt>
                <c:pt idx="535">
                  <c:v>44911</c:v>
                </c:pt>
                <c:pt idx="536">
                  <c:v>44914</c:v>
                </c:pt>
                <c:pt idx="537">
                  <c:v>44915</c:v>
                </c:pt>
                <c:pt idx="538">
                  <c:v>44916</c:v>
                </c:pt>
                <c:pt idx="539">
                  <c:v>44917</c:v>
                </c:pt>
                <c:pt idx="540">
                  <c:v>44918</c:v>
                </c:pt>
                <c:pt idx="541">
                  <c:v>44922</c:v>
                </c:pt>
                <c:pt idx="542">
                  <c:v>44923</c:v>
                </c:pt>
                <c:pt idx="543">
                  <c:v>44924</c:v>
                </c:pt>
                <c:pt idx="544">
                  <c:v>44925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44943</c:v>
                </c:pt>
                <c:pt idx="555">
                  <c:v>44944</c:v>
                </c:pt>
                <c:pt idx="556">
                  <c:v>44945</c:v>
                </c:pt>
                <c:pt idx="557">
                  <c:v>44946</c:v>
                </c:pt>
                <c:pt idx="558">
                  <c:v>44949</c:v>
                </c:pt>
                <c:pt idx="559">
                  <c:v>44950</c:v>
                </c:pt>
                <c:pt idx="560">
                  <c:v>44951</c:v>
                </c:pt>
                <c:pt idx="561">
                  <c:v>44952</c:v>
                </c:pt>
                <c:pt idx="562">
                  <c:v>44953</c:v>
                </c:pt>
                <c:pt idx="563">
                  <c:v>44956</c:v>
                </c:pt>
                <c:pt idx="564">
                  <c:v>44957</c:v>
                </c:pt>
                <c:pt idx="565">
                  <c:v>44958</c:v>
                </c:pt>
                <c:pt idx="566">
                  <c:v>44959</c:v>
                </c:pt>
                <c:pt idx="567">
                  <c:v>44960</c:v>
                </c:pt>
                <c:pt idx="568">
                  <c:v>44963</c:v>
                </c:pt>
                <c:pt idx="569">
                  <c:v>44964</c:v>
                </c:pt>
                <c:pt idx="570">
                  <c:v>44965</c:v>
                </c:pt>
                <c:pt idx="571">
                  <c:v>44966</c:v>
                </c:pt>
                <c:pt idx="572">
                  <c:v>44967</c:v>
                </c:pt>
                <c:pt idx="573">
                  <c:v>44970</c:v>
                </c:pt>
                <c:pt idx="574">
                  <c:v>44971</c:v>
                </c:pt>
                <c:pt idx="575">
                  <c:v>44972</c:v>
                </c:pt>
                <c:pt idx="576">
                  <c:v>44973</c:v>
                </c:pt>
                <c:pt idx="577">
                  <c:v>44974</c:v>
                </c:pt>
                <c:pt idx="578">
                  <c:v>44978</c:v>
                </c:pt>
                <c:pt idx="579">
                  <c:v>44979</c:v>
                </c:pt>
                <c:pt idx="580">
                  <c:v>44980</c:v>
                </c:pt>
                <c:pt idx="581">
                  <c:v>44981</c:v>
                </c:pt>
                <c:pt idx="582">
                  <c:v>44984</c:v>
                </c:pt>
                <c:pt idx="583">
                  <c:v>44985</c:v>
                </c:pt>
                <c:pt idx="584">
                  <c:v>44986</c:v>
                </c:pt>
                <c:pt idx="585">
                  <c:v>44987</c:v>
                </c:pt>
                <c:pt idx="586">
                  <c:v>44988</c:v>
                </c:pt>
                <c:pt idx="587">
                  <c:v>44991</c:v>
                </c:pt>
                <c:pt idx="588">
                  <c:v>44992</c:v>
                </c:pt>
                <c:pt idx="589">
                  <c:v>44993</c:v>
                </c:pt>
                <c:pt idx="590">
                  <c:v>44994</c:v>
                </c:pt>
                <c:pt idx="591">
                  <c:v>44995</c:v>
                </c:pt>
                <c:pt idx="592">
                  <c:v>44998</c:v>
                </c:pt>
                <c:pt idx="593">
                  <c:v>44999</c:v>
                </c:pt>
                <c:pt idx="594">
                  <c:v>45000</c:v>
                </c:pt>
                <c:pt idx="595">
                  <c:v>45001</c:v>
                </c:pt>
                <c:pt idx="596">
                  <c:v>45002</c:v>
                </c:pt>
                <c:pt idx="597">
                  <c:v>45005</c:v>
                </c:pt>
                <c:pt idx="598">
                  <c:v>45006</c:v>
                </c:pt>
                <c:pt idx="599">
                  <c:v>45007</c:v>
                </c:pt>
                <c:pt idx="600">
                  <c:v>45008</c:v>
                </c:pt>
                <c:pt idx="601">
                  <c:v>45009</c:v>
                </c:pt>
                <c:pt idx="602">
                  <c:v>45012</c:v>
                </c:pt>
                <c:pt idx="603">
                  <c:v>45013</c:v>
                </c:pt>
                <c:pt idx="604">
                  <c:v>45014</c:v>
                </c:pt>
                <c:pt idx="605">
                  <c:v>45015</c:v>
                </c:pt>
                <c:pt idx="606">
                  <c:v>45016</c:v>
                </c:pt>
                <c:pt idx="607">
                  <c:v>45019</c:v>
                </c:pt>
                <c:pt idx="608">
                  <c:v>45020</c:v>
                </c:pt>
                <c:pt idx="609">
                  <c:v>45021</c:v>
                </c:pt>
                <c:pt idx="610">
                  <c:v>45022</c:v>
                </c:pt>
                <c:pt idx="611">
                  <c:v>45026</c:v>
                </c:pt>
                <c:pt idx="612">
                  <c:v>45027</c:v>
                </c:pt>
                <c:pt idx="613">
                  <c:v>45028</c:v>
                </c:pt>
                <c:pt idx="614">
                  <c:v>45029</c:v>
                </c:pt>
                <c:pt idx="615">
                  <c:v>45030</c:v>
                </c:pt>
                <c:pt idx="616">
                  <c:v>45033</c:v>
                </c:pt>
                <c:pt idx="617">
                  <c:v>45034</c:v>
                </c:pt>
                <c:pt idx="618">
                  <c:v>45035</c:v>
                </c:pt>
                <c:pt idx="619">
                  <c:v>45036</c:v>
                </c:pt>
                <c:pt idx="620">
                  <c:v>45037</c:v>
                </c:pt>
                <c:pt idx="621">
                  <c:v>45040</c:v>
                </c:pt>
                <c:pt idx="622">
                  <c:v>45041</c:v>
                </c:pt>
                <c:pt idx="623">
                  <c:v>45042</c:v>
                </c:pt>
                <c:pt idx="624">
                  <c:v>45043</c:v>
                </c:pt>
                <c:pt idx="625">
                  <c:v>45044</c:v>
                </c:pt>
                <c:pt idx="626">
                  <c:v>45047</c:v>
                </c:pt>
                <c:pt idx="627">
                  <c:v>45048</c:v>
                </c:pt>
                <c:pt idx="628">
                  <c:v>45049</c:v>
                </c:pt>
                <c:pt idx="629">
                  <c:v>45050</c:v>
                </c:pt>
                <c:pt idx="630">
                  <c:v>45051</c:v>
                </c:pt>
                <c:pt idx="631">
                  <c:v>45054</c:v>
                </c:pt>
                <c:pt idx="632">
                  <c:v>45055</c:v>
                </c:pt>
                <c:pt idx="633">
                  <c:v>45056</c:v>
                </c:pt>
                <c:pt idx="634">
                  <c:v>45057</c:v>
                </c:pt>
                <c:pt idx="635">
                  <c:v>45058</c:v>
                </c:pt>
                <c:pt idx="636">
                  <c:v>45061</c:v>
                </c:pt>
                <c:pt idx="637">
                  <c:v>45062</c:v>
                </c:pt>
                <c:pt idx="638">
                  <c:v>45063</c:v>
                </c:pt>
                <c:pt idx="639">
                  <c:v>45064</c:v>
                </c:pt>
                <c:pt idx="640">
                  <c:v>45065</c:v>
                </c:pt>
                <c:pt idx="641">
                  <c:v>45068</c:v>
                </c:pt>
                <c:pt idx="642">
                  <c:v>45069</c:v>
                </c:pt>
                <c:pt idx="643">
                  <c:v>45070</c:v>
                </c:pt>
                <c:pt idx="644">
                  <c:v>45071</c:v>
                </c:pt>
                <c:pt idx="645">
                  <c:v>45072</c:v>
                </c:pt>
                <c:pt idx="646">
                  <c:v>45076</c:v>
                </c:pt>
                <c:pt idx="647">
                  <c:v>45077</c:v>
                </c:pt>
                <c:pt idx="648">
                  <c:v>45078</c:v>
                </c:pt>
                <c:pt idx="649">
                  <c:v>45079</c:v>
                </c:pt>
                <c:pt idx="650">
                  <c:v>45082</c:v>
                </c:pt>
                <c:pt idx="651">
                  <c:v>45083</c:v>
                </c:pt>
                <c:pt idx="652">
                  <c:v>45084</c:v>
                </c:pt>
                <c:pt idx="653">
                  <c:v>45085</c:v>
                </c:pt>
                <c:pt idx="654">
                  <c:v>45086</c:v>
                </c:pt>
                <c:pt idx="655">
                  <c:v>45089</c:v>
                </c:pt>
                <c:pt idx="656">
                  <c:v>45090</c:v>
                </c:pt>
                <c:pt idx="657">
                  <c:v>45091</c:v>
                </c:pt>
                <c:pt idx="658">
                  <c:v>45092</c:v>
                </c:pt>
                <c:pt idx="659">
                  <c:v>45093</c:v>
                </c:pt>
                <c:pt idx="660">
                  <c:v>45097</c:v>
                </c:pt>
                <c:pt idx="661">
                  <c:v>45098</c:v>
                </c:pt>
                <c:pt idx="662">
                  <c:v>45099</c:v>
                </c:pt>
                <c:pt idx="663">
                  <c:v>45100</c:v>
                </c:pt>
                <c:pt idx="664">
                  <c:v>45103</c:v>
                </c:pt>
                <c:pt idx="665">
                  <c:v>45104</c:v>
                </c:pt>
                <c:pt idx="666">
                  <c:v>45105</c:v>
                </c:pt>
                <c:pt idx="667">
                  <c:v>45106</c:v>
                </c:pt>
                <c:pt idx="668">
                  <c:v>45107</c:v>
                </c:pt>
                <c:pt idx="669">
                  <c:v>45110</c:v>
                </c:pt>
                <c:pt idx="670">
                  <c:v>45112</c:v>
                </c:pt>
                <c:pt idx="671">
                  <c:v>45113</c:v>
                </c:pt>
                <c:pt idx="672">
                  <c:v>45114</c:v>
                </c:pt>
                <c:pt idx="673">
                  <c:v>45117</c:v>
                </c:pt>
                <c:pt idx="674">
                  <c:v>45118</c:v>
                </c:pt>
                <c:pt idx="675">
                  <c:v>45119</c:v>
                </c:pt>
                <c:pt idx="676">
                  <c:v>45120</c:v>
                </c:pt>
                <c:pt idx="677">
                  <c:v>45121</c:v>
                </c:pt>
                <c:pt idx="678">
                  <c:v>45124</c:v>
                </c:pt>
                <c:pt idx="679">
                  <c:v>45125</c:v>
                </c:pt>
                <c:pt idx="680">
                  <c:v>45126</c:v>
                </c:pt>
                <c:pt idx="681">
                  <c:v>45127</c:v>
                </c:pt>
                <c:pt idx="682">
                  <c:v>45128</c:v>
                </c:pt>
                <c:pt idx="683">
                  <c:v>45131</c:v>
                </c:pt>
                <c:pt idx="684">
                  <c:v>45132</c:v>
                </c:pt>
                <c:pt idx="685">
                  <c:v>45133</c:v>
                </c:pt>
                <c:pt idx="686">
                  <c:v>45134</c:v>
                </c:pt>
                <c:pt idx="687">
                  <c:v>45135</c:v>
                </c:pt>
                <c:pt idx="688">
                  <c:v>45138</c:v>
                </c:pt>
                <c:pt idx="689">
                  <c:v>45139</c:v>
                </c:pt>
                <c:pt idx="690">
                  <c:v>45140</c:v>
                </c:pt>
                <c:pt idx="691">
                  <c:v>45141</c:v>
                </c:pt>
                <c:pt idx="692">
                  <c:v>45142</c:v>
                </c:pt>
                <c:pt idx="693">
                  <c:v>45145</c:v>
                </c:pt>
                <c:pt idx="694">
                  <c:v>45146</c:v>
                </c:pt>
                <c:pt idx="695">
                  <c:v>45147</c:v>
                </c:pt>
                <c:pt idx="696">
                  <c:v>45148</c:v>
                </c:pt>
                <c:pt idx="697">
                  <c:v>45149</c:v>
                </c:pt>
                <c:pt idx="698">
                  <c:v>45152</c:v>
                </c:pt>
                <c:pt idx="699">
                  <c:v>45153</c:v>
                </c:pt>
                <c:pt idx="700">
                  <c:v>45154</c:v>
                </c:pt>
                <c:pt idx="701">
                  <c:v>45155</c:v>
                </c:pt>
                <c:pt idx="702">
                  <c:v>45156</c:v>
                </c:pt>
                <c:pt idx="703">
                  <c:v>45159</c:v>
                </c:pt>
                <c:pt idx="704">
                  <c:v>45160</c:v>
                </c:pt>
                <c:pt idx="705">
                  <c:v>45161</c:v>
                </c:pt>
                <c:pt idx="706">
                  <c:v>45162</c:v>
                </c:pt>
                <c:pt idx="707">
                  <c:v>45163</c:v>
                </c:pt>
                <c:pt idx="708">
                  <c:v>45166</c:v>
                </c:pt>
                <c:pt idx="709">
                  <c:v>45167</c:v>
                </c:pt>
                <c:pt idx="710">
                  <c:v>45168</c:v>
                </c:pt>
                <c:pt idx="711">
                  <c:v>45169</c:v>
                </c:pt>
                <c:pt idx="712">
                  <c:v>45170</c:v>
                </c:pt>
                <c:pt idx="713">
                  <c:v>45174</c:v>
                </c:pt>
                <c:pt idx="714">
                  <c:v>45175</c:v>
                </c:pt>
                <c:pt idx="715">
                  <c:v>45176</c:v>
                </c:pt>
                <c:pt idx="716">
                  <c:v>45177</c:v>
                </c:pt>
                <c:pt idx="717">
                  <c:v>45180</c:v>
                </c:pt>
                <c:pt idx="718">
                  <c:v>45181</c:v>
                </c:pt>
                <c:pt idx="719">
                  <c:v>45182</c:v>
                </c:pt>
                <c:pt idx="720">
                  <c:v>45183</c:v>
                </c:pt>
                <c:pt idx="721">
                  <c:v>45184</c:v>
                </c:pt>
                <c:pt idx="722">
                  <c:v>45187</c:v>
                </c:pt>
                <c:pt idx="723">
                  <c:v>45188</c:v>
                </c:pt>
                <c:pt idx="724">
                  <c:v>45189</c:v>
                </c:pt>
                <c:pt idx="725">
                  <c:v>45190</c:v>
                </c:pt>
                <c:pt idx="726">
                  <c:v>45191</c:v>
                </c:pt>
                <c:pt idx="727">
                  <c:v>45194</c:v>
                </c:pt>
                <c:pt idx="728">
                  <c:v>45195</c:v>
                </c:pt>
                <c:pt idx="729">
                  <c:v>45196</c:v>
                </c:pt>
                <c:pt idx="730">
                  <c:v>45197</c:v>
                </c:pt>
                <c:pt idx="731">
                  <c:v>45198</c:v>
                </c:pt>
                <c:pt idx="732">
                  <c:v>45201</c:v>
                </c:pt>
                <c:pt idx="733">
                  <c:v>45202</c:v>
                </c:pt>
                <c:pt idx="734">
                  <c:v>45203</c:v>
                </c:pt>
                <c:pt idx="735">
                  <c:v>45204</c:v>
                </c:pt>
                <c:pt idx="736">
                  <c:v>45205</c:v>
                </c:pt>
                <c:pt idx="737">
                  <c:v>45208</c:v>
                </c:pt>
                <c:pt idx="738">
                  <c:v>45209</c:v>
                </c:pt>
                <c:pt idx="739">
                  <c:v>45210</c:v>
                </c:pt>
                <c:pt idx="740">
                  <c:v>45211</c:v>
                </c:pt>
                <c:pt idx="741">
                  <c:v>45212</c:v>
                </c:pt>
                <c:pt idx="742">
                  <c:v>45215</c:v>
                </c:pt>
                <c:pt idx="743">
                  <c:v>45216</c:v>
                </c:pt>
                <c:pt idx="744">
                  <c:v>45217</c:v>
                </c:pt>
                <c:pt idx="745">
                  <c:v>45218</c:v>
                </c:pt>
                <c:pt idx="746">
                  <c:v>45219</c:v>
                </c:pt>
                <c:pt idx="747">
                  <c:v>45222</c:v>
                </c:pt>
                <c:pt idx="748">
                  <c:v>45223</c:v>
                </c:pt>
                <c:pt idx="749">
                  <c:v>45224</c:v>
                </c:pt>
                <c:pt idx="750">
                  <c:v>45225</c:v>
                </c:pt>
                <c:pt idx="751">
                  <c:v>45226</c:v>
                </c:pt>
                <c:pt idx="752">
                  <c:v>45229</c:v>
                </c:pt>
                <c:pt idx="753">
                  <c:v>45230</c:v>
                </c:pt>
                <c:pt idx="754">
                  <c:v>45231</c:v>
                </c:pt>
                <c:pt idx="755">
                  <c:v>45232</c:v>
                </c:pt>
                <c:pt idx="756">
                  <c:v>45233</c:v>
                </c:pt>
                <c:pt idx="757">
                  <c:v>45236</c:v>
                </c:pt>
                <c:pt idx="758">
                  <c:v>45237</c:v>
                </c:pt>
                <c:pt idx="759">
                  <c:v>45238</c:v>
                </c:pt>
                <c:pt idx="760">
                  <c:v>45239</c:v>
                </c:pt>
                <c:pt idx="761">
                  <c:v>45240</c:v>
                </c:pt>
                <c:pt idx="762">
                  <c:v>45243</c:v>
                </c:pt>
                <c:pt idx="763">
                  <c:v>45244</c:v>
                </c:pt>
                <c:pt idx="764">
                  <c:v>45245</c:v>
                </c:pt>
                <c:pt idx="765">
                  <c:v>45246</c:v>
                </c:pt>
                <c:pt idx="766">
                  <c:v>45247</c:v>
                </c:pt>
                <c:pt idx="767">
                  <c:v>45250</c:v>
                </c:pt>
                <c:pt idx="768">
                  <c:v>45251</c:v>
                </c:pt>
                <c:pt idx="769">
                  <c:v>45252</c:v>
                </c:pt>
                <c:pt idx="770">
                  <c:v>45254</c:v>
                </c:pt>
                <c:pt idx="771">
                  <c:v>45257</c:v>
                </c:pt>
                <c:pt idx="772">
                  <c:v>45258</c:v>
                </c:pt>
                <c:pt idx="773">
                  <c:v>45259</c:v>
                </c:pt>
                <c:pt idx="774">
                  <c:v>45260</c:v>
                </c:pt>
                <c:pt idx="775">
                  <c:v>45261</c:v>
                </c:pt>
                <c:pt idx="776">
                  <c:v>45264</c:v>
                </c:pt>
                <c:pt idx="777">
                  <c:v>45265</c:v>
                </c:pt>
                <c:pt idx="778">
                  <c:v>45266</c:v>
                </c:pt>
                <c:pt idx="779">
                  <c:v>45267</c:v>
                </c:pt>
                <c:pt idx="780">
                  <c:v>45268</c:v>
                </c:pt>
                <c:pt idx="781">
                  <c:v>45271</c:v>
                </c:pt>
                <c:pt idx="782">
                  <c:v>45272</c:v>
                </c:pt>
                <c:pt idx="783">
                  <c:v>45273</c:v>
                </c:pt>
                <c:pt idx="784">
                  <c:v>45274</c:v>
                </c:pt>
                <c:pt idx="785">
                  <c:v>45275</c:v>
                </c:pt>
                <c:pt idx="786">
                  <c:v>45278</c:v>
                </c:pt>
                <c:pt idx="787">
                  <c:v>45279</c:v>
                </c:pt>
                <c:pt idx="788">
                  <c:v>45280</c:v>
                </c:pt>
                <c:pt idx="789">
                  <c:v>45281</c:v>
                </c:pt>
                <c:pt idx="790">
                  <c:v>45282</c:v>
                </c:pt>
                <c:pt idx="791">
                  <c:v>45286</c:v>
                </c:pt>
                <c:pt idx="792">
                  <c:v>45287</c:v>
                </c:pt>
                <c:pt idx="793">
                  <c:v>45288</c:v>
                </c:pt>
                <c:pt idx="794">
                  <c:v>45289</c:v>
                </c:pt>
                <c:pt idx="795">
                  <c:v>45293</c:v>
                </c:pt>
                <c:pt idx="796">
                  <c:v>45294</c:v>
                </c:pt>
                <c:pt idx="797">
                  <c:v>45295</c:v>
                </c:pt>
                <c:pt idx="798">
                  <c:v>45296</c:v>
                </c:pt>
                <c:pt idx="799">
                  <c:v>45299</c:v>
                </c:pt>
                <c:pt idx="800">
                  <c:v>45300</c:v>
                </c:pt>
                <c:pt idx="801">
                  <c:v>45301</c:v>
                </c:pt>
                <c:pt idx="802">
                  <c:v>45302</c:v>
                </c:pt>
                <c:pt idx="803">
                  <c:v>45303</c:v>
                </c:pt>
                <c:pt idx="804">
                  <c:v>45307</c:v>
                </c:pt>
                <c:pt idx="805">
                  <c:v>45308</c:v>
                </c:pt>
                <c:pt idx="806">
                  <c:v>45309</c:v>
                </c:pt>
                <c:pt idx="807">
                  <c:v>45310</c:v>
                </c:pt>
                <c:pt idx="808">
                  <c:v>45313</c:v>
                </c:pt>
                <c:pt idx="809">
                  <c:v>45314</c:v>
                </c:pt>
                <c:pt idx="810">
                  <c:v>45315</c:v>
                </c:pt>
                <c:pt idx="811">
                  <c:v>45316</c:v>
                </c:pt>
                <c:pt idx="812">
                  <c:v>45317</c:v>
                </c:pt>
                <c:pt idx="813">
                  <c:v>45320</c:v>
                </c:pt>
                <c:pt idx="814">
                  <c:v>45321</c:v>
                </c:pt>
                <c:pt idx="815">
                  <c:v>45322</c:v>
                </c:pt>
                <c:pt idx="816">
                  <c:v>45323</c:v>
                </c:pt>
                <c:pt idx="817">
                  <c:v>45324</c:v>
                </c:pt>
                <c:pt idx="818">
                  <c:v>45327</c:v>
                </c:pt>
                <c:pt idx="819">
                  <c:v>45328</c:v>
                </c:pt>
                <c:pt idx="820">
                  <c:v>45329</c:v>
                </c:pt>
                <c:pt idx="821">
                  <c:v>45330</c:v>
                </c:pt>
                <c:pt idx="822">
                  <c:v>45331</c:v>
                </c:pt>
                <c:pt idx="823">
                  <c:v>45334</c:v>
                </c:pt>
                <c:pt idx="824">
                  <c:v>45335</c:v>
                </c:pt>
                <c:pt idx="825">
                  <c:v>45336</c:v>
                </c:pt>
                <c:pt idx="826">
                  <c:v>45337</c:v>
                </c:pt>
                <c:pt idx="827">
                  <c:v>45338</c:v>
                </c:pt>
                <c:pt idx="828">
                  <c:v>45342</c:v>
                </c:pt>
                <c:pt idx="829">
                  <c:v>45343</c:v>
                </c:pt>
                <c:pt idx="830">
                  <c:v>45344</c:v>
                </c:pt>
                <c:pt idx="831">
                  <c:v>45345</c:v>
                </c:pt>
                <c:pt idx="832">
                  <c:v>45348</c:v>
                </c:pt>
                <c:pt idx="833">
                  <c:v>45349</c:v>
                </c:pt>
                <c:pt idx="834">
                  <c:v>45350</c:v>
                </c:pt>
                <c:pt idx="835">
                  <c:v>45351</c:v>
                </c:pt>
                <c:pt idx="836">
                  <c:v>45352</c:v>
                </c:pt>
                <c:pt idx="837">
                  <c:v>45355</c:v>
                </c:pt>
                <c:pt idx="838">
                  <c:v>45356</c:v>
                </c:pt>
                <c:pt idx="839">
                  <c:v>45357</c:v>
                </c:pt>
                <c:pt idx="840">
                  <c:v>45358</c:v>
                </c:pt>
                <c:pt idx="841">
                  <c:v>45359</c:v>
                </c:pt>
                <c:pt idx="842">
                  <c:v>45362</c:v>
                </c:pt>
                <c:pt idx="843">
                  <c:v>45363</c:v>
                </c:pt>
                <c:pt idx="844">
                  <c:v>45364</c:v>
                </c:pt>
                <c:pt idx="845">
                  <c:v>45365</c:v>
                </c:pt>
                <c:pt idx="846">
                  <c:v>45366</c:v>
                </c:pt>
                <c:pt idx="847">
                  <c:v>45369</c:v>
                </c:pt>
                <c:pt idx="848">
                  <c:v>45370</c:v>
                </c:pt>
                <c:pt idx="849">
                  <c:v>45371</c:v>
                </c:pt>
                <c:pt idx="850">
                  <c:v>45372</c:v>
                </c:pt>
                <c:pt idx="851">
                  <c:v>45373</c:v>
                </c:pt>
                <c:pt idx="852">
                  <c:v>45376</c:v>
                </c:pt>
                <c:pt idx="853">
                  <c:v>45377</c:v>
                </c:pt>
                <c:pt idx="854">
                  <c:v>45378</c:v>
                </c:pt>
                <c:pt idx="855">
                  <c:v>45379</c:v>
                </c:pt>
                <c:pt idx="856">
                  <c:v>45383</c:v>
                </c:pt>
                <c:pt idx="857">
                  <c:v>45384</c:v>
                </c:pt>
                <c:pt idx="858">
                  <c:v>45385</c:v>
                </c:pt>
                <c:pt idx="859">
                  <c:v>45386</c:v>
                </c:pt>
                <c:pt idx="860">
                  <c:v>45387</c:v>
                </c:pt>
                <c:pt idx="861">
                  <c:v>45390</c:v>
                </c:pt>
                <c:pt idx="862">
                  <c:v>45391</c:v>
                </c:pt>
                <c:pt idx="863">
                  <c:v>45392</c:v>
                </c:pt>
                <c:pt idx="864">
                  <c:v>45393</c:v>
                </c:pt>
                <c:pt idx="865">
                  <c:v>45394</c:v>
                </c:pt>
                <c:pt idx="866">
                  <c:v>45397</c:v>
                </c:pt>
                <c:pt idx="867">
                  <c:v>45398</c:v>
                </c:pt>
                <c:pt idx="868">
                  <c:v>45399</c:v>
                </c:pt>
                <c:pt idx="869">
                  <c:v>45400</c:v>
                </c:pt>
                <c:pt idx="870">
                  <c:v>45401</c:v>
                </c:pt>
                <c:pt idx="871">
                  <c:v>45404</c:v>
                </c:pt>
                <c:pt idx="872">
                  <c:v>45405</c:v>
                </c:pt>
                <c:pt idx="873">
                  <c:v>45406</c:v>
                </c:pt>
                <c:pt idx="874">
                  <c:v>45407</c:v>
                </c:pt>
                <c:pt idx="875">
                  <c:v>45408</c:v>
                </c:pt>
                <c:pt idx="876">
                  <c:v>45411</c:v>
                </c:pt>
                <c:pt idx="877">
                  <c:v>45412</c:v>
                </c:pt>
                <c:pt idx="878">
                  <c:v>45413</c:v>
                </c:pt>
                <c:pt idx="879">
                  <c:v>45414</c:v>
                </c:pt>
                <c:pt idx="880">
                  <c:v>45415</c:v>
                </c:pt>
                <c:pt idx="881">
                  <c:v>45418</c:v>
                </c:pt>
                <c:pt idx="882">
                  <c:v>45419</c:v>
                </c:pt>
                <c:pt idx="883">
                  <c:v>45420</c:v>
                </c:pt>
                <c:pt idx="884">
                  <c:v>45421</c:v>
                </c:pt>
                <c:pt idx="885">
                  <c:v>45422</c:v>
                </c:pt>
                <c:pt idx="886">
                  <c:v>45425</c:v>
                </c:pt>
                <c:pt idx="887">
                  <c:v>45426</c:v>
                </c:pt>
                <c:pt idx="888">
                  <c:v>45427</c:v>
                </c:pt>
                <c:pt idx="889">
                  <c:v>45428</c:v>
                </c:pt>
                <c:pt idx="890">
                  <c:v>45429</c:v>
                </c:pt>
                <c:pt idx="891">
                  <c:v>45432</c:v>
                </c:pt>
                <c:pt idx="892">
                  <c:v>45433</c:v>
                </c:pt>
                <c:pt idx="893">
                  <c:v>45434</c:v>
                </c:pt>
                <c:pt idx="894">
                  <c:v>45435</c:v>
                </c:pt>
                <c:pt idx="895">
                  <c:v>45436</c:v>
                </c:pt>
                <c:pt idx="896">
                  <c:v>45440</c:v>
                </c:pt>
                <c:pt idx="897">
                  <c:v>45441</c:v>
                </c:pt>
                <c:pt idx="898">
                  <c:v>45442</c:v>
                </c:pt>
                <c:pt idx="899">
                  <c:v>45443</c:v>
                </c:pt>
                <c:pt idx="900">
                  <c:v>45446</c:v>
                </c:pt>
                <c:pt idx="901">
                  <c:v>45447</c:v>
                </c:pt>
                <c:pt idx="902">
                  <c:v>45448</c:v>
                </c:pt>
                <c:pt idx="903">
                  <c:v>45449</c:v>
                </c:pt>
                <c:pt idx="904">
                  <c:v>45450</c:v>
                </c:pt>
                <c:pt idx="905">
                  <c:v>45453</c:v>
                </c:pt>
                <c:pt idx="906">
                  <c:v>45454</c:v>
                </c:pt>
                <c:pt idx="907">
                  <c:v>45455</c:v>
                </c:pt>
                <c:pt idx="908">
                  <c:v>45456</c:v>
                </c:pt>
                <c:pt idx="909">
                  <c:v>45457</c:v>
                </c:pt>
                <c:pt idx="910">
                  <c:v>45460</c:v>
                </c:pt>
                <c:pt idx="911">
                  <c:v>45461</c:v>
                </c:pt>
                <c:pt idx="912">
                  <c:v>45463</c:v>
                </c:pt>
                <c:pt idx="913">
                  <c:v>45464</c:v>
                </c:pt>
                <c:pt idx="914">
                  <c:v>45467</c:v>
                </c:pt>
                <c:pt idx="915">
                  <c:v>45468</c:v>
                </c:pt>
                <c:pt idx="916">
                  <c:v>45469</c:v>
                </c:pt>
                <c:pt idx="917">
                  <c:v>45470</c:v>
                </c:pt>
                <c:pt idx="918">
                  <c:v>45471</c:v>
                </c:pt>
                <c:pt idx="919">
                  <c:v>45474</c:v>
                </c:pt>
                <c:pt idx="920">
                  <c:v>45475</c:v>
                </c:pt>
                <c:pt idx="921">
                  <c:v>45476</c:v>
                </c:pt>
                <c:pt idx="922">
                  <c:v>45478</c:v>
                </c:pt>
                <c:pt idx="923">
                  <c:v>45481</c:v>
                </c:pt>
                <c:pt idx="924">
                  <c:v>45482</c:v>
                </c:pt>
                <c:pt idx="925">
                  <c:v>45483</c:v>
                </c:pt>
                <c:pt idx="926">
                  <c:v>45484</c:v>
                </c:pt>
                <c:pt idx="927">
                  <c:v>45485</c:v>
                </c:pt>
                <c:pt idx="928">
                  <c:v>45488</c:v>
                </c:pt>
                <c:pt idx="929">
                  <c:v>45489</c:v>
                </c:pt>
                <c:pt idx="930">
                  <c:v>45490</c:v>
                </c:pt>
                <c:pt idx="931">
                  <c:v>45491</c:v>
                </c:pt>
                <c:pt idx="932">
                  <c:v>45492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45502</c:v>
                </c:pt>
                <c:pt idx="939">
                  <c:v>45503</c:v>
                </c:pt>
                <c:pt idx="940">
                  <c:v>45504</c:v>
                </c:pt>
                <c:pt idx="941">
                  <c:v>45505</c:v>
                </c:pt>
                <c:pt idx="942">
                  <c:v>45506</c:v>
                </c:pt>
                <c:pt idx="943">
                  <c:v>45509</c:v>
                </c:pt>
                <c:pt idx="944">
                  <c:v>45510</c:v>
                </c:pt>
                <c:pt idx="945">
                  <c:v>45511</c:v>
                </c:pt>
                <c:pt idx="946">
                  <c:v>45512</c:v>
                </c:pt>
                <c:pt idx="947">
                  <c:v>45513</c:v>
                </c:pt>
                <c:pt idx="948">
                  <c:v>45516</c:v>
                </c:pt>
                <c:pt idx="949">
                  <c:v>45517</c:v>
                </c:pt>
                <c:pt idx="950">
                  <c:v>45518</c:v>
                </c:pt>
                <c:pt idx="951">
                  <c:v>45519</c:v>
                </c:pt>
                <c:pt idx="952">
                  <c:v>45520</c:v>
                </c:pt>
                <c:pt idx="953">
                  <c:v>45523</c:v>
                </c:pt>
                <c:pt idx="954">
                  <c:v>45524</c:v>
                </c:pt>
                <c:pt idx="955">
                  <c:v>45525</c:v>
                </c:pt>
                <c:pt idx="956">
                  <c:v>45526</c:v>
                </c:pt>
                <c:pt idx="957">
                  <c:v>45527</c:v>
                </c:pt>
                <c:pt idx="958">
                  <c:v>45530</c:v>
                </c:pt>
                <c:pt idx="959">
                  <c:v>45531</c:v>
                </c:pt>
                <c:pt idx="960">
                  <c:v>45532</c:v>
                </c:pt>
                <c:pt idx="961">
                  <c:v>45533</c:v>
                </c:pt>
                <c:pt idx="962">
                  <c:v>45534</c:v>
                </c:pt>
                <c:pt idx="963">
                  <c:v>45538</c:v>
                </c:pt>
                <c:pt idx="964">
                  <c:v>45539</c:v>
                </c:pt>
                <c:pt idx="965">
                  <c:v>45540</c:v>
                </c:pt>
                <c:pt idx="966">
                  <c:v>45541</c:v>
                </c:pt>
                <c:pt idx="967">
                  <c:v>45544</c:v>
                </c:pt>
                <c:pt idx="968">
                  <c:v>45545</c:v>
                </c:pt>
                <c:pt idx="969">
                  <c:v>45546</c:v>
                </c:pt>
                <c:pt idx="970">
                  <c:v>45547</c:v>
                </c:pt>
                <c:pt idx="971">
                  <c:v>45548</c:v>
                </c:pt>
                <c:pt idx="972">
                  <c:v>45551</c:v>
                </c:pt>
                <c:pt idx="973">
                  <c:v>45552</c:v>
                </c:pt>
                <c:pt idx="974">
                  <c:v>45553</c:v>
                </c:pt>
                <c:pt idx="975">
                  <c:v>45554</c:v>
                </c:pt>
                <c:pt idx="976">
                  <c:v>45555</c:v>
                </c:pt>
                <c:pt idx="977">
                  <c:v>45558</c:v>
                </c:pt>
                <c:pt idx="978">
                  <c:v>45559</c:v>
                </c:pt>
                <c:pt idx="979">
                  <c:v>45560</c:v>
                </c:pt>
                <c:pt idx="980">
                  <c:v>45561</c:v>
                </c:pt>
                <c:pt idx="981">
                  <c:v>45562</c:v>
                </c:pt>
                <c:pt idx="982">
                  <c:v>45565</c:v>
                </c:pt>
                <c:pt idx="983">
                  <c:v>45566</c:v>
                </c:pt>
                <c:pt idx="984">
                  <c:v>45567</c:v>
                </c:pt>
                <c:pt idx="985">
                  <c:v>45568</c:v>
                </c:pt>
                <c:pt idx="986">
                  <c:v>45569</c:v>
                </c:pt>
                <c:pt idx="987">
                  <c:v>45572</c:v>
                </c:pt>
                <c:pt idx="988">
                  <c:v>45573</c:v>
                </c:pt>
                <c:pt idx="989">
                  <c:v>45574</c:v>
                </c:pt>
                <c:pt idx="990">
                  <c:v>45575</c:v>
                </c:pt>
                <c:pt idx="991">
                  <c:v>45576</c:v>
                </c:pt>
                <c:pt idx="992">
                  <c:v>45579</c:v>
                </c:pt>
                <c:pt idx="993">
                  <c:v>45580</c:v>
                </c:pt>
                <c:pt idx="994">
                  <c:v>45581</c:v>
                </c:pt>
                <c:pt idx="995">
                  <c:v>45582</c:v>
                </c:pt>
                <c:pt idx="996">
                  <c:v>45583</c:v>
                </c:pt>
                <c:pt idx="997">
                  <c:v>45586</c:v>
                </c:pt>
                <c:pt idx="998">
                  <c:v>45587</c:v>
                </c:pt>
                <c:pt idx="999">
                  <c:v>45588</c:v>
                </c:pt>
                <c:pt idx="1000">
                  <c:v>45589</c:v>
                </c:pt>
                <c:pt idx="1001">
                  <c:v>45590</c:v>
                </c:pt>
                <c:pt idx="1002">
                  <c:v>45593</c:v>
                </c:pt>
                <c:pt idx="1003">
                  <c:v>45594</c:v>
                </c:pt>
                <c:pt idx="1004">
                  <c:v>45595</c:v>
                </c:pt>
                <c:pt idx="1005">
                  <c:v>45596</c:v>
                </c:pt>
                <c:pt idx="1006">
                  <c:v>45597</c:v>
                </c:pt>
                <c:pt idx="1007">
                  <c:v>45600</c:v>
                </c:pt>
                <c:pt idx="1008">
                  <c:v>45601</c:v>
                </c:pt>
                <c:pt idx="1009">
                  <c:v>45602</c:v>
                </c:pt>
                <c:pt idx="1010">
                  <c:v>45603</c:v>
                </c:pt>
                <c:pt idx="1011">
                  <c:v>45604</c:v>
                </c:pt>
                <c:pt idx="1012">
                  <c:v>45607</c:v>
                </c:pt>
                <c:pt idx="1013">
                  <c:v>45608</c:v>
                </c:pt>
                <c:pt idx="1014">
                  <c:v>45609</c:v>
                </c:pt>
                <c:pt idx="1015">
                  <c:v>45610</c:v>
                </c:pt>
                <c:pt idx="1016">
                  <c:v>45611</c:v>
                </c:pt>
                <c:pt idx="1017">
                  <c:v>45614</c:v>
                </c:pt>
                <c:pt idx="1018">
                  <c:v>45615</c:v>
                </c:pt>
                <c:pt idx="1019">
                  <c:v>45616</c:v>
                </c:pt>
                <c:pt idx="1020">
                  <c:v>45617</c:v>
                </c:pt>
                <c:pt idx="1021">
                  <c:v>45618</c:v>
                </c:pt>
                <c:pt idx="1022">
                  <c:v>45621</c:v>
                </c:pt>
                <c:pt idx="1023">
                  <c:v>45622</c:v>
                </c:pt>
                <c:pt idx="1024">
                  <c:v>45623</c:v>
                </c:pt>
                <c:pt idx="1025">
                  <c:v>45625</c:v>
                </c:pt>
                <c:pt idx="1026">
                  <c:v>45628</c:v>
                </c:pt>
                <c:pt idx="1027">
                  <c:v>45629</c:v>
                </c:pt>
                <c:pt idx="1028">
                  <c:v>45630</c:v>
                </c:pt>
                <c:pt idx="1029">
                  <c:v>45631</c:v>
                </c:pt>
                <c:pt idx="1030">
                  <c:v>45632</c:v>
                </c:pt>
                <c:pt idx="1031">
                  <c:v>45635</c:v>
                </c:pt>
                <c:pt idx="1032">
                  <c:v>45636</c:v>
                </c:pt>
                <c:pt idx="1033">
                  <c:v>45637</c:v>
                </c:pt>
                <c:pt idx="1034">
                  <c:v>45638</c:v>
                </c:pt>
                <c:pt idx="1035">
                  <c:v>45639</c:v>
                </c:pt>
                <c:pt idx="1036">
                  <c:v>45642</c:v>
                </c:pt>
                <c:pt idx="1037">
                  <c:v>45643</c:v>
                </c:pt>
                <c:pt idx="1038">
                  <c:v>45644</c:v>
                </c:pt>
                <c:pt idx="1039">
                  <c:v>45645</c:v>
                </c:pt>
                <c:pt idx="1040">
                  <c:v>45646</c:v>
                </c:pt>
                <c:pt idx="1041">
                  <c:v>45649</c:v>
                </c:pt>
                <c:pt idx="1042">
                  <c:v>45650</c:v>
                </c:pt>
                <c:pt idx="1043">
                  <c:v>45652</c:v>
                </c:pt>
                <c:pt idx="1044">
                  <c:v>45653</c:v>
                </c:pt>
                <c:pt idx="1045">
                  <c:v>45656</c:v>
                </c:pt>
                <c:pt idx="1046">
                  <c:v>45657</c:v>
                </c:pt>
                <c:pt idx="1047">
                  <c:v>45659</c:v>
                </c:pt>
                <c:pt idx="1048">
                  <c:v>45660</c:v>
                </c:pt>
                <c:pt idx="1049">
                  <c:v>45663</c:v>
                </c:pt>
                <c:pt idx="1050">
                  <c:v>45664</c:v>
                </c:pt>
                <c:pt idx="1051">
                  <c:v>45665</c:v>
                </c:pt>
                <c:pt idx="1052">
                  <c:v>45667</c:v>
                </c:pt>
                <c:pt idx="1053">
                  <c:v>45670</c:v>
                </c:pt>
                <c:pt idx="1054">
                  <c:v>45671</c:v>
                </c:pt>
                <c:pt idx="1055">
                  <c:v>45672</c:v>
                </c:pt>
                <c:pt idx="1056">
                  <c:v>45673</c:v>
                </c:pt>
                <c:pt idx="1057">
                  <c:v>45674</c:v>
                </c:pt>
                <c:pt idx="1058">
                  <c:v>45678</c:v>
                </c:pt>
                <c:pt idx="1059">
                  <c:v>45679</c:v>
                </c:pt>
                <c:pt idx="1060">
                  <c:v>45680</c:v>
                </c:pt>
                <c:pt idx="1061">
                  <c:v>45681</c:v>
                </c:pt>
                <c:pt idx="1062">
                  <c:v>45684</c:v>
                </c:pt>
                <c:pt idx="1063">
                  <c:v>45685</c:v>
                </c:pt>
                <c:pt idx="1064">
                  <c:v>45686</c:v>
                </c:pt>
                <c:pt idx="1065">
                  <c:v>45687</c:v>
                </c:pt>
                <c:pt idx="1066">
                  <c:v>45688</c:v>
                </c:pt>
                <c:pt idx="1067">
                  <c:v>45691</c:v>
                </c:pt>
                <c:pt idx="1068">
                  <c:v>45692</c:v>
                </c:pt>
                <c:pt idx="1069">
                  <c:v>45693</c:v>
                </c:pt>
                <c:pt idx="1070">
                  <c:v>45694</c:v>
                </c:pt>
                <c:pt idx="1071">
                  <c:v>45695</c:v>
                </c:pt>
                <c:pt idx="1072">
                  <c:v>45698</c:v>
                </c:pt>
                <c:pt idx="1073">
                  <c:v>45699</c:v>
                </c:pt>
                <c:pt idx="1074">
                  <c:v>45700</c:v>
                </c:pt>
                <c:pt idx="1075">
                  <c:v>45701</c:v>
                </c:pt>
                <c:pt idx="1076">
                  <c:v>45702</c:v>
                </c:pt>
                <c:pt idx="1077">
                  <c:v>45706</c:v>
                </c:pt>
                <c:pt idx="1078">
                  <c:v>45707</c:v>
                </c:pt>
                <c:pt idx="1079">
                  <c:v>45708</c:v>
                </c:pt>
                <c:pt idx="1080">
                  <c:v>45709</c:v>
                </c:pt>
                <c:pt idx="1081">
                  <c:v>45712</c:v>
                </c:pt>
                <c:pt idx="1082">
                  <c:v>45713</c:v>
                </c:pt>
                <c:pt idx="1083">
                  <c:v>45714</c:v>
                </c:pt>
                <c:pt idx="1084">
                  <c:v>45715</c:v>
                </c:pt>
                <c:pt idx="1085">
                  <c:v>45716</c:v>
                </c:pt>
                <c:pt idx="1086">
                  <c:v>45719</c:v>
                </c:pt>
                <c:pt idx="1087">
                  <c:v>45720</c:v>
                </c:pt>
                <c:pt idx="1088">
                  <c:v>45721</c:v>
                </c:pt>
                <c:pt idx="1089">
                  <c:v>45722</c:v>
                </c:pt>
                <c:pt idx="1090">
                  <c:v>45723</c:v>
                </c:pt>
                <c:pt idx="1091">
                  <c:v>45726</c:v>
                </c:pt>
                <c:pt idx="1092">
                  <c:v>45727</c:v>
                </c:pt>
                <c:pt idx="1093">
                  <c:v>45728</c:v>
                </c:pt>
                <c:pt idx="1094">
                  <c:v>45729</c:v>
                </c:pt>
                <c:pt idx="1095">
                  <c:v>45730</c:v>
                </c:pt>
                <c:pt idx="1096">
                  <c:v>45733</c:v>
                </c:pt>
                <c:pt idx="1097">
                  <c:v>45734</c:v>
                </c:pt>
                <c:pt idx="1098">
                  <c:v>45735</c:v>
                </c:pt>
                <c:pt idx="1099">
                  <c:v>45736</c:v>
                </c:pt>
                <c:pt idx="1100">
                  <c:v>45737</c:v>
                </c:pt>
                <c:pt idx="1101">
                  <c:v>45740</c:v>
                </c:pt>
                <c:pt idx="1102">
                  <c:v>45741</c:v>
                </c:pt>
                <c:pt idx="1103">
                  <c:v>45742</c:v>
                </c:pt>
                <c:pt idx="1104">
                  <c:v>45743</c:v>
                </c:pt>
                <c:pt idx="1105">
                  <c:v>45744</c:v>
                </c:pt>
                <c:pt idx="1106">
                  <c:v>45747</c:v>
                </c:pt>
                <c:pt idx="1107">
                  <c:v>45748</c:v>
                </c:pt>
                <c:pt idx="1108">
                  <c:v>45749</c:v>
                </c:pt>
                <c:pt idx="1109">
                  <c:v>45750</c:v>
                </c:pt>
                <c:pt idx="1110">
                  <c:v>45751</c:v>
                </c:pt>
                <c:pt idx="1111">
                  <c:v>45754</c:v>
                </c:pt>
                <c:pt idx="1112">
                  <c:v>45755</c:v>
                </c:pt>
                <c:pt idx="1113">
                  <c:v>45756</c:v>
                </c:pt>
                <c:pt idx="1114">
                  <c:v>45757</c:v>
                </c:pt>
                <c:pt idx="1115">
                  <c:v>45758</c:v>
                </c:pt>
                <c:pt idx="1116">
                  <c:v>45761</c:v>
                </c:pt>
                <c:pt idx="1117">
                  <c:v>45762</c:v>
                </c:pt>
                <c:pt idx="1118">
                  <c:v>45763</c:v>
                </c:pt>
                <c:pt idx="1119">
                  <c:v>45764</c:v>
                </c:pt>
                <c:pt idx="1120">
                  <c:v>45768</c:v>
                </c:pt>
                <c:pt idx="1121">
                  <c:v>45769</c:v>
                </c:pt>
                <c:pt idx="1122">
                  <c:v>45770</c:v>
                </c:pt>
                <c:pt idx="1123">
                  <c:v>45771</c:v>
                </c:pt>
                <c:pt idx="1124">
                  <c:v>45772</c:v>
                </c:pt>
                <c:pt idx="1125">
                  <c:v>45775</c:v>
                </c:pt>
                <c:pt idx="1126">
                  <c:v>45776</c:v>
                </c:pt>
                <c:pt idx="1127">
                  <c:v>45777</c:v>
                </c:pt>
                <c:pt idx="1128">
                  <c:v>45778</c:v>
                </c:pt>
                <c:pt idx="1129">
                  <c:v>45779</c:v>
                </c:pt>
                <c:pt idx="1130">
                  <c:v>45782</c:v>
                </c:pt>
                <c:pt idx="1131">
                  <c:v>45783</c:v>
                </c:pt>
                <c:pt idx="1132">
                  <c:v>45784</c:v>
                </c:pt>
                <c:pt idx="1133">
                  <c:v>45785</c:v>
                </c:pt>
                <c:pt idx="1134">
                  <c:v>45786</c:v>
                </c:pt>
                <c:pt idx="1135">
                  <c:v>45789</c:v>
                </c:pt>
                <c:pt idx="1136">
                  <c:v>45790</c:v>
                </c:pt>
                <c:pt idx="1137">
                  <c:v>45791</c:v>
                </c:pt>
                <c:pt idx="1138">
                  <c:v>45792</c:v>
                </c:pt>
                <c:pt idx="1139">
                  <c:v>45793</c:v>
                </c:pt>
                <c:pt idx="1140">
                  <c:v>45796</c:v>
                </c:pt>
                <c:pt idx="1141">
                  <c:v>45797</c:v>
                </c:pt>
                <c:pt idx="1142">
                  <c:v>45798</c:v>
                </c:pt>
                <c:pt idx="1143">
                  <c:v>45799</c:v>
                </c:pt>
                <c:pt idx="1144">
                  <c:v>45800</c:v>
                </c:pt>
                <c:pt idx="1145">
                  <c:v>45804</c:v>
                </c:pt>
                <c:pt idx="1146">
                  <c:v>45805</c:v>
                </c:pt>
                <c:pt idx="1147">
                  <c:v>45806</c:v>
                </c:pt>
                <c:pt idx="1148">
                  <c:v>45807</c:v>
                </c:pt>
                <c:pt idx="1149">
                  <c:v>45810</c:v>
                </c:pt>
                <c:pt idx="1150">
                  <c:v>45811</c:v>
                </c:pt>
                <c:pt idx="1151">
                  <c:v>45812</c:v>
                </c:pt>
                <c:pt idx="1152">
                  <c:v>45813</c:v>
                </c:pt>
                <c:pt idx="1153">
                  <c:v>45814</c:v>
                </c:pt>
                <c:pt idx="1154">
                  <c:v>45817</c:v>
                </c:pt>
                <c:pt idx="1155">
                  <c:v>45818</c:v>
                </c:pt>
                <c:pt idx="1156">
                  <c:v>45819</c:v>
                </c:pt>
                <c:pt idx="1157">
                  <c:v>45820</c:v>
                </c:pt>
                <c:pt idx="1158">
                  <c:v>45821</c:v>
                </c:pt>
                <c:pt idx="1159">
                  <c:v>45824</c:v>
                </c:pt>
                <c:pt idx="1160">
                  <c:v>45825</c:v>
                </c:pt>
                <c:pt idx="1161">
                  <c:v>45826</c:v>
                </c:pt>
                <c:pt idx="1162">
                  <c:v>45828</c:v>
                </c:pt>
                <c:pt idx="1163">
                  <c:v>45831</c:v>
                </c:pt>
                <c:pt idx="1164">
                  <c:v>45832</c:v>
                </c:pt>
                <c:pt idx="1165">
                  <c:v>45833</c:v>
                </c:pt>
                <c:pt idx="1166">
                  <c:v>45834</c:v>
                </c:pt>
                <c:pt idx="1167">
                  <c:v>45835</c:v>
                </c:pt>
                <c:pt idx="1168">
                  <c:v>45838</c:v>
                </c:pt>
                <c:pt idx="1169">
                  <c:v>45839</c:v>
                </c:pt>
                <c:pt idx="1170">
                  <c:v>45840</c:v>
                </c:pt>
                <c:pt idx="1171">
                  <c:v>45841</c:v>
                </c:pt>
                <c:pt idx="1172">
                  <c:v>45845</c:v>
                </c:pt>
                <c:pt idx="1173">
                  <c:v>45846</c:v>
                </c:pt>
                <c:pt idx="1174">
                  <c:v>45847</c:v>
                </c:pt>
                <c:pt idx="1175">
                  <c:v>45848</c:v>
                </c:pt>
                <c:pt idx="1176">
                  <c:v>45849</c:v>
                </c:pt>
                <c:pt idx="1177">
                  <c:v>45852</c:v>
                </c:pt>
                <c:pt idx="1178">
                  <c:v>45853</c:v>
                </c:pt>
                <c:pt idx="1179">
                  <c:v>45854</c:v>
                </c:pt>
                <c:pt idx="1180">
                  <c:v>45855</c:v>
                </c:pt>
                <c:pt idx="1181">
                  <c:v>45856</c:v>
                </c:pt>
                <c:pt idx="1182">
                  <c:v>45859</c:v>
                </c:pt>
                <c:pt idx="1183">
                  <c:v>45860</c:v>
                </c:pt>
                <c:pt idx="1184">
                  <c:v>45861</c:v>
                </c:pt>
                <c:pt idx="1185">
                  <c:v>45862</c:v>
                </c:pt>
                <c:pt idx="1186">
                  <c:v>45863</c:v>
                </c:pt>
                <c:pt idx="1187">
                  <c:v>45866</c:v>
                </c:pt>
                <c:pt idx="1188">
                  <c:v>45867</c:v>
                </c:pt>
                <c:pt idx="1189">
                  <c:v>45868</c:v>
                </c:pt>
                <c:pt idx="1190">
                  <c:v>45869</c:v>
                </c:pt>
                <c:pt idx="1191">
                  <c:v>45870</c:v>
                </c:pt>
                <c:pt idx="1192">
                  <c:v>45873</c:v>
                </c:pt>
                <c:pt idx="1193">
                  <c:v>45874</c:v>
                </c:pt>
                <c:pt idx="1194">
                  <c:v>45875</c:v>
                </c:pt>
                <c:pt idx="1195">
                  <c:v>45876</c:v>
                </c:pt>
                <c:pt idx="1196">
                  <c:v>45877</c:v>
                </c:pt>
                <c:pt idx="1197">
                  <c:v>45880</c:v>
                </c:pt>
                <c:pt idx="1198">
                  <c:v>45881</c:v>
                </c:pt>
                <c:pt idx="1199">
                  <c:v>45882</c:v>
                </c:pt>
                <c:pt idx="1200">
                  <c:v>45883</c:v>
                </c:pt>
                <c:pt idx="1201">
                  <c:v>45884</c:v>
                </c:pt>
                <c:pt idx="1202">
                  <c:v>45887</c:v>
                </c:pt>
                <c:pt idx="1203">
                  <c:v>45888</c:v>
                </c:pt>
                <c:pt idx="1204">
                  <c:v>45889</c:v>
                </c:pt>
                <c:pt idx="1205">
                  <c:v>45890</c:v>
                </c:pt>
                <c:pt idx="1206">
                  <c:v>45891</c:v>
                </c:pt>
                <c:pt idx="1207">
                  <c:v>45894</c:v>
                </c:pt>
                <c:pt idx="1208">
                  <c:v>45895</c:v>
                </c:pt>
                <c:pt idx="1209">
                  <c:v>45896</c:v>
                </c:pt>
                <c:pt idx="1210">
                  <c:v>45897</c:v>
                </c:pt>
                <c:pt idx="1211">
                  <c:v>45898</c:v>
                </c:pt>
                <c:pt idx="1212">
                  <c:v>45902</c:v>
                </c:pt>
                <c:pt idx="1213">
                  <c:v>45903</c:v>
                </c:pt>
                <c:pt idx="1214">
                  <c:v>45904</c:v>
                </c:pt>
                <c:pt idx="1215">
                  <c:v>45905</c:v>
                </c:pt>
                <c:pt idx="1216">
                  <c:v>45908</c:v>
                </c:pt>
                <c:pt idx="1217">
                  <c:v>45909</c:v>
                </c:pt>
                <c:pt idx="1218">
                  <c:v>45910</c:v>
                </c:pt>
                <c:pt idx="1219">
                  <c:v>45911</c:v>
                </c:pt>
                <c:pt idx="1220">
                  <c:v>45912</c:v>
                </c:pt>
                <c:pt idx="1221">
                  <c:v>45915</c:v>
                </c:pt>
                <c:pt idx="1222">
                  <c:v>45916</c:v>
                </c:pt>
                <c:pt idx="1223">
                  <c:v>45917</c:v>
                </c:pt>
                <c:pt idx="1224">
                  <c:v>45918</c:v>
                </c:pt>
                <c:pt idx="1225">
                  <c:v>45919</c:v>
                </c:pt>
                <c:pt idx="1226">
                  <c:v>45922</c:v>
                </c:pt>
                <c:pt idx="1227">
                  <c:v>45923</c:v>
                </c:pt>
                <c:pt idx="1228">
                  <c:v>45924</c:v>
                </c:pt>
                <c:pt idx="1229">
                  <c:v>45925</c:v>
                </c:pt>
                <c:pt idx="1230">
                  <c:v>45926</c:v>
                </c:pt>
                <c:pt idx="1231">
                  <c:v>45929</c:v>
                </c:pt>
                <c:pt idx="1232">
                  <c:v>45930</c:v>
                </c:pt>
                <c:pt idx="1233">
                  <c:v>45931</c:v>
                </c:pt>
                <c:pt idx="1234">
                  <c:v>45932</c:v>
                </c:pt>
                <c:pt idx="1235">
                  <c:v>45933</c:v>
                </c:pt>
                <c:pt idx="1236">
                  <c:v>45936</c:v>
                </c:pt>
                <c:pt idx="1237">
                  <c:v>45937</c:v>
                </c:pt>
                <c:pt idx="1238">
                  <c:v>45938</c:v>
                </c:pt>
                <c:pt idx="1239">
                  <c:v>45939</c:v>
                </c:pt>
                <c:pt idx="1240">
                  <c:v>45940</c:v>
                </c:pt>
                <c:pt idx="1241">
                  <c:v>45943</c:v>
                </c:pt>
                <c:pt idx="1242">
                  <c:v>45944</c:v>
                </c:pt>
                <c:pt idx="1243">
                  <c:v>45945</c:v>
                </c:pt>
                <c:pt idx="1244">
                  <c:v>45946</c:v>
                </c:pt>
                <c:pt idx="1245">
                  <c:v>45947</c:v>
                </c:pt>
                <c:pt idx="1246">
                  <c:v>45950</c:v>
                </c:pt>
                <c:pt idx="1247">
                  <c:v>45951</c:v>
                </c:pt>
                <c:pt idx="1248">
                  <c:v>45952</c:v>
                </c:pt>
                <c:pt idx="1249">
                  <c:v>45953</c:v>
                </c:pt>
                <c:pt idx="1250">
                  <c:v>45954</c:v>
                </c:pt>
                <c:pt idx="1251">
                  <c:v>45957</c:v>
                </c:pt>
                <c:pt idx="1252">
                  <c:v>45958</c:v>
                </c:pt>
                <c:pt idx="1253">
                  <c:v>45959</c:v>
                </c:pt>
                <c:pt idx="1254">
                  <c:v>45960</c:v>
                </c:pt>
                <c:pt idx="1255">
                  <c:v>45961</c:v>
                </c:pt>
              </c:numCache>
            </c:numRef>
          </c:cat>
          <c:val>
            <c:numRef>
              <c:f>SPY_close_price!$C$3:$C$1258</c:f>
              <c:numCache>
                <c:formatCode>General</c:formatCode>
                <c:ptCount val="1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363.67958333333326</c:v>
                </c:pt>
                <c:pt idx="48">
                  <c:v>363.98755102040809</c:v>
                </c:pt>
                <c:pt idx="49">
                  <c:v>364.30359999999996</c:v>
                </c:pt>
                <c:pt idx="50">
                  <c:v>365.2688</c:v>
                </c:pt>
                <c:pt idx="51">
                  <c:v>366.06219999999996</c:v>
                </c:pt>
                <c:pt idx="52">
                  <c:v>366.76440000000002</c:v>
                </c:pt>
                <c:pt idx="53">
                  <c:v>367.43739999999997</c:v>
                </c:pt>
                <c:pt idx="54">
                  <c:v>368.11900000000003</c:v>
                </c:pt>
                <c:pt idx="55">
                  <c:v>368.68540000000007</c:v>
                </c:pt>
                <c:pt idx="56">
                  <c:v>369.29240000000004</c:v>
                </c:pt>
                <c:pt idx="57">
                  <c:v>369.83480000000003</c:v>
                </c:pt>
                <c:pt idx="58">
                  <c:v>370.25880000000006</c:v>
                </c:pt>
                <c:pt idx="59">
                  <c:v>370.64940000000007</c:v>
                </c:pt>
                <c:pt idx="60">
                  <c:v>370.79940000000005</c:v>
                </c:pt>
                <c:pt idx="61">
                  <c:v>371.11160000000001</c:v>
                </c:pt>
                <c:pt idx="62">
                  <c:v>371.61699999999996</c:v>
                </c:pt>
                <c:pt idx="63">
                  <c:v>372.09839999999997</c:v>
                </c:pt>
                <c:pt idx="64">
                  <c:v>372.71559999999988</c:v>
                </c:pt>
                <c:pt idx="65">
                  <c:v>373.32059999999984</c:v>
                </c:pt>
                <c:pt idx="66">
                  <c:v>373.86639999999983</c:v>
                </c:pt>
                <c:pt idx="67">
                  <c:v>374.41819999999984</c:v>
                </c:pt>
                <c:pt idx="68">
                  <c:v>374.94639999999993</c:v>
                </c:pt>
                <c:pt idx="69">
                  <c:v>375.51939999999991</c:v>
                </c:pt>
                <c:pt idx="70">
                  <c:v>376.05179999999996</c:v>
                </c:pt>
                <c:pt idx="71">
                  <c:v>376.5619999999999</c:v>
                </c:pt>
                <c:pt idx="72">
                  <c:v>377.07599999999991</c:v>
                </c:pt>
                <c:pt idx="73">
                  <c:v>377.49339999999995</c:v>
                </c:pt>
                <c:pt idx="74">
                  <c:v>377.91219999999993</c:v>
                </c:pt>
                <c:pt idx="75">
                  <c:v>378.24939999999987</c:v>
                </c:pt>
                <c:pt idx="76">
                  <c:v>378.66239999999993</c:v>
                </c:pt>
                <c:pt idx="77">
                  <c:v>379.16319999999985</c:v>
                </c:pt>
                <c:pt idx="78">
                  <c:v>379.48379999999997</c:v>
                </c:pt>
                <c:pt idx="79">
                  <c:v>379.79779999999994</c:v>
                </c:pt>
                <c:pt idx="80">
                  <c:v>380.19759999999997</c:v>
                </c:pt>
                <c:pt idx="81">
                  <c:v>380.52499999999998</c:v>
                </c:pt>
                <c:pt idx="82">
                  <c:v>380.70859999999993</c:v>
                </c:pt>
                <c:pt idx="83">
                  <c:v>380.85899999999992</c:v>
                </c:pt>
                <c:pt idx="84">
                  <c:v>381.17440000000005</c:v>
                </c:pt>
                <c:pt idx="85">
                  <c:v>381.464</c:v>
                </c:pt>
                <c:pt idx="86">
                  <c:v>381.85599999999999</c:v>
                </c:pt>
                <c:pt idx="87">
                  <c:v>382.26760000000002</c:v>
                </c:pt>
                <c:pt idx="88">
                  <c:v>382.69479999999999</c:v>
                </c:pt>
                <c:pt idx="89">
                  <c:v>383.14679999999998</c:v>
                </c:pt>
                <c:pt idx="90">
                  <c:v>383.63520000000005</c:v>
                </c:pt>
                <c:pt idx="91">
                  <c:v>384.07580000000002</c:v>
                </c:pt>
                <c:pt idx="92">
                  <c:v>384.64519999999999</c:v>
                </c:pt>
                <c:pt idx="93">
                  <c:v>385.04819999999995</c:v>
                </c:pt>
                <c:pt idx="94">
                  <c:v>385.36679999999996</c:v>
                </c:pt>
                <c:pt idx="95">
                  <c:v>385.63659999999999</c:v>
                </c:pt>
                <c:pt idx="96">
                  <c:v>385.8014</c:v>
                </c:pt>
                <c:pt idx="97">
                  <c:v>385.97799999999995</c:v>
                </c:pt>
                <c:pt idx="98">
                  <c:v>386.19659999999999</c:v>
                </c:pt>
                <c:pt idx="99">
                  <c:v>386.5204</c:v>
                </c:pt>
                <c:pt idx="100">
                  <c:v>386.86680000000001</c:v>
                </c:pt>
                <c:pt idx="101">
                  <c:v>387.24740000000003</c:v>
                </c:pt>
                <c:pt idx="102">
                  <c:v>387.60100000000006</c:v>
                </c:pt>
                <c:pt idx="103">
                  <c:v>387.93540000000007</c:v>
                </c:pt>
                <c:pt idx="104">
                  <c:v>388.37780000000004</c:v>
                </c:pt>
                <c:pt idx="105">
                  <c:v>388.8426</c:v>
                </c:pt>
                <c:pt idx="106">
                  <c:v>389.28660000000002</c:v>
                </c:pt>
                <c:pt idx="107">
                  <c:v>389.78120000000001</c:v>
                </c:pt>
                <c:pt idx="108">
                  <c:v>390.52280000000013</c:v>
                </c:pt>
                <c:pt idx="109">
                  <c:v>391.20300000000003</c:v>
                </c:pt>
                <c:pt idx="110">
                  <c:v>392.05879999999996</c:v>
                </c:pt>
                <c:pt idx="111">
                  <c:v>392.76319999999998</c:v>
                </c:pt>
                <c:pt idx="112">
                  <c:v>393.44959999999998</c:v>
                </c:pt>
                <c:pt idx="113">
                  <c:v>394.15780000000001</c:v>
                </c:pt>
                <c:pt idx="114">
                  <c:v>394.73820000000001</c:v>
                </c:pt>
                <c:pt idx="115">
                  <c:v>395.22739999999999</c:v>
                </c:pt>
                <c:pt idx="116">
                  <c:v>395.73859999999991</c:v>
                </c:pt>
                <c:pt idx="117">
                  <c:v>396.17899999999992</c:v>
                </c:pt>
                <c:pt idx="118">
                  <c:v>396.7122</c:v>
                </c:pt>
                <c:pt idx="119">
                  <c:v>397.25019999999995</c:v>
                </c:pt>
                <c:pt idx="120">
                  <c:v>397.74780000000004</c:v>
                </c:pt>
                <c:pt idx="121">
                  <c:v>398.24980000000011</c:v>
                </c:pt>
                <c:pt idx="122">
                  <c:v>398.80320000000023</c:v>
                </c:pt>
                <c:pt idx="123">
                  <c:v>399.3348000000002</c:v>
                </c:pt>
                <c:pt idx="124">
                  <c:v>399.8982000000002</c:v>
                </c:pt>
                <c:pt idx="125">
                  <c:v>400.47000000000014</c:v>
                </c:pt>
                <c:pt idx="126">
                  <c:v>401.03500000000014</c:v>
                </c:pt>
                <c:pt idx="127">
                  <c:v>401.58100000000013</c:v>
                </c:pt>
                <c:pt idx="128">
                  <c:v>402.37680000000006</c:v>
                </c:pt>
                <c:pt idx="129">
                  <c:v>403.12840000000006</c:v>
                </c:pt>
                <c:pt idx="130">
                  <c:v>403.62100000000004</c:v>
                </c:pt>
                <c:pt idx="131">
                  <c:v>403.99839999999995</c:v>
                </c:pt>
                <c:pt idx="132">
                  <c:v>404.57559999999995</c:v>
                </c:pt>
                <c:pt idx="133">
                  <c:v>405.37319999999994</c:v>
                </c:pt>
                <c:pt idx="134">
                  <c:v>406.01099999999997</c:v>
                </c:pt>
                <c:pt idx="135">
                  <c:v>406.61539999999991</c:v>
                </c:pt>
                <c:pt idx="136">
                  <c:v>407.08920000000001</c:v>
                </c:pt>
                <c:pt idx="137">
                  <c:v>407.6031999999999</c:v>
                </c:pt>
                <c:pt idx="138">
                  <c:v>408.03139999999991</c:v>
                </c:pt>
                <c:pt idx="139">
                  <c:v>408.53359999999992</c:v>
                </c:pt>
                <c:pt idx="140">
                  <c:v>408.97019999999998</c:v>
                </c:pt>
                <c:pt idx="141">
                  <c:v>409.43339999999995</c:v>
                </c:pt>
                <c:pt idx="142">
                  <c:v>409.87399999999997</c:v>
                </c:pt>
                <c:pt idx="143">
                  <c:v>410.44519999999994</c:v>
                </c:pt>
                <c:pt idx="144">
                  <c:v>411.04899999999992</c:v>
                </c:pt>
                <c:pt idx="145">
                  <c:v>411.60380000000004</c:v>
                </c:pt>
                <c:pt idx="146">
                  <c:v>412.18919999999997</c:v>
                </c:pt>
                <c:pt idx="147">
                  <c:v>412.89080000000001</c:v>
                </c:pt>
                <c:pt idx="148">
                  <c:v>413.54060000000004</c:v>
                </c:pt>
                <c:pt idx="149">
                  <c:v>414.06660000000005</c:v>
                </c:pt>
                <c:pt idx="150">
                  <c:v>414.584</c:v>
                </c:pt>
                <c:pt idx="151">
                  <c:v>415.16160000000002</c:v>
                </c:pt>
                <c:pt idx="152">
                  <c:v>415.72120000000001</c:v>
                </c:pt>
                <c:pt idx="153">
                  <c:v>416.21420000000006</c:v>
                </c:pt>
                <c:pt idx="154">
                  <c:v>416.5766000000001</c:v>
                </c:pt>
                <c:pt idx="155">
                  <c:v>416.89640000000009</c:v>
                </c:pt>
                <c:pt idx="156">
                  <c:v>417.20400000000001</c:v>
                </c:pt>
                <c:pt idx="157">
                  <c:v>417.33200000000005</c:v>
                </c:pt>
                <c:pt idx="158">
                  <c:v>417.51940000000008</c:v>
                </c:pt>
                <c:pt idx="159">
                  <c:v>417.74880000000013</c:v>
                </c:pt>
                <c:pt idx="160">
                  <c:v>417.94360000000006</c:v>
                </c:pt>
                <c:pt idx="161">
                  <c:v>418.21660000000003</c:v>
                </c:pt>
                <c:pt idx="162">
                  <c:v>418.43140000000005</c:v>
                </c:pt>
                <c:pt idx="163">
                  <c:v>418.63560000000007</c:v>
                </c:pt>
                <c:pt idx="164">
                  <c:v>418.88540000000006</c:v>
                </c:pt>
                <c:pt idx="165">
                  <c:v>419.20320000000009</c:v>
                </c:pt>
                <c:pt idx="166">
                  <c:v>419.49040000000008</c:v>
                </c:pt>
                <c:pt idx="167">
                  <c:v>419.91940000000011</c:v>
                </c:pt>
                <c:pt idx="168">
                  <c:v>420.24320000000006</c:v>
                </c:pt>
                <c:pt idx="169">
                  <c:v>420.58020000000005</c:v>
                </c:pt>
                <c:pt idx="170">
                  <c:v>420.84820000000008</c:v>
                </c:pt>
                <c:pt idx="171">
                  <c:v>421.21060000000011</c:v>
                </c:pt>
                <c:pt idx="172">
                  <c:v>421.55100000000016</c:v>
                </c:pt>
                <c:pt idx="173">
                  <c:v>421.91680000000008</c:v>
                </c:pt>
                <c:pt idx="174">
                  <c:v>422.27760000000012</c:v>
                </c:pt>
                <c:pt idx="175">
                  <c:v>422.66020000000009</c:v>
                </c:pt>
                <c:pt idx="176">
                  <c:v>422.97200000000004</c:v>
                </c:pt>
                <c:pt idx="177">
                  <c:v>423.09000000000015</c:v>
                </c:pt>
                <c:pt idx="178">
                  <c:v>423.26880000000011</c:v>
                </c:pt>
                <c:pt idx="179">
                  <c:v>423.60100000000006</c:v>
                </c:pt>
                <c:pt idx="180">
                  <c:v>424.02600000000007</c:v>
                </c:pt>
                <c:pt idx="181">
                  <c:v>424.71660000000003</c:v>
                </c:pt>
                <c:pt idx="182">
                  <c:v>425.33140000000009</c:v>
                </c:pt>
                <c:pt idx="183">
                  <c:v>425.78000000000009</c:v>
                </c:pt>
                <c:pt idx="184">
                  <c:v>426.24620000000004</c:v>
                </c:pt>
                <c:pt idx="185">
                  <c:v>426.82040000000006</c:v>
                </c:pt>
                <c:pt idx="186">
                  <c:v>427.37340000000006</c:v>
                </c:pt>
                <c:pt idx="187">
                  <c:v>427.81959999999998</c:v>
                </c:pt>
                <c:pt idx="188">
                  <c:v>428.34380000000004</c:v>
                </c:pt>
                <c:pt idx="189">
                  <c:v>428.73999999999995</c:v>
                </c:pt>
                <c:pt idx="190">
                  <c:v>429.21039999999994</c:v>
                </c:pt>
                <c:pt idx="191">
                  <c:v>429.67879999999997</c:v>
                </c:pt>
                <c:pt idx="192">
                  <c:v>430.13559999999995</c:v>
                </c:pt>
                <c:pt idx="193">
                  <c:v>430.58839999999998</c:v>
                </c:pt>
                <c:pt idx="194">
                  <c:v>431.07059999999996</c:v>
                </c:pt>
                <c:pt idx="195">
                  <c:v>431.56620000000004</c:v>
                </c:pt>
                <c:pt idx="196">
                  <c:v>432.10919999999993</c:v>
                </c:pt>
                <c:pt idx="197">
                  <c:v>432.59659999999997</c:v>
                </c:pt>
                <c:pt idx="198">
                  <c:v>433.03359999999998</c:v>
                </c:pt>
                <c:pt idx="199">
                  <c:v>433.37160000000006</c:v>
                </c:pt>
                <c:pt idx="200">
                  <c:v>433.73580000000004</c:v>
                </c:pt>
                <c:pt idx="201">
                  <c:v>434.13080000000002</c:v>
                </c:pt>
                <c:pt idx="202">
                  <c:v>434.58980000000003</c:v>
                </c:pt>
                <c:pt idx="203">
                  <c:v>435.04400000000004</c:v>
                </c:pt>
                <c:pt idx="204">
                  <c:v>435.5326</c:v>
                </c:pt>
                <c:pt idx="205">
                  <c:v>436.01559999999989</c:v>
                </c:pt>
                <c:pt idx="206">
                  <c:v>436.58119999999997</c:v>
                </c:pt>
                <c:pt idx="207">
                  <c:v>437.3273999999999</c:v>
                </c:pt>
                <c:pt idx="208">
                  <c:v>437.94140000000004</c:v>
                </c:pt>
                <c:pt idx="209">
                  <c:v>438.51519999999999</c:v>
                </c:pt>
                <c:pt idx="210">
                  <c:v>439.12699999999995</c:v>
                </c:pt>
                <c:pt idx="211">
                  <c:v>439.68660000000006</c:v>
                </c:pt>
                <c:pt idx="212">
                  <c:v>440.18360000000001</c:v>
                </c:pt>
                <c:pt idx="213">
                  <c:v>440.6524</c:v>
                </c:pt>
                <c:pt idx="214">
                  <c:v>441.07800000000003</c:v>
                </c:pt>
                <c:pt idx="215">
                  <c:v>441.42559999999997</c:v>
                </c:pt>
                <c:pt idx="216">
                  <c:v>441.74860000000001</c:v>
                </c:pt>
                <c:pt idx="217">
                  <c:v>441.95759999999996</c:v>
                </c:pt>
                <c:pt idx="218">
                  <c:v>442.25660000000005</c:v>
                </c:pt>
                <c:pt idx="219">
                  <c:v>442.51079999999996</c:v>
                </c:pt>
                <c:pt idx="220">
                  <c:v>442.72039999999993</c:v>
                </c:pt>
                <c:pt idx="221">
                  <c:v>442.69080000000002</c:v>
                </c:pt>
                <c:pt idx="222">
                  <c:v>442.62180000000001</c:v>
                </c:pt>
                <c:pt idx="223">
                  <c:v>442.66720000000004</c:v>
                </c:pt>
                <c:pt idx="224">
                  <c:v>442.80600000000004</c:v>
                </c:pt>
                <c:pt idx="225">
                  <c:v>442.98920000000004</c:v>
                </c:pt>
                <c:pt idx="226">
                  <c:v>443.21520000000004</c:v>
                </c:pt>
                <c:pt idx="227">
                  <c:v>443.39020000000005</c:v>
                </c:pt>
                <c:pt idx="228">
                  <c:v>443.45800000000008</c:v>
                </c:pt>
                <c:pt idx="229">
                  <c:v>443.34980000000002</c:v>
                </c:pt>
                <c:pt idx="230">
                  <c:v>443.32540000000006</c:v>
                </c:pt>
                <c:pt idx="231">
                  <c:v>443.0994</c:v>
                </c:pt>
                <c:pt idx="232">
                  <c:v>442.94099999999997</c:v>
                </c:pt>
                <c:pt idx="233">
                  <c:v>442.85880000000003</c:v>
                </c:pt>
                <c:pt idx="234">
                  <c:v>442.85540000000003</c:v>
                </c:pt>
                <c:pt idx="235">
                  <c:v>442.7996</c:v>
                </c:pt>
                <c:pt idx="236">
                  <c:v>442.72319999999991</c:v>
                </c:pt>
                <c:pt idx="237">
                  <c:v>442.64379999999989</c:v>
                </c:pt>
                <c:pt idx="238">
                  <c:v>442.52439999999996</c:v>
                </c:pt>
                <c:pt idx="239">
                  <c:v>442.59479999999996</c:v>
                </c:pt>
                <c:pt idx="240">
                  <c:v>442.67699999999996</c:v>
                </c:pt>
                <c:pt idx="241">
                  <c:v>442.7709999999999</c:v>
                </c:pt>
                <c:pt idx="242">
                  <c:v>442.94119999999998</c:v>
                </c:pt>
                <c:pt idx="243">
                  <c:v>443.13579999999985</c:v>
                </c:pt>
                <c:pt idx="244">
                  <c:v>443.33199999999988</c:v>
                </c:pt>
                <c:pt idx="245">
                  <c:v>443.49219999999985</c:v>
                </c:pt>
                <c:pt idx="246">
                  <c:v>443.68479999999988</c:v>
                </c:pt>
                <c:pt idx="247">
                  <c:v>443.86459999999983</c:v>
                </c:pt>
                <c:pt idx="248">
                  <c:v>444.06259999999975</c:v>
                </c:pt>
                <c:pt idx="249">
                  <c:v>444.44539999999978</c:v>
                </c:pt>
                <c:pt idx="250">
                  <c:v>444.83319999999986</c:v>
                </c:pt>
                <c:pt idx="251">
                  <c:v>445.16679999999985</c:v>
                </c:pt>
                <c:pt idx="252">
                  <c:v>445.45959999999991</c:v>
                </c:pt>
                <c:pt idx="253">
                  <c:v>445.7946</c:v>
                </c:pt>
                <c:pt idx="254">
                  <c:v>446.15460000000002</c:v>
                </c:pt>
                <c:pt idx="255">
                  <c:v>446.6</c:v>
                </c:pt>
                <c:pt idx="256">
                  <c:v>446.97360000000003</c:v>
                </c:pt>
                <c:pt idx="257">
                  <c:v>447.27660000000003</c:v>
                </c:pt>
                <c:pt idx="258">
                  <c:v>447.51780000000008</c:v>
                </c:pt>
                <c:pt idx="259">
                  <c:v>447.75720000000007</c:v>
                </c:pt>
                <c:pt idx="260">
                  <c:v>448.03880000000004</c:v>
                </c:pt>
                <c:pt idx="261">
                  <c:v>448.32580000000019</c:v>
                </c:pt>
                <c:pt idx="262">
                  <c:v>448.68220000000008</c:v>
                </c:pt>
                <c:pt idx="263">
                  <c:v>449.02680000000015</c:v>
                </c:pt>
                <c:pt idx="264">
                  <c:v>449.44180000000006</c:v>
                </c:pt>
                <c:pt idx="265">
                  <c:v>449.91080000000011</c:v>
                </c:pt>
                <c:pt idx="266">
                  <c:v>450.3306</c:v>
                </c:pt>
                <c:pt idx="267">
                  <c:v>450.81099999999992</c:v>
                </c:pt>
                <c:pt idx="268">
                  <c:v>451.24219999999985</c:v>
                </c:pt>
                <c:pt idx="269">
                  <c:v>451.4781999999999</c:v>
                </c:pt>
                <c:pt idx="270">
                  <c:v>451.94219999999984</c:v>
                </c:pt>
                <c:pt idx="271">
                  <c:v>452.37259999999992</c:v>
                </c:pt>
                <c:pt idx="272">
                  <c:v>452.70999999999987</c:v>
                </c:pt>
                <c:pt idx="273">
                  <c:v>453.10079999999988</c:v>
                </c:pt>
                <c:pt idx="274">
                  <c:v>453.30559999999991</c:v>
                </c:pt>
                <c:pt idx="275">
                  <c:v>453.6031999999999</c:v>
                </c:pt>
                <c:pt idx="276">
                  <c:v>454.11599999999999</c:v>
                </c:pt>
                <c:pt idx="277">
                  <c:v>454.83199999999999</c:v>
                </c:pt>
                <c:pt idx="278">
                  <c:v>455.46999999999991</c:v>
                </c:pt>
                <c:pt idx="279">
                  <c:v>456.30199999999996</c:v>
                </c:pt>
                <c:pt idx="280">
                  <c:v>456.9486</c:v>
                </c:pt>
                <c:pt idx="281">
                  <c:v>457.64299999999997</c:v>
                </c:pt>
                <c:pt idx="282">
                  <c:v>458.39299999999997</c:v>
                </c:pt>
                <c:pt idx="283">
                  <c:v>459.024</c:v>
                </c:pt>
                <c:pt idx="284">
                  <c:v>459.44819999999999</c:v>
                </c:pt>
                <c:pt idx="285">
                  <c:v>459.79059999999998</c:v>
                </c:pt>
                <c:pt idx="286">
                  <c:v>460.358</c:v>
                </c:pt>
                <c:pt idx="287">
                  <c:v>461.03939999999994</c:v>
                </c:pt>
                <c:pt idx="288">
                  <c:v>461.74779999999993</c:v>
                </c:pt>
                <c:pt idx="289">
                  <c:v>462.44299999999987</c:v>
                </c:pt>
                <c:pt idx="290">
                  <c:v>463.06299999999987</c:v>
                </c:pt>
                <c:pt idx="291">
                  <c:v>463.66879999999992</c:v>
                </c:pt>
                <c:pt idx="292">
                  <c:v>464.17919999999992</c:v>
                </c:pt>
                <c:pt idx="293">
                  <c:v>464.63019999999989</c:v>
                </c:pt>
                <c:pt idx="294">
                  <c:v>465.11259999999987</c:v>
                </c:pt>
                <c:pt idx="295">
                  <c:v>465.60119999999984</c:v>
                </c:pt>
                <c:pt idx="296">
                  <c:v>465.85779999999994</c:v>
                </c:pt>
                <c:pt idx="297">
                  <c:v>466.09739999999982</c:v>
                </c:pt>
                <c:pt idx="298">
                  <c:v>466.34039999999993</c:v>
                </c:pt>
                <c:pt idx="299">
                  <c:v>466.48419999999993</c:v>
                </c:pt>
                <c:pt idx="300">
                  <c:v>466.69419999999985</c:v>
                </c:pt>
                <c:pt idx="301">
                  <c:v>466.91379999999992</c:v>
                </c:pt>
                <c:pt idx="302">
                  <c:v>466.96639999999991</c:v>
                </c:pt>
                <c:pt idx="303">
                  <c:v>466.96639999999991</c:v>
                </c:pt>
                <c:pt idx="304">
                  <c:v>466.75800000000004</c:v>
                </c:pt>
                <c:pt idx="305">
                  <c:v>466.42240000000004</c:v>
                </c:pt>
                <c:pt idx="306">
                  <c:v>465.97880000000004</c:v>
                </c:pt>
                <c:pt idx="307">
                  <c:v>465.39080000000001</c:v>
                </c:pt>
                <c:pt idx="308">
                  <c:v>464.91520000000003</c:v>
                </c:pt>
                <c:pt idx="309">
                  <c:v>464.32920000000007</c:v>
                </c:pt>
                <c:pt idx="310">
                  <c:v>463.65140000000008</c:v>
                </c:pt>
                <c:pt idx="311">
                  <c:v>462.9276000000001</c:v>
                </c:pt>
                <c:pt idx="312">
                  <c:v>462.38100000000009</c:v>
                </c:pt>
                <c:pt idx="313">
                  <c:v>462.01640000000009</c:v>
                </c:pt>
                <c:pt idx="314">
                  <c:v>461.68080000000009</c:v>
                </c:pt>
                <c:pt idx="315">
                  <c:v>461.45000000000005</c:v>
                </c:pt>
                <c:pt idx="316">
                  <c:v>461.03060000000005</c:v>
                </c:pt>
                <c:pt idx="317">
                  <c:v>460.64080000000007</c:v>
                </c:pt>
                <c:pt idx="318">
                  <c:v>460.19720000000001</c:v>
                </c:pt>
                <c:pt idx="319">
                  <c:v>460.03659999999996</c:v>
                </c:pt>
                <c:pt idx="320">
                  <c:v>459.89539999999994</c:v>
                </c:pt>
                <c:pt idx="321">
                  <c:v>459.7706</c:v>
                </c:pt>
                <c:pt idx="322">
                  <c:v>459.56979999999999</c:v>
                </c:pt>
                <c:pt idx="323">
                  <c:v>459.20219999999995</c:v>
                </c:pt>
                <c:pt idx="324">
                  <c:v>459.05579999999986</c:v>
                </c:pt>
                <c:pt idx="325">
                  <c:v>458.81199999999984</c:v>
                </c:pt>
                <c:pt idx="326">
                  <c:v>458.1875999999998</c:v>
                </c:pt>
                <c:pt idx="327">
                  <c:v>457.48179999999985</c:v>
                </c:pt>
                <c:pt idx="328">
                  <c:v>456.74619999999987</c:v>
                </c:pt>
                <c:pt idx="329">
                  <c:v>455.77039999999994</c:v>
                </c:pt>
                <c:pt idx="330">
                  <c:v>455.00499999999988</c:v>
                </c:pt>
                <c:pt idx="331">
                  <c:v>454.49279999999993</c:v>
                </c:pt>
                <c:pt idx="332">
                  <c:v>453.81339999999994</c:v>
                </c:pt>
                <c:pt idx="333">
                  <c:v>453.084</c:v>
                </c:pt>
                <c:pt idx="334">
                  <c:v>452.64439999999996</c:v>
                </c:pt>
                <c:pt idx="335">
                  <c:v>452.25900000000001</c:v>
                </c:pt>
                <c:pt idx="336">
                  <c:v>451.64119999999997</c:v>
                </c:pt>
                <c:pt idx="337">
                  <c:v>450.67599999999993</c:v>
                </c:pt>
                <c:pt idx="338">
                  <c:v>449.58899999999994</c:v>
                </c:pt>
                <c:pt idx="339">
                  <c:v>448.59199999999998</c:v>
                </c:pt>
                <c:pt idx="340">
                  <c:v>447.56419999999997</c:v>
                </c:pt>
                <c:pt idx="341">
                  <c:v>446.416</c:v>
                </c:pt>
                <c:pt idx="342">
                  <c:v>445.2328</c:v>
                </c:pt>
                <c:pt idx="343">
                  <c:v>444.25699999999995</c:v>
                </c:pt>
                <c:pt idx="344">
                  <c:v>443.41519999999997</c:v>
                </c:pt>
                <c:pt idx="345">
                  <c:v>442.68559999999991</c:v>
                </c:pt>
                <c:pt idx="346">
                  <c:v>442.20839999999987</c:v>
                </c:pt>
                <c:pt idx="347">
                  <c:v>441.73739999999992</c:v>
                </c:pt>
                <c:pt idx="348">
                  <c:v>441.40739999999988</c:v>
                </c:pt>
                <c:pt idx="349">
                  <c:v>440.97319999999985</c:v>
                </c:pt>
                <c:pt idx="350">
                  <c:v>440.58799999999991</c:v>
                </c:pt>
                <c:pt idx="351">
                  <c:v>440.22139999999985</c:v>
                </c:pt>
                <c:pt idx="352">
                  <c:v>440.04899999999986</c:v>
                </c:pt>
                <c:pt idx="353">
                  <c:v>439.98559999999981</c:v>
                </c:pt>
                <c:pt idx="354">
                  <c:v>440.02979999999991</c:v>
                </c:pt>
                <c:pt idx="355">
                  <c:v>440.02759999999989</c:v>
                </c:pt>
                <c:pt idx="356">
                  <c:v>440.15099999999984</c:v>
                </c:pt>
                <c:pt idx="357">
                  <c:v>440.52739999999983</c:v>
                </c:pt>
                <c:pt idx="358">
                  <c:v>440.75119999999981</c:v>
                </c:pt>
                <c:pt idx="359">
                  <c:v>440.99219999999985</c:v>
                </c:pt>
                <c:pt idx="360">
                  <c:v>441.29999999999984</c:v>
                </c:pt>
                <c:pt idx="361">
                  <c:v>441.62659999999988</c:v>
                </c:pt>
                <c:pt idx="362">
                  <c:v>441.58599999999984</c:v>
                </c:pt>
                <c:pt idx="363">
                  <c:v>441.35359999999986</c:v>
                </c:pt>
                <c:pt idx="364">
                  <c:v>441.16079999999994</c:v>
                </c:pt>
                <c:pt idx="365">
                  <c:v>440.76959999999991</c:v>
                </c:pt>
                <c:pt idx="366">
                  <c:v>440.59699999999998</c:v>
                </c:pt>
                <c:pt idx="367">
                  <c:v>440.52379999999999</c:v>
                </c:pt>
                <c:pt idx="368">
                  <c:v>440.47280000000001</c:v>
                </c:pt>
                <c:pt idx="369">
                  <c:v>440.21520000000004</c:v>
                </c:pt>
                <c:pt idx="370">
                  <c:v>439.58520000000004</c:v>
                </c:pt>
                <c:pt idx="371">
                  <c:v>439.16900000000004</c:v>
                </c:pt>
                <c:pt idx="372">
                  <c:v>438.68180000000001</c:v>
                </c:pt>
                <c:pt idx="373">
                  <c:v>438.24680000000006</c:v>
                </c:pt>
                <c:pt idx="374">
                  <c:v>437.88100000000009</c:v>
                </c:pt>
                <c:pt idx="375">
                  <c:v>437.18900000000008</c:v>
                </c:pt>
                <c:pt idx="376">
                  <c:v>436.73740000000004</c:v>
                </c:pt>
                <c:pt idx="377">
                  <c:v>436.38040000000001</c:v>
                </c:pt>
                <c:pt idx="378">
                  <c:v>436.37020000000007</c:v>
                </c:pt>
                <c:pt idx="379">
                  <c:v>436.20740000000006</c:v>
                </c:pt>
                <c:pt idx="380">
                  <c:v>435.86820000000012</c:v>
                </c:pt>
                <c:pt idx="381">
                  <c:v>435.07660000000004</c:v>
                </c:pt>
                <c:pt idx="382">
                  <c:v>434.32580000000002</c:v>
                </c:pt>
                <c:pt idx="383">
                  <c:v>433.58120000000002</c:v>
                </c:pt>
                <c:pt idx="384">
                  <c:v>432.67020000000014</c:v>
                </c:pt>
                <c:pt idx="385">
                  <c:v>431.99040000000014</c:v>
                </c:pt>
                <c:pt idx="386">
                  <c:v>431.3488000000001</c:v>
                </c:pt>
                <c:pt idx="387">
                  <c:v>431.12660000000011</c:v>
                </c:pt>
                <c:pt idx="388">
                  <c:v>430.63880000000012</c:v>
                </c:pt>
                <c:pt idx="389">
                  <c:v>429.8798000000001</c:v>
                </c:pt>
                <c:pt idx="390">
                  <c:v>429.16280000000006</c:v>
                </c:pt>
                <c:pt idx="391">
                  <c:v>428.69979999999998</c:v>
                </c:pt>
                <c:pt idx="392">
                  <c:v>428.23759999999993</c:v>
                </c:pt>
                <c:pt idx="393">
                  <c:v>427.66159999999996</c:v>
                </c:pt>
                <c:pt idx="394">
                  <c:v>427.05540000000002</c:v>
                </c:pt>
                <c:pt idx="395">
                  <c:v>426.53919999999999</c:v>
                </c:pt>
                <c:pt idx="396">
                  <c:v>425.90739999999988</c:v>
                </c:pt>
                <c:pt idx="397">
                  <c:v>425.21139999999991</c:v>
                </c:pt>
                <c:pt idx="398">
                  <c:v>424.56739999999991</c:v>
                </c:pt>
                <c:pt idx="399">
                  <c:v>423.90219999999994</c:v>
                </c:pt>
                <c:pt idx="400">
                  <c:v>423.12819999999999</c:v>
                </c:pt>
                <c:pt idx="401">
                  <c:v>422.38919999999996</c:v>
                </c:pt>
                <c:pt idx="402">
                  <c:v>421.49540000000002</c:v>
                </c:pt>
                <c:pt idx="403">
                  <c:v>420.29320000000001</c:v>
                </c:pt>
                <c:pt idx="404">
                  <c:v>418.91519999999997</c:v>
                </c:pt>
                <c:pt idx="405">
                  <c:v>417.38239999999996</c:v>
                </c:pt>
                <c:pt idx="406">
                  <c:v>415.8014</c:v>
                </c:pt>
                <c:pt idx="407">
                  <c:v>414.24940000000004</c:v>
                </c:pt>
                <c:pt idx="408">
                  <c:v>412.56180000000006</c:v>
                </c:pt>
                <c:pt idx="409">
                  <c:v>410.94860000000006</c:v>
                </c:pt>
                <c:pt idx="410">
                  <c:v>409.47460000000007</c:v>
                </c:pt>
                <c:pt idx="411">
                  <c:v>408.01100000000008</c:v>
                </c:pt>
                <c:pt idx="412">
                  <c:v>406.77380000000005</c:v>
                </c:pt>
                <c:pt idx="413">
                  <c:v>405.80960000000005</c:v>
                </c:pt>
                <c:pt idx="414">
                  <c:v>404.7152000000001</c:v>
                </c:pt>
                <c:pt idx="415">
                  <c:v>403.57240000000013</c:v>
                </c:pt>
                <c:pt idx="416">
                  <c:v>402.41980000000012</c:v>
                </c:pt>
                <c:pt idx="417">
                  <c:v>401.06400000000014</c:v>
                </c:pt>
                <c:pt idx="418">
                  <c:v>399.79460000000012</c:v>
                </c:pt>
                <c:pt idx="419">
                  <c:v>398.67260000000016</c:v>
                </c:pt>
                <c:pt idx="420">
                  <c:v>397.81680000000017</c:v>
                </c:pt>
                <c:pt idx="421">
                  <c:v>397.02640000000014</c:v>
                </c:pt>
                <c:pt idx="422">
                  <c:v>396.47780000000006</c:v>
                </c:pt>
                <c:pt idx="423">
                  <c:v>395.81700000000006</c:v>
                </c:pt>
                <c:pt idx="424">
                  <c:v>394.87740000000008</c:v>
                </c:pt>
                <c:pt idx="425">
                  <c:v>394.21400000000011</c:v>
                </c:pt>
                <c:pt idx="426">
                  <c:v>393.4826000000001</c:v>
                </c:pt>
                <c:pt idx="427">
                  <c:v>392.85760000000016</c:v>
                </c:pt>
                <c:pt idx="428">
                  <c:v>391.91540000000015</c:v>
                </c:pt>
                <c:pt idx="429">
                  <c:v>391.48460000000006</c:v>
                </c:pt>
                <c:pt idx="430">
                  <c:v>391.15320000000008</c:v>
                </c:pt>
                <c:pt idx="431">
                  <c:v>391.1656000000001</c:v>
                </c:pt>
                <c:pt idx="432">
                  <c:v>391.08560000000011</c:v>
                </c:pt>
                <c:pt idx="433">
                  <c:v>391.14200000000005</c:v>
                </c:pt>
                <c:pt idx="434">
                  <c:v>391.11300000000006</c:v>
                </c:pt>
                <c:pt idx="435">
                  <c:v>391.0994</c:v>
                </c:pt>
                <c:pt idx="436">
                  <c:v>391.21899999999994</c:v>
                </c:pt>
                <c:pt idx="437">
                  <c:v>391.29239999999999</c:v>
                </c:pt>
                <c:pt idx="438">
                  <c:v>391.67059999999998</c:v>
                </c:pt>
                <c:pt idx="439">
                  <c:v>392.04259999999999</c:v>
                </c:pt>
                <c:pt idx="440">
                  <c:v>392.53899999999999</c:v>
                </c:pt>
                <c:pt idx="441">
                  <c:v>392.88400000000001</c:v>
                </c:pt>
                <c:pt idx="442">
                  <c:v>393.27560000000005</c:v>
                </c:pt>
                <c:pt idx="443">
                  <c:v>393.58800000000002</c:v>
                </c:pt>
                <c:pt idx="444">
                  <c:v>393.70880000000011</c:v>
                </c:pt>
                <c:pt idx="445">
                  <c:v>393.80340000000001</c:v>
                </c:pt>
                <c:pt idx="446">
                  <c:v>393.94460000000004</c:v>
                </c:pt>
                <c:pt idx="447">
                  <c:v>394.29480000000001</c:v>
                </c:pt>
                <c:pt idx="448">
                  <c:v>394.52420000000006</c:v>
                </c:pt>
                <c:pt idx="449">
                  <c:v>394.90740000000011</c:v>
                </c:pt>
                <c:pt idx="450">
                  <c:v>395.20460000000008</c:v>
                </c:pt>
                <c:pt idx="451">
                  <c:v>395.44760000000008</c:v>
                </c:pt>
                <c:pt idx="452">
                  <c:v>395.66600000000005</c:v>
                </c:pt>
                <c:pt idx="453">
                  <c:v>395.90420000000006</c:v>
                </c:pt>
                <c:pt idx="454">
                  <c:v>396.35519999999997</c:v>
                </c:pt>
                <c:pt idx="455">
                  <c:v>397.12859999999995</c:v>
                </c:pt>
                <c:pt idx="456">
                  <c:v>398.0413999999999</c:v>
                </c:pt>
                <c:pt idx="457">
                  <c:v>398.56359999999995</c:v>
                </c:pt>
                <c:pt idx="458">
                  <c:v>399.28320000000002</c:v>
                </c:pt>
                <c:pt idx="459">
                  <c:v>399.93019999999996</c:v>
                </c:pt>
                <c:pt idx="460">
                  <c:v>400.33239999999989</c:v>
                </c:pt>
                <c:pt idx="461">
                  <c:v>400.77299999999991</c:v>
                </c:pt>
                <c:pt idx="462">
                  <c:v>401.05659999999995</c:v>
                </c:pt>
                <c:pt idx="463">
                  <c:v>401.07019999999994</c:v>
                </c:pt>
                <c:pt idx="464">
                  <c:v>401.25399999999996</c:v>
                </c:pt>
                <c:pt idx="465">
                  <c:v>401.64859999999999</c:v>
                </c:pt>
                <c:pt idx="466">
                  <c:v>402.17379999999997</c:v>
                </c:pt>
                <c:pt idx="467">
                  <c:v>402.84819999999991</c:v>
                </c:pt>
                <c:pt idx="468">
                  <c:v>403.08539999999994</c:v>
                </c:pt>
                <c:pt idx="469">
                  <c:v>403.33819999999986</c:v>
                </c:pt>
                <c:pt idx="470">
                  <c:v>403.47559999999982</c:v>
                </c:pt>
                <c:pt idx="471">
                  <c:v>403.40699999999993</c:v>
                </c:pt>
                <c:pt idx="472">
                  <c:v>403.4045999999999</c:v>
                </c:pt>
                <c:pt idx="473">
                  <c:v>403.40179999999992</c:v>
                </c:pt>
                <c:pt idx="474">
                  <c:v>403.33299999999997</c:v>
                </c:pt>
                <c:pt idx="475">
                  <c:v>403.24079999999992</c:v>
                </c:pt>
                <c:pt idx="476">
                  <c:v>403.04159999999996</c:v>
                </c:pt>
                <c:pt idx="477">
                  <c:v>402.62519999999995</c:v>
                </c:pt>
                <c:pt idx="478">
                  <c:v>402.25379999999996</c:v>
                </c:pt>
                <c:pt idx="479">
                  <c:v>401.81900000000002</c:v>
                </c:pt>
                <c:pt idx="480">
                  <c:v>401.17940000000004</c:v>
                </c:pt>
                <c:pt idx="481">
                  <c:v>400.34719999999999</c:v>
                </c:pt>
                <c:pt idx="482">
                  <c:v>399.77760000000001</c:v>
                </c:pt>
                <c:pt idx="483">
                  <c:v>399.42560000000014</c:v>
                </c:pt>
                <c:pt idx="484">
                  <c:v>399.14960000000008</c:v>
                </c:pt>
                <c:pt idx="485">
                  <c:v>398.59280000000007</c:v>
                </c:pt>
                <c:pt idx="486">
                  <c:v>397.7272000000001</c:v>
                </c:pt>
                <c:pt idx="487">
                  <c:v>396.68780000000004</c:v>
                </c:pt>
                <c:pt idx="488">
                  <c:v>395.62720000000007</c:v>
                </c:pt>
                <c:pt idx="489">
                  <c:v>394.59720000000016</c:v>
                </c:pt>
                <c:pt idx="490">
                  <c:v>393.62760000000014</c:v>
                </c:pt>
                <c:pt idx="491">
                  <c:v>392.49680000000023</c:v>
                </c:pt>
                <c:pt idx="492">
                  <c:v>391.56380000000019</c:v>
                </c:pt>
                <c:pt idx="493">
                  <c:v>390.72660000000019</c:v>
                </c:pt>
                <c:pt idx="494">
                  <c:v>389.86960000000016</c:v>
                </c:pt>
                <c:pt idx="495">
                  <c:v>388.77800000000019</c:v>
                </c:pt>
                <c:pt idx="496">
                  <c:v>387.86400000000015</c:v>
                </c:pt>
                <c:pt idx="497">
                  <c:v>386.89940000000007</c:v>
                </c:pt>
                <c:pt idx="498">
                  <c:v>386.0206</c:v>
                </c:pt>
                <c:pt idx="499">
                  <c:v>385.06699999999995</c:v>
                </c:pt>
                <c:pt idx="500">
                  <c:v>384.13359999999994</c:v>
                </c:pt>
                <c:pt idx="501">
                  <c:v>383.3562</c:v>
                </c:pt>
                <c:pt idx="502">
                  <c:v>382.63759999999996</c:v>
                </c:pt>
                <c:pt idx="503">
                  <c:v>382.06099999999998</c:v>
                </c:pt>
                <c:pt idx="504">
                  <c:v>381.31139999999999</c:v>
                </c:pt>
                <c:pt idx="505">
                  <c:v>380.45819999999998</c:v>
                </c:pt>
                <c:pt idx="506">
                  <c:v>379.59500000000003</c:v>
                </c:pt>
                <c:pt idx="507">
                  <c:v>379.08780000000002</c:v>
                </c:pt>
                <c:pt idx="508">
                  <c:v>378.67519999999996</c:v>
                </c:pt>
                <c:pt idx="509">
                  <c:v>378.19359999999995</c:v>
                </c:pt>
                <c:pt idx="510">
                  <c:v>378.18379999999996</c:v>
                </c:pt>
                <c:pt idx="511">
                  <c:v>378.22559999999999</c:v>
                </c:pt>
                <c:pt idx="512">
                  <c:v>378.28320000000002</c:v>
                </c:pt>
                <c:pt idx="513">
                  <c:v>378.43779999999998</c:v>
                </c:pt>
                <c:pt idx="514">
                  <c:v>378.39120000000003</c:v>
                </c:pt>
                <c:pt idx="515">
                  <c:v>378.26840000000004</c:v>
                </c:pt>
                <c:pt idx="516">
                  <c:v>378.05699999999996</c:v>
                </c:pt>
                <c:pt idx="517">
                  <c:v>377.7294</c:v>
                </c:pt>
                <c:pt idx="518">
                  <c:v>377.86540000000014</c:v>
                </c:pt>
                <c:pt idx="519">
                  <c:v>378.02180000000016</c:v>
                </c:pt>
                <c:pt idx="520">
                  <c:v>378.26600000000013</c:v>
                </c:pt>
                <c:pt idx="521">
                  <c:v>378.47300000000013</c:v>
                </c:pt>
                <c:pt idx="522">
                  <c:v>378.60660000000013</c:v>
                </c:pt>
                <c:pt idx="523">
                  <c:v>379.0784000000001</c:v>
                </c:pt>
                <c:pt idx="524">
                  <c:v>379.67820000000012</c:v>
                </c:pt>
                <c:pt idx="525">
                  <c:v>380.33200000000011</c:v>
                </c:pt>
                <c:pt idx="526">
                  <c:v>380.96480000000008</c:v>
                </c:pt>
                <c:pt idx="527">
                  <c:v>381.55520000000013</c:v>
                </c:pt>
                <c:pt idx="528">
                  <c:v>382.15080000000012</c:v>
                </c:pt>
                <c:pt idx="529">
                  <c:v>382.66500000000008</c:v>
                </c:pt>
                <c:pt idx="530">
                  <c:v>383.27480000000008</c:v>
                </c:pt>
                <c:pt idx="531">
                  <c:v>384.11020000000013</c:v>
                </c:pt>
                <c:pt idx="532">
                  <c:v>384.81740000000013</c:v>
                </c:pt>
                <c:pt idx="533">
                  <c:v>385.24600000000015</c:v>
                </c:pt>
                <c:pt idx="534">
                  <c:v>385.49680000000012</c:v>
                </c:pt>
                <c:pt idx="535">
                  <c:v>385.69820000000016</c:v>
                </c:pt>
                <c:pt idx="536">
                  <c:v>386.04280000000006</c:v>
                </c:pt>
                <c:pt idx="537">
                  <c:v>386.45320000000015</c:v>
                </c:pt>
                <c:pt idx="538">
                  <c:v>387.02300000000008</c:v>
                </c:pt>
                <c:pt idx="539">
                  <c:v>387.50620000000009</c:v>
                </c:pt>
                <c:pt idx="540">
                  <c:v>387.84500000000008</c:v>
                </c:pt>
                <c:pt idx="541">
                  <c:v>388.32040000000006</c:v>
                </c:pt>
                <c:pt idx="542">
                  <c:v>388.5172</c:v>
                </c:pt>
                <c:pt idx="543">
                  <c:v>388.76340000000005</c:v>
                </c:pt>
                <c:pt idx="544">
                  <c:v>389.04199999999997</c:v>
                </c:pt>
                <c:pt idx="545">
                  <c:v>389.35019999999997</c:v>
                </c:pt>
                <c:pt idx="546">
                  <c:v>389.53960000000001</c:v>
                </c:pt>
                <c:pt idx="547">
                  <c:v>389.54979999999995</c:v>
                </c:pt>
                <c:pt idx="548">
                  <c:v>389.61299999999994</c:v>
                </c:pt>
                <c:pt idx="549">
                  <c:v>389.72979999999995</c:v>
                </c:pt>
                <c:pt idx="550">
                  <c:v>389.9418</c:v>
                </c:pt>
                <c:pt idx="551">
                  <c:v>390.0718</c:v>
                </c:pt>
                <c:pt idx="552">
                  <c:v>390.28680000000003</c:v>
                </c:pt>
                <c:pt idx="553">
                  <c:v>390.56640000000004</c:v>
                </c:pt>
                <c:pt idx="554">
                  <c:v>391.02440000000007</c:v>
                </c:pt>
                <c:pt idx="555">
                  <c:v>391.43400000000008</c:v>
                </c:pt>
                <c:pt idx="556">
                  <c:v>391.67980000000011</c:v>
                </c:pt>
                <c:pt idx="557">
                  <c:v>391.99840000000006</c:v>
                </c:pt>
                <c:pt idx="558">
                  <c:v>392.37100000000004</c:v>
                </c:pt>
                <c:pt idx="559">
                  <c:v>392.89240000000007</c:v>
                </c:pt>
                <c:pt idx="560">
                  <c:v>393.00560000000007</c:v>
                </c:pt>
                <c:pt idx="561">
                  <c:v>393.13040000000001</c:v>
                </c:pt>
                <c:pt idx="562">
                  <c:v>393.34160000000003</c:v>
                </c:pt>
                <c:pt idx="563">
                  <c:v>393.3836</c:v>
                </c:pt>
                <c:pt idx="564">
                  <c:v>393.60419999999999</c:v>
                </c:pt>
                <c:pt idx="565">
                  <c:v>393.93539999999996</c:v>
                </c:pt>
                <c:pt idx="566">
                  <c:v>394.35039999999992</c:v>
                </c:pt>
                <c:pt idx="567">
                  <c:v>394.70559999999983</c:v>
                </c:pt>
                <c:pt idx="568">
                  <c:v>394.90419999999989</c:v>
                </c:pt>
                <c:pt idx="569">
                  <c:v>395.1595999999999</c:v>
                </c:pt>
                <c:pt idx="570">
                  <c:v>395.32599999999996</c:v>
                </c:pt>
                <c:pt idx="571">
                  <c:v>395.54959999999994</c:v>
                </c:pt>
                <c:pt idx="572">
                  <c:v>395.80579999999992</c:v>
                </c:pt>
                <c:pt idx="573">
                  <c:v>395.90879999999999</c:v>
                </c:pt>
                <c:pt idx="574">
                  <c:v>396.01400000000001</c:v>
                </c:pt>
                <c:pt idx="575">
                  <c:v>396.15539999999999</c:v>
                </c:pt>
                <c:pt idx="576">
                  <c:v>396.32920000000007</c:v>
                </c:pt>
                <c:pt idx="577">
                  <c:v>396.59780000000001</c:v>
                </c:pt>
                <c:pt idx="578">
                  <c:v>396.71640000000002</c:v>
                </c:pt>
                <c:pt idx="579">
                  <c:v>396.7623999999999</c:v>
                </c:pt>
                <c:pt idx="580">
                  <c:v>396.90999999999991</c:v>
                </c:pt>
                <c:pt idx="581">
                  <c:v>396.85859999999991</c:v>
                </c:pt>
                <c:pt idx="582">
                  <c:v>396.77379999999999</c:v>
                </c:pt>
                <c:pt idx="583">
                  <c:v>396.7109999999999</c:v>
                </c:pt>
                <c:pt idx="584">
                  <c:v>396.81319999999994</c:v>
                </c:pt>
                <c:pt idx="585">
                  <c:v>397.1040000000001</c:v>
                </c:pt>
                <c:pt idx="586">
                  <c:v>397.58740000000006</c:v>
                </c:pt>
                <c:pt idx="587">
                  <c:v>398.06600000000003</c:v>
                </c:pt>
                <c:pt idx="588">
                  <c:v>398.30680000000007</c:v>
                </c:pt>
                <c:pt idx="589">
                  <c:v>398.67080000000004</c:v>
                </c:pt>
                <c:pt idx="590">
                  <c:v>398.84380000000004</c:v>
                </c:pt>
                <c:pt idx="591">
                  <c:v>398.93400000000008</c:v>
                </c:pt>
                <c:pt idx="592">
                  <c:v>399.10800000000012</c:v>
                </c:pt>
                <c:pt idx="593">
                  <c:v>399.27380000000005</c:v>
                </c:pt>
                <c:pt idx="594">
                  <c:v>399.41079999999999</c:v>
                </c:pt>
                <c:pt idx="595">
                  <c:v>399.71660000000003</c:v>
                </c:pt>
                <c:pt idx="596">
                  <c:v>399.84120000000001</c:v>
                </c:pt>
                <c:pt idx="597">
                  <c:v>400.12840000000006</c:v>
                </c:pt>
                <c:pt idx="598">
                  <c:v>400.34500000000008</c:v>
                </c:pt>
                <c:pt idx="599">
                  <c:v>400.43000000000006</c:v>
                </c:pt>
                <c:pt idx="600">
                  <c:v>400.48180000000002</c:v>
                </c:pt>
                <c:pt idx="601">
                  <c:v>400.4864</c:v>
                </c:pt>
                <c:pt idx="602">
                  <c:v>400.47700000000003</c:v>
                </c:pt>
                <c:pt idx="603">
                  <c:v>400.41900000000004</c:v>
                </c:pt>
                <c:pt idx="604">
                  <c:v>400.49059999999997</c:v>
                </c:pt>
                <c:pt idx="605">
                  <c:v>400.73480000000001</c:v>
                </c:pt>
                <c:pt idx="606">
                  <c:v>401.14979999999997</c:v>
                </c:pt>
                <c:pt idx="607">
                  <c:v>401.45119999999997</c:v>
                </c:pt>
                <c:pt idx="608">
                  <c:v>401.61199999999991</c:v>
                </c:pt>
                <c:pt idx="609">
                  <c:v>401.75999999999993</c:v>
                </c:pt>
                <c:pt idx="610">
                  <c:v>401.93679999999995</c:v>
                </c:pt>
                <c:pt idx="611">
                  <c:v>402.03399999999993</c:v>
                </c:pt>
                <c:pt idx="612">
                  <c:v>402.11479999999995</c:v>
                </c:pt>
                <c:pt idx="613">
                  <c:v>402.26399999999995</c:v>
                </c:pt>
                <c:pt idx="614">
                  <c:v>402.40379999999999</c:v>
                </c:pt>
                <c:pt idx="615">
                  <c:v>402.43699999999995</c:v>
                </c:pt>
                <c:pt idx="616">
                  <c:v>402.38019999999995</c:v>
                </c:pt>
                <c:pt idx="617">
                  <c:v>402.41739999999999</c:v>
                </c:pt>
                <c:pt idx="618">
                  <c:v>402.50360000000001</c:v>
                </c:pt>
                <c:pt idx="619">
                  <c:v>402.43740000000003</c:v>
                </c:pt>
                <c:pt idx="620">
                  <c:v>402.46840000000009</c:v>
                </c:pt>
                <c:pt idx="621">
                  <c:v>402.57920000000007</c:v>
                </c:pt>
                <c:pt idx="622">
                  <c:v>402.54000000000008</c:v>
                </c:pt>
                <c:pt idx="623">
                  <c:v>402.37060000000002</c:v>
                </c:pt>
                <c:pt idx="624">
                  <c:v>402.36600000000004</c:v>
                </c:pt>
                <c:pt idx="625">
                  <c:v>402.40500000000009</c:v>
                </c:pt>
                <c:pt idx="626">
                  <c:v>402.54960000000005</c:v>
                </c:pt>
                <c:pt idx="627">
                  <c:v>402.62120000000004</c:v>
                </c:pt>
                <c:pt idx="628">
                  <c:v>402.7998</c:v>
                </c:pt>
                <c:pt idx="629">
                  <c:v>402.93159999999995</c:v>
                </c:pt>
                <c:pt idx="630">
                  <c:v>403.17100000000005</c:v>
                </c:pt>
                <c:pt idx="631">
                  <c:v>403.4982</c:v>
                </c:pt>
                <c:pt idx="632">
                  <c:v>403.76219999999995</c:v>
                </c:pt>
                <c:pt idx="633">
                  <c:v>404.09399999999999</c:v>
                </c:pt>
                <c:pt idx="634">
                  <c:v>404.4418</c:v>
                </c:pt>
                <c:pt idx="635">
                  <c:v>404.71740000000005</c:v>
                </c:pt>
                <c:pt idx="636">
                  <c:v>404.8938</c:v>
                </c:pt>
                <c:pt idx="637">
                  <c:v>405.00939999999997</c:v>
                </c:pt>
                <c:pt idx="638">
                  <c:v>405.34860000000003</c:v>
                </c:pt>
                <c:pt idx="639">
                  <c:v>405.75479999999988</c:v>
                </c:pt>
                <c:pt idx="640">
                  <c:v>406.29599999999982</c:v>
                </c:pt>
                <c:pt idx="641">
                  <c:v>406.95359999999988</c:v>
                </c:pt>
                <c:pt idx="642">
                  <c:v>407.52819999999991</c:v>
                </c:pt>
                <c:pt idx="643">
                  <c:v>407.91539999999992</c:v>
                </c:pt>
                <c:pt idx="644">
                  <c:v>408.42279999999994</c:v>
                </c:pt>
                <c:pt idx="645">
                  <c:v>408.90100000000001</c:v>
                </c:pt>
                <c:pt idx="646">
                  <c:v>409.50479999999993</c:v>
                </c:pt>
                <c:pt idx="647">
                  <c:v>409.98699999999997</c:v>
                </c:pt>
                <c:pt idx="648">
                  <c:v>410.44519999999994</c:v>
                </c:pt>
                <c:pt idx="649">
                  <c:v>411.16140000000001</c:v>
                </c:pt>
                <c:pt idx="650">
                  <c:v>411.83999999999992</c:v>
                </c:pt>
                <c:pt idx="651">
                  <c:v>412.48559999999998</c:v>
                </c:pt>
                <c:pt idx="652">
                  <c:v>413.08679999999993</c:v>
                </c:pt>
                <c:pt idx="653">
                  <c:v>413.7573999999999</c:v>
                </c:pt>
                <c:pt idx="654">
                  <c:v>414.32839999999999</c:v>
                </c:pt>
                <c:pt idx="655">
                  <c:v>414.93039999999985</c:v>
                </c:pt>
                <c:pt idx="656">
                  <c:v>415.47579999999988</c:v>
                </c:pt>
                <c:pt idx="657">
                  <c:v>416.00039999999996</c:v>
                </c:pt>
                <c:pt idx="658">
                  <c:v>416.67899999999992</c:v>
                </c:pt>
                <c:pt idx="659">
                  <c:v>417.31619999999987</c:v>
                </c:pt>
                <c:pt idx="660">
                  <c:v>417.87599999999998</c:v>
                </c:pt>
                <c:pt idx="661">
                  <c:v>418.38260000000002</c:v>
                </c:pt>
                <c:pt idx="662">
                  <c:v>418.91840000000002</c:v>
                </c:pt>
                <c:pt idx="663">
                  <c:v>419.42159999999996</c:v>
                </c:pt>
                <c:pt idx="664">
                  <c:v>419.78099999999989</c:v>
                </c:pt>
                <c:pt idx="665">
                  <c:v>420.25519999999983</c:v>
                </c:pt>
                <c:pt idx="666">
                  <c:v>420.70419999999984</c:v>
                </c:pt>
                <c:pt idx="667">
                  <c:v>421.18219999999985</c:v>
                </c:pt>
                <c:pt idx="668">
                  <c:v>421.76499999999987</c:v>
                </c:pt>
                <c:pt idx="669">
                  <c:v>422.40319999999991</c:v>
                </c:pt>
                <c:pt idx="670">
                  <c:v>423.02179999999987</c:v>
                </c:pt>
                <c:pt idx="671">
                  <c:v>423.56239999999991</c:v>
                </c:pt>
                <c:pt idx="672">
                  <c:v>424.21179999999987</c:v>
                </c:pt>
                <c:pt idx="673">
                  <c:v>424.91779999999994</c:v>
                </c:pt>
                <c:pt idx="674">
                  <c:v>425.51879999999989</c:v>
                </c:pt>
                <c:pt idx="675">
                  <c:v>426.12059999999991</c:v>
                </c:pt>
                <c:pt idx="676">
                  <c:v>426.80159999999995</c:v>
                </c:pt>
                <c:pt idx="677">
                  <c:v>427.57040000000001</c:v>
                </c:pt>
                <c:pt idx="678">
                  <c:v>428.42679999999996</c:v>
                </c:pt>
                <c:pt idx="679">
                  <c:v>429.40799999999996</c:v>
                </c:pt>
                <c:pt idx="680">
                  <c:v>430.25939999999997</c:v>
                </c:pt>
                <c:pt idx="681">
                  <c:v>431.04820000000001</c:v>
                </c:pt>
                <c:pt idx="682">
                  <c:v>431.8732</c:v>
                </c:pt>
                <c:pt idx="683">
                  <c:v>432.7002</c:v>
                </c:pt>
                <c:pt idx="684">
                  <c:v>433.56639999999999</c:v>
                </c:pt>
                <c:pt idx="685">
                  <c:v>434.44479999999999</c:v>
                </c:pt>
                <c:pt idx="686">
                  <c:v>435.23440000000005</c:v>
                </c:pt>
                <c:pt idx="687">
                  <c:v>436.16779999999994</c:v>
                </c:pt>
                <c:pt idx="688">
                  <c:v>437.01899999999995</c:v>
                </c:pt>
                <c:pt idx="689">
                  <c:v>437.76399999999995</c:v>
                </c:pt>
                <c:pt idx="690">
                  <c:v>438.39419999999996</c:v>
                </c:pt>
                <c:pt idx="691">
                  <c:v>438.99520000000007</c:v>
                </c:pt>
                <c:pt idx="692">
                  <c:v>439.64959999999996</c:v>
                </c:pt>
                <c:pt idx="693">
                  <c:v>440.44200000000006</c:v>
                </c:pt>
                <c:pt idx="694">
                  <c:v>441.12400000000002</c:v>
                </c:pt>
                <c:pt idx="695">
                  <c:v>441.6386</c:v>
                </c:pt>
                <c:pt idx="696">
                  <c:v>442.15320000000008</c:v>
                </c:pt>
                <c:pt idx="697">
                  <c:v>442.70920000000012</c:v>
                </c:pt>
                <c:pt idx="698">
                  <c:v>443.23500000000013</c:v>
                </c:pt>
                <c:pt idx="699">
                  <c:v>443.53440000000012</c:v>
                </c:pt>
                <c:pt idx="700">
                  <c:v>443.78520000000003</c:v>
                </c:pt>
                <c:pt idx="701">
                  <c:v>443.95040000000006</c:v>
                </c:pt>
                <c:pt idx="702">
                  <c:v>444.14940000000007</c:v>
                </c:pt>
                <c:pt idx="703">
                  <c:v>444.35360000000009</c:v>
                </c:pt>
                <c:pt idx="704">
                  <c:v>444.51860000000011</c:v>
                </c:pt>
                <c:pt idx="705">
                  <c:v>444.70320000000009</c:v>
                </c:pt>
                <c:pt idx="706">
                  <c:v>444.70780000000008</c:v>
                </c:pt>
                <c:pt idx="707">
                  <c:v>444.76360000000005</c:v>
                </c:pt>
                <c:pt idx="708">
                  <c:v>444.76679999999999</c:v>
                </c:pt>
                <c:pt idx="709">
                  <c:v>444.96080000000006</c:v>
                </c:pt>
                <c:pt idx="710">
                  <c:v>445.23739999999998</c:v>
                </c:pt>
                <c:pt idx="711">
                  <c:v>445.54559999999992</c:v>
                </c:pt>
                <c:pt idx="712">
                  <c:v>445.83919999999989</c:v>
                </c:pt>
                <c:pt idx="713">
                  <c:v>446.15979999999996</c:v>
                </c:pt>
                <c:pt idx="714">
                  <c:v>446.45539999999994</c:v>
                </c:pt>
                <c:pt idx="715">
                  <c:v>446.62899999999985</c:v>
                </c:pt>
                <c:pt idx="716">
                  <c:v>446.81159999999988</c:v>
                </c:pt>
                <c:pt idx="717">
                  <c:v>447.01839999999987</c:v>
                </c:pt>
                <c:pt idx="718">
                  <c:v>447.07259999999985</c:v>
                </c:pt>
                <c:pt idx="719">
                  <c:v>447.1269999999999</c:v>
                </c:pt>
                <c:pt idx="720">
                  <c:v>447.27159999999986</c:v>
                </c:pt>
                <c:pt idx="721">
                  <c:v>447.34579999999988</c:v>
                </c:pt>
                <c:pt idx="722">
                  <c:v>447.4473999999999</c:v>
                </c:pt>
                <c:pt idx="723">
                  <c:v>447.50839999999994</c:v>
                </c:pt>
                <c:pt idx="724">
                  <c:v>447.43199999999996</c:v>
                </c:pt>
                <c:pt idx="725">
                  <c:v>447.13940000000002</c:v>
                </c:pt>
                <c:pt idx="726">
                  <c:v>446.75659999999993</c:v>
                </c:pt>
                <c:pt idx="727">
                  <c:v>446.41559999999998</c:v>
                </c:pt>
                <c:pt idx="728">
                  <c:v>445.91640000000001</c:v>
                </c:pt>
                <c:pt idx="729">
                  <c:v>445.35359999999991</c:v>
                </c:pt>
                <c:pt idx="730">
                  <c:v>444.81999999999994</c:v>
                </c:pt>
                <c:pt idx="731">
                  <c:v>444.32599999999991</c:v>
                </c:pt>
                <c:pt idx="732">
                  <c:v>443.82859999999999</c:v>
                </c:pt>
                <c:pt idx="733">
                  <c:v>443.1764</c:v>
                </c:pt>
                <c:pt idx="734">
                  <c:v>442.56080000000003</c:v>
                </c:pt>
                <c:pt idx="735">
                  <c:v>441.94059999999996</c:v>
                </c:pt>
                <c:pt idx="736">
                  <c:v>441.48160000000001</c:v>
                </c:pt>
                <c:pt idx="737">
                  <c:v>440.98900000000003</c:v>
                </c:pt>
                <c:pt idx="738">
                  <c:v>440.52400000000011</c:v>
                </c:pt>
                <c:pt idx="739">
                  <c:v>440.12080000000009</c:v>
                </c:pt>
                <c:pt idx="740">
                  <c:v>439.79140000000007</c:v>
                </c:pt>
                <c:pt idx="741">
                  <c:v>439.44460000000004</c:v>
                </c:pt>
                <c:pt idx="742">
                  <c:v>439.22920000000005</c:v>
                </c:pt>
                <c:pt idx="743">
                  <c:v>438.93540000000007</c:v>
                </c:pt>
                <c:pt idx="744">
                  <c:v>438.56459999999998</c:v>
                </c:pt>
                <c:pt idx="745">
                  <c:v>438.1782</c:v>
                </c:pt>
                <c:pt idx="746">
                  <c:v>437.68380000000002</c:v>
                </c:pt>
                <c:pt idx="747">
                  <c:v>437.17999999999995</c:v>
                </c:pt>
                <c:pt idx="748">
                  <c:v>436.69039999999995</c:v>
                </c:pt>
                <c:pt idx="749">
                  <c:v>436.18359999999996</c:v>
                </c:pt>
                <c:pt idx="750">
                  <c:v>435.64179999999988</c:v>
                </c:pt>
                <c:pt idx="751">
                  <c:v>435.12959999999993</c:v>
                </c:pt>
                <c:pt idx="752">
                  <c:v>434.71139999999991</c:v>
                </c:pt>
                <c:pt idx="753">
                  <c:v>434.28859999999992</c:v>
                </c:pt>
                <c:pt idx="754">
                  <c:v>433.97879999999992</c:v>
                </c:pt>
                <c:pt idx="755">
                  <c:v>433.7333999999999</c:v>
                </c:pt>
                <c:pt idx="756">
                  <c:v>433.68939999999998</c:v>
                </c:pt>
                <c:pt idx="757">
                  <c:v>433.60379999999992</c:v>
                </c:pt>
                <c:pt idx="758">
                  <c:v>433.48719999999992</c:v>
                </c:pt>
                <c:pt idx="759">
                  <c:v>433.24899999999997</c:v>
                </c:pt>
                <c:pt idx="760">
                  <c:v>432.90559999999999</c:v>
                </c:pt>
                <c:pt idx="761">
                  <c:v>432.71080000000001</c:v>
                </c:pt>
                <c:pt idx="762">
                  <c:v>432.49079999999992</c:v>
                </c:pt>
                <c:pt idx="763">
                  <c:v>432.48059999999992</c:v>
                </c:pt>
                <c:pt idx="764">
                  <c:v>432.54979999999989</c:v>
                </c:pt>
                <c:pt idx="765">
                  <c:v>432.6574</c:v>
                </c:pt>
                <c:pt idx="766">
                  <c:v>432.76279999999991</c:v>
                </c:pt>
                <c:pt idx="767">
                  <c:v>432.87899999999996</c:v>
                </c:pt>
                <c:pt idx="768">
                  <c:v>433.02459999999996</c:v>
                </c:pt>
                <c:pt idx="769">
                  <c:v>433.19479999999999</c:v>
                </c:pt>
                <c:pt idx="770">
                  <c:v>433.29360000000003</c:v>
                </c:pt>
                <c:pt idx="771">
                  <c:v>433.51579999999996</c:v>
                </c:pt>
                <c:pt idx="772">
                  <c:v>433.74179999999996</c:v>
                </c:pt>
                <c:pt idx="773">
                  <c:v>433.97979999999995</c:v>
                </c:pt>
                <c:pt idx="774">
                  <c:v>434.33500000000009</c:v>
                </c:pt>
                <c:pt idx="775">
                  <c:v>434.88919999999996</c:v>
                </c:pt>
                <c:pt idx="776">
                  <c:v>435.41460000000001</c:v>
                </c:pt>
                <c:pt idx="777">
                  <c:v>435.90199999999987</c:v>
                </c:pt>
                <c:pt idx="778">
                  <c:v>436.47959999999989</c:v>
                </c:pt>
                <c:pt idx="779">
                  <c:v>437.12319999999994</c:v>
                </c:pt>
                <c:pt idx="780">
                  <c:v>437.7568</c:v>
                </c:pt>
                <c:pt idx="781">
                  <c:v>438.44700000000006</c:v>
                </c:pt>
                <c:pt idx="782">
                  <c:v>439.18280000000004</c:v>
                </c:pt>
                <c:pt idx="783">
                  <c:v>440.16100000000006</c:v>
                </c:pt>
                <c:pt idx="784">
                  <c:v>441.10799999999995</c:v>
                </c:pt>
                <c:pt idx="785">
                  <c:v>442.00459999999998</c:v>
                </c:pt>
                <c:pt idx="786">
                  <c:v>442.85320000000002</c:v>
                </c:pt>
                <c:pt idx="787">
                  <c:v>443.70419999999996</c:v>
                </c:pt>
                <c:pt idx="788">
                  <c:v>444.37860000000001</c:v>
                </c:pt>
                <c:pt idx="789">
                  <c:v>445.1062</c:v>
                </c:pt>
                <c:pt idx="790">
                  <c:v>445.90600000000006</c:v>
                </c:pt>
                <c:pt idx="791">
                  <c:v>446.78900000000016</c:v>
                </c:pt>
                <c:pt idx="792">
                  <c:v>447.59840000000003</c:v>
                </c:pt>
                <c:pt idx="793">
                  <c:v>448.41180000000008</c:v>
                </c:pt>
                <c:pt idx="794">
                  <c:v>449.31380000000007</c:v>
                </c:pt>
                <c:pt idx="795">
                  <c:v>450.23820000000012</c:v>
                </c:pt>
                <c:pt idx="796">
                  <c:v>451.19020000000012</c:v>
                </c:pt>
                <c:pt idx="797">
                  <c:v>452.12660000000011</c:v>
                </c:pt>
                <c:pt idx="798">
                  <c:v>453.01240000000007</c:v>
                </c:pt>
                <c:pt idx="799">
                  <c:v>454.15339999999998</c:v>
                </c:pt>
                <c:pt idx="800">
                  <c:v>455.38</c:v>
                </c:pt>
                <c:pt idx="801">
                  <c:v>456.69760000000002</c:v>
                </c:pt>
                <c:pt idx="802">
                  <c:v>457.91280000000006</c:v>
                </c:pt>
                <c:pt idx="803">
                  <c:v>459.08240000000006</c:v>
                </c:pt>
                <c:pt idx="804">
                  <c:v>460.12780000000004</c:v>
                </c:pt>
                <c:pt idx="805">
                  <c:v>460.95840000000004</c:v>
                </c:pt>
                <c:pt idx="806">
                  <c:v>461.7944</c:v>
                </c:pt>
                <c:pt idx="807">
                  <c:v>462.72920000000011</c:v>
                </c:pt>
                <c:pt idx="808">
                  <c:v>463.65960000000013</c:v>
                </c:pt>
                <c:pt idx="809">
                  <c:v>464.61180000000007</c:v>
                </c:pt>
                <c:pt idx="810">
                  <c:v>465.64279999999997</c:v>
                </c:pt>
                <c:pt idx="811">
                  <c:v>466.59120000000001</c:v>
                </c:pt>
                <c:pt idx="812">
                  <c:v>467.53560000000004</c:v>
                </c:pt>
                <c:pt idx="813">
                  <c:v>468.38640000000015</c:v>
                </c:pt>
                <c:pt idx="814">
                  <c:v>469.21060000000006</c:v>
                </c:pt>
                <c:pt idx="815">
                  <c:v>469.86360000000008</c:v>
                </c:pt>
                <c:pt idx="816">
                  <c:v>470.63180000000006</c:v>
                </c:pt>
                <c:pt idx="817">
                  <c:v>471.43360000000007</c:v>
                </c:pt>
                <c:pt idx="818">
                  <c:v>472.21920000000006</c:v>
                </c:pt>
                <c:pt idx="819">
                  <c:v>472.99840000000006</c:v>
                </c:pt>
                <c:pt idx="820">
                  <c:v>473.8544</c:v>
                </c:pt>
                <c:pt idx="821">
                  <c:v>474.7312</c:v>
                </c:pt>
                <c:pt idx="822">
                  <c:v>475.65659999999997</c:v>
                </c:pt>
                <c:pt idx="823">
                  <c:v>476.584</c:v>
                </c:pt>
                <c:pt idx="824">
                  <c:v>477.33760000000001</c:v>
                </c:pt>
                <c:pt idx="825">
                  <c:v>478.12700000000007</c:v>
                </c:pt>
                <c:pt idx="826">
                  <c:v>479.03339999999997</c:v>
                </c:pt>
                <c:pt idx="827">
                  <c:v>479.89160000000004</c:v>
                </c:pt>
                <c:pt idx="828">
                  <c:v>480.7315999999999</c:v>
                </c:pt>
                <c:pt idx="829">
                  <c:v>481.51119999999997</c:v>
                </c:pt>
                <c:pt idx="830">
                  <c:v>482.45719999999989</c:v>
                </c:pt>
                <c:pt idx="831">
                  <c:v>483.37439999999981</c:v>
                </c:pt>
                <c:pt idx="832">
                  <c:v>484.21219999999988</c:v>
                </c:pt>
                <c:pt idx="833">
                  <c:v>484.94079999999997</c:v>
                </c:pt>
                <c:pt idx="834">
                  <c:v>485.62579999999997</c:v>
                </c:pt>
                <c:pt idx="835">
                  <c:v>486.40079999999995</c:v>
                </c:pt>
                <c:pt idx="836">
                  <c:v>487.21839999999997</c:v>
                </c:pt>
                <c:pt idx="837">
                  <c:v>487.96759999999995</c:v>
                </c:pt>
                <c:pt idx="838">
                  <c:v>488.74599999999998</c:v>
                </c:pt>
                <c:pt idx="839">
                  <c:v>489.48699999999997</c:v>
                </c:pt>
                <c:pt idx="840">
                  <c:v>490.31019999999995</c:v>
                </c:pt>
                <c:pt idx="841">
                  <c:v>491.03159999999991</c:v>
                </c:pt>
                <c:pt idx="842">
                  <c:v>491.72699999999992</c:v>
                </c:pt>
                <c:pt idx="843">
                  <c:v>492.52879999999988</c:v>
                </c:pt>
                <c:pt idx="844">
                  <c:v>493.34199999999998</c:v>
                </c:pt>
                <c:pt idx="845">
                  <c:v>494.18799999999993</c:v>
                </c:pt>
                <c:pt idx="846">
                  <c:v>495.00879999999995</c:v>
                </c:pt>
                <c:pt idx="847">
                  <c:v>495.92040000000009</c:v>
                </c:pt>
                <c:pt idx="848">
                  <c:v>496.87620000000004</c:v>
                </c:pt>
                <c:pt idx="849">
                  <c:v>497.79380000000003</c:v>
                </c:pt>
                <c:pt idx="850">
                  <c:v>498.76020000000005</c:v>
                </c:pt>
                <c:pt idx="851">
                  <c:v>499.65320000000008</c:v>
                </c:pt>
                <c:pt idx="852">
                  <c:v>500.52160000000003</c:v>
                </c:pt>
                <c:pt idx="853">
                  <c:v>501.36420000000015</c:v>
                </c:pt>
                <c:pt idx="854">
                  <c:v>502.32900000000001</c:v>
                </c:pt>
                <c:pt idx="855">
                  <c:v>503.34460000000007</c:v>
                </c:pt>
                <c:pt idx="856">
                  <c:v>504.2580000000001</c:v>
                </c:pt>
                <c:pt idx="857">
                  <c:v>504.98620000000005</c:v>
                </c:pt>
                <c:pt idx="858">
                  <c:v>505.7054</c:v>
                </c:pt>
                <c:pt idx="859">
                  <c:v>506.26959999999997</c:v>
                </c:pt>
                <c:pt idx="860">
                  <c:v>506.93040000000002</c:v>
                </c:pt>
                <c:pt idx="861">
                  <c:v>507.54420000000005</c:v>
                </c:pt>
                <c:pt idx="862">
                  <c:v>508.18239999999997</c:v>
                </c:pt>
                <c:pt idx="863">
                  <c:v>508.63940000000002</c:v>
                </c:pt>
                <c:pt idx="864">
                  <c:v>509.18159999999995</c:v>
                </c:pt>
                <c:pt idx="865">
                  <c:v>509.74099999999999</c:v>
                </c:pt>
                <c:pt idx="866">
                  <c:v>510.04599999999999</c:v>
                </c:pt>
                <c:pt idx="867">
                  <c:v>510.2296</c:v>
                </c:pt>
                <c:pt idx="868">
                  <c:v>510.38959999999997</c:v>
                </c:pt>
                <c:pt idx="869">
                  <c:v>510.50039999999996</c:v>
                </c:pt>
                <c:pt idx="870">
                  <c:v>510.44159999999994</c:v>
                </c:pt>
                <c:pt idx="871">
                  <c:v>510.46960000000001</c:v>
                </c:pt>
                <c:pt idx="872">
                  <c:v>510.55860000000001</c:v>
                </c:pt>
                <c:pt idx="873">
                  <c:v>510.6472</c:v>
                </c:pt>
                <c:pt idx="874">
                  <c:v>510.83540000000011</c:v>
                </c:pt>
                <c:pt idx="875">
                  <c:v>511.0292</c:v>
                </c:pt>
                <c:pt idx="876">
                  <c:v>511.19020000000006</c:v>
                </c:pt>
                <c:pt idx="877">
                  <c:v>511.23960000000005</c:v>
                </c:pt>
                <c:pt idx="878">
                  <c:v>511.31139999999999</c:v>
                </c:pt>
                <c:pt idx="879">
                  <c:v>511.46780000000001</c:v>
                </c:pt>
                <c:pt idx="880">
                  <c:v>511.54359999999991</c:v>
                </c:pt>
                <c:pt idx="881">
                  <c:v>511.71799999999996</c:v>
                </c:pt>
                <c:pt idx="882">
                  <c:v>511.94099999999997</c:v>
                </c:pt>
                <c:pt idx="883">
                  <c:v>512.14619999999991</c:v>
                </c:pt>
                <c:pt idx="884">
                  <c:v>512.42439999999988</c:v>
                </c:pt>
                <c:pt idx="885">
                  <c:v>512.67959999999994</c:v>
                </c:pt>
                <c:pt idx="886">
                  <c:v>512.84079999999994</c:v>
                </c:pt>
                <c:pt idx="887">
                  <c:v>513.06079999999997</c:v>
                </c:pt>
                <c:pt idx="888">
                  <c:v>513.51279999999997</c:v>
                </c:pt>
                <c:pt idx="889">
                  <c:v>513.89159999999993</c:v>
                </c:pt>
                <c:pt idx="890">
                  <c:v>514.18439999999987</c:v>
                </c:pt>
                <c:pt idx="891">
                  <c:v>514.55119999999988</c:v>
                </c:pt>
                <c:pt idx="892">
                  <c:v>514.9527999999998</c:v>
                </c:pt>
                <c:pt idx="893">
                  <c:v>515.21379999999988</c:v>
                </c:pt>
                <c:pt idx="894">
                  <c:v>515.41359999999986</c:v>
                </c:pt>
                <c:pt idx="895">
                  <c:v>515.70339999999987</c:v>
                </c:pt>
                <c:pt idx="896">
                  <c:v>516.10299999999984</c:v>
                </c:pt>
                <c:pt idx="897">
                  <c:v>516.36779999999987</c:v>
                </c:pt>
                <c:pt idx="898">
                  <c:v>516.50579999999991</c:v>
                </c:pt>
                <c:pt idx="899">
                  <c:v>516.64359999999988</c:v>
                </c:pt>
                <c:pt idx="900">
                  <c:v>516.75559999999996</c:v>
                </c:pt>
                <c:pt idx="901">
                  <c:v>516.89919999999995</c:v>
                </c:pt>
                <c:pt idx="902">
                  <c:v>517.19719999999984</c:v>
                </c:pt>
                <c:pt idx="903">
                  <c:v>517.51419999999996</c:v>
                </c:pt>
                <c:pt idx="904">
                  <c:v>517.73099999999988</c:v>
                </c:pt>
                <c:pt idx="905">
                  <c:v>517.98279999999988</c:v>
                </c:pt>
                <c:pt idx="906">
                  <c:v>518.27859999999998</c:v>
                </c:pt>
                <c:pt idx="907">
                  <c:v>518.72899999999993</c:v>
                </c:pt>
                <c:pt idx="908">
                  <c:v>519.18979999999999</c:v>
                </c:pt>
                <c:pt idx="909">
                  <c:v>519.78399999999999</c:v>
                </c:pt>
                <c:pt idx="910">
                  <c:v>520.35739999999987</c:v>
                </c:pt>
                <c:pt idx="911">
                  <c:v>520.95279999999991</c:v>
                </c:pt>
                <c:pt idx="912">
                  <c:v>521.50639999999987</c:v>
                </c:pt>
                <c:pt idx="913">
                  <c:v>522.11419999999987</c:v>
                </c:pt>
                <c:pt idx="914">
                  <c:v>522.60899999999992</c:v>
                </c:pt>
                <c:pt idx="915">
                  <c:v>523.28859999999997</c:v>
                </c:pt>
                <c:pt idx="916">
                  <c:v>524.10979999999984</c:v>
                </c:pt>
                <c:pt idx="917">
                  <c:v>524.96659999999997</c:v>
                </c:pt>
                <c:pt idx="918">
                  <c:v>525.84</c:v>
                </c:pt>
                <c:pt idx="919">
                  <c:v>526.75639999999999</c:v>
                </c:pt>
                <c:pt idx="920">
                  <c:v>527.83339999999998</c:v>
                </c:pt>
                <c:pt idx="921">
                  <c:v>528.8682</c:v>
                </c:pt>
                <c:pt idx="922">
                  <c:v>529.84800000000007</c:v>
                </c:pt>
                <c:pt idx="923">
                  <c:v>530.84540000000004</c:v>
                </c:pt>
                <c:pt idx="924">
                  <c:v>531.89199999999994</c:v>
                </c:pt>
                <c:pt idx="925">
                  <c:v>532.95319999999992</c:v>
                </c:pt>
                <c:pt idx="926">
                  <c:v>533.88159999999993</c:v>
                </c:pt>
                <c:pt idx="927">
                  <c:v>535.04179999999997</c:v>
                </c:pt>
                <c:pt idx="928">
                  <c:v>536.2654</c:v>
                </c:pt>
                <c:pt idx="929">
                  <c:v>537.46199999999999</c:v>
                </c:pt>
                <c:pt idx="930">
                  <c:v>538.375</c:v>
                </c:pt>
                <c:pt idx="931">
                  <c:v>539.09679999999992</c:v>
                </c:pt>
                <c:pt idx="932">
                  <c:v>539.73379999999997</c:v>
                </c:pt>
                <c:pt idx="933">
                  <c:v>540.48300000000006</c:v>
                </c:pt>
                <c:pt idx="934">
                  <c:v>541.15519999999992</c:v>
                </c:pt>
                <c:pt idx="935">
                  <c:v>541.56299999999999</c:v>
                </c:pt>
                <c:pt idx="936">
                  <c:v>541.91300000000001</c:v>
                </c:pt>
                <c:pt idx="937">
                  <c:v>542.33579999999995</c:v>
                </c:pt>
                <c:pt idx="938">
                  <c:v>542.63539999999989</c:v>
                </c:pt>
                <c:pt idx="939">
                  <c:v>542.90159999999992</c:v>
                </c:pt>
                <c:pt idx="940">
                  <c:v>543.3288</c:v>
                </c:pt>
                <c:pt idx="941">
                  <c:v>543.58780000000002</c:v>
                </c:pt>
                <c:pt idx="942">
                  <c:v>543.6185999999999</c:v>
                </c:pt>
                <c:pt idx="943">
                  <c:v>543.3696000000001</c:v>
                </c:pt>
                <c:pt idx="944">
                  <c:v>543.29340000000002</c:v>
                </c:pt>
                <c:pt idx="945">
                  <c:v>543.07780000000002</c:v>
                </c:pt>
                <c:pt idx="946">
                  <c:v>543.09460000000001</c:v>
                </c:pt>
                <c:pt idx="947">
                  <c:v>543.2324000000001</c:v>
                </c:pt>
                <c:pt idx="948">
                  <c:v>543.44560000000001</c:v>
                </c:pt>
                <c:pt idx="949">
                  <c:v>543.73900000000003</c:v>
                </c:pt>
                <c:pt idx="950">
                  <c:v>544.05800000000011</c:v>
                </c:pt>
                <c:pt idx="951">
                  <c:v>544.55160000000012</c:v>
                </c:pt>
                <c:pt idx="952">
                  <c:v>544.9444000000002</c:v>
                </c:pt>
                <c:pt idx="953">
                  <c:v>545.44340000000011</c:v>
                </c:pt>
                <c:pt idx="954">
                  <c:v>545.93720000000008</c:v>
                </c:pt>
                <c:pt idx="955">
                  <c:v>546.43640000000016</c:v>
                </c:pt>
                <c:pt idx="956">
                  <c:v>546.82180000000017</c:v>
                </c:pt>
                <c:pt idx="957">
                  <c:v>547.23720000000026</c:v>
                </c:pt>
                <c:pt idx="958">
                  <c:v>547.60400000000027</c:v>
                </c:pt>
                <c:pt idx="959">
                  <c:v>547.97960000000023</c:v>
                </c:pt>
                <c:pt idx="960">
                  <c:v>548.20360000000028</c:v>
                </c:pt>
                <c:pt idx="961">
                  <c:v>548.40080000000023</c:v>
                </c:pt>
                <c:pt idx="962">
                  <c:v>548.73440000000028</c:v>
                </c:pt>
                <c:pt idx="963">
                  <c:v>548.88580000000024</c:v>
                </c:pt>
                <c:pt idx="964">
                  <c:v>549.05000000000018</c:v>
                </c:pt>
                <c:pt idx="965">
                  <c:v>549.14560000000017</c:v>
                </c:pt>
                <c:pt idx="966">
                  <c:v>549.04260000000022</c:v>
                </c:pt>
                <c:pt idx="967">
                  <c:v>549.04340000000013</c:v>
                </c:pt>
                <c:pt idx="968">
                  <c:v>549.13480000000015</c:v>
                </c:pt>
                <c:pt idx="969">
                  <c:v>549.31640000000004</c:v>
                </c:pt>
                <c:pt idx="970">
                  <c:v>549.51800000000014</c:v>
                </c:pt>
                <c:pt idx="971">
                  <c:v>549.72900000000004</c:v>
                </c:pt>
                <c:pt idx="972">
                  <c:v>549.89299999999992</c:v>
                </c:pt>
                <c:pt idx="973">
                  <c:v>550.04880000000003</c:v>
                </c:pt>
                <c:pt idx="974">
                  <c:v>550.1604000000001</c:v>
                </c:pt>
                <c:pt idx="975">
                  <c:v>550.35360000000003</c:v>
                </c:pt>
                <c:pt idx="976">
                  <c:v>550.58900000000006</c:v>
                </c:pt>
                <c:pt idx="977">
                  <c:v>550.7826</c:v>
                </c:pt>
                <c:pt idx="978">
                  <c:v>550.97800000000007</c:v>
                </c:pt>
                <c:pt idx="979">
                  <c:v>551.08159999999998</c:v>
                </c:pt>
                <c:pt idx="980">
                  <c:v>551.38879999999995</c:v>
                </c:pt>
                <c:pt idx="981">
                  <c:v>551.76499999999999</c:v>
                </c:pt>
                <c:pt idx="982">
                  <c:v>552.26039999999989</c:v>
                </c:pt>
                <c:pt idx="983">
                  <c:v>552.53980000000001</c:v>
                </c:pt>
                <c:pt idx="984">
                  <c:v>552.84139999999979</c:v>
                </c:pt>
                <c:pt idx="985">
                  <c:v>553.37319999999988</c:v>
                </c:pt>
                <c:pt idx="986">
                  <c:v>554.06459999999993</c:v>
                </c:pt>
                <c:pt idx="987">
                  <c:v>554.53179999999998</c:v>
                </c:pt>
                <c:pt idx="988">
                  <c:v>555.0999999999998</c:v>
                </c:pt>
                <c:pt idx="989">
                  <c:v>555.80279999999982</c:v>
                </c:pt>
                <c:pt idx="990">
                  <c:v>556.30919999999981</c:v>
                </c:pt>
                <c:pt idx="991">
                  <c:v>557.04059999999993</c:v>
                </c:pt>
                <c:pt idx="992">
                  <c:v>558.06899999999996</c:v>
                </c:pt>
                <c:pt idx="993">
                  <c:v>559.31699999999989</c:v>
                </c:pt>
                <c:pt idx="994">
                  <c:v>560.52</c:v>
                </c:pt>
                <c:pt idx="995">
                  <c:v>561.79379999999992</c:v>
                </c:pt>
                <c:pt idx="996">
                  <c:v>562.87259999999992</c:v>
                </c:pt>
                <c:pt idx="997">
                  <c:v>563.88539999999989</c:v>
                </c:pt>
                <c:pt idx="998">
                  <c:v>564.88639999999998</c:v>
                </c:pt>
                <c:pt idx="999">
                  <c:v>565.60539999999992</c:v>
                </c:pt>
                <c:pt idx="1000">
                  <c:v>566.3152</c:v>
                </c:pt>
                <c:pt idx="1001">
                  <c:v>566.83460000000002</c:v>
                </c:pt>
                <c:pt idx="1002">
                  <c:v>567.36500000000001</c:v>
                </c:pt>
                <c:pt idx="1003">
                  <c:v>567.80819999999994</c:v>
                </c:pt>
                <c:pt idx="1004">
                  <c:v>568.23439999999994</c:v>
                </c:pt>
                <c:pt idx="1005">
                  <c:v>568.39479999999992</c:v>
                </c:pt>
                <c:pt idx="1006">
                  <c:v>568.69119999999998</c:v>
                </c:pt>
                <c:pt idx="1007">
                  <c:v>568.84480000000008</c:v>
                </c:pt>
                <c:pt idx="1008">
                  <c:v>569.16300000000012</c:v>
                </c:pt>
                <c:pt idx="1009">
                  <c:v>569.75260000000014</c:v>
                </c:pt>
                <c:pt idx="1010">
                  <c:v>570.49880000000007</c:v>
                </c:pt>
                <c:pt idx="1011">
                  <c:v>571.29560000000004</c:v>
                </c:pt>
                <c:pt idx="1012">
                  <c:v>571.99720000000002</c:v>
                </c:pt>
                <c:pt idx="1013">
                  <c:v>572.89359999999999</c:v>
                </c:pt>
                <c:pt idx="1014">
                  <c:v>573.8184</c:v>
                </c:pt>
                <c:pt idx="1015">
                  <c:v>574.69320000000005</c:v>
                </c:pt>
                <c:pt idx="1016">
                  <c:v>575.60100000000011</c:v>
                </c:pt>
                <c:pt idx="1017">
                  <c:v>576.43580000000009</c:v>
                </c:pt>
                <c:pt idx="1018">
                  <c:v>577.26600000000008</c:v>
                </c:pt>
                <c:pt idx="1019">
                  <c:v>577.98760000000004</c:v>
                </c:pt>
                <c:pt idx="1020">
                  <c:v>578.67920000000004</c:v>
                </c:pt>
                <c:pt idx="1021">
                  <c:v>579.34919999999988</c:v>
                </c:pt>
                <c:pt idx="1022">
                  <c:v>580.04299999999989</c:v>
                </c:pt>
                <c:pt idx="1023">
                  <c:v>580.79459999999995</c:v>
                </c:pt>
                <c:pt idx="1024">
                  <c:v>581.54319999999984</c:v>
                </c:pt>
                <c:pt idx="1025">
                  <c:v>582.17459999999994</c:v>
                </c:pt>
                <c:pt idx="1026">
                  <c:v>582.88220000000001</c:v>
                </c:pt>
                <c:pt idx="1027">
                  <c:v>583.56700000000001</c:v>
                </c:pt>
                <c:pt idx="1028">
                  <c:v>584.29419999999993</c:v>
                </c:pt>
                <c:pt idx="1029">
                  <c:v>585.02659999999992</c:v>
                </c:pt>
                <c:pt idx="1030">
                  <c:v>585.7367999999999</c:v>
                </c:pt>
                <c:pt idx="1031">
                  <c:v>586.40099999999995</c:v>
                </c:pt>
                <c:pt idx="1032">
                  <c:v>586.98179999999991</c:v>
                </c:pt>
                <c:pt idx="1033">
                  <c:v>587.7586</c:v>
                </c:pt>
                <c:pt idx="1034">
                  <c:v>588.46800000000007</c:v>
                </c:pt>
                <c:pt idx="1035">
                  <c:v>589.19579999999996</c:v>
                </c:pt>
                <c:pt idx="1036">
                  <c:v>589.87200000000007</c:v>
                </c:pt>
                <c:pt idx="1037">
                  <c:v>590.60180000000003</c:v>
                </c:pt>
                <c:pt idx="1038">
                  <c:v>590.86399999999992</c:v>
                </c:pt>
                <c:pt idx="1039">
                  <c:v>591.04319999999996</c:v>
                </c:pt>
                <c:pt idx="1040">
                  <c:v>591.34360000000004</c:v>
                </c:pt>
                <c:pt idx="1041">
                  <c:v>591.64580000000001</c:v>
                </c:pt>
                <c:pt idx="1042">
                  <c:v>591.98540000000003</c:v>
                </c:pt>
                <c:pt idx="1043">
                  <c:v>592.41660000000002</c:v>
                </c:pt>
                <c:pt idx="1044">
                  <c:v>592.67079999999999</c:v>
                </c:pt>
                <c:pt idx="1045">
                  <c:v>592.78820000000007</c:v>
                </c:pt>
                <c:pt idx="1046">
                  <c:v>592.81799999999998</c:v>
                </c:pt>
                <c:pt idx="1047">
                  <c:v>592.83820000000003</c:v>
                </c:pt>
                <c:pt idx="1048">
                  <c:v>593.0107999999999</c:v>
                </c:pt>
                <c:pt idx="1049">
                  <c:v>593.35820000000001</c:v>
                </c:pt>
                <c:pt idx="1050">
                  <c:v>593.54599999999994</c:v>
                </c:pt>
                <c:pt idx="1051">
                  <c:v>593.75500000000011</c:v>
                </c:pt>
                <c:pt idx="1052">
                  <c:v>593.74820000000011</c:v>
                </c:pt>
                <c:pt idx="1053">
                  <c:v>593.74059999999997</c:v>
                </c:pt>
                <c:pt idx="1054">
                  <c:v>593.78419999999994</c:v>
                </c:pt>
                <c:pt idx="1055">
                  <c:v>594.26700000000005</c:v>
                </c:pt>
                <c:pt idx="1056">
                  <c:v>594.67899999999997</c:v>
                </c:pt>
                <c:pt idx="1057">
                  <c:v>595.23440000000005</c:v>
                </c:pt>
                <c:pt idx="1058">
                  <c:v>595.76139999999998</c:v>
                </c:pt>
                <c:pt idx="1059">
                  <c:v>596.06939999999997</c:v>
                </c:pt>
                <c:pt idx="1060">
                  <c:v>596.35220000000004</c:v>
                </c:pt>
                <c:pt idx="1061">
                  <c:v>596.54780000000005</c:v>
                </c:pt>
                <c:pt idx="1062">
                  <c:v>596.56000000000006</c:v>
                </c:pt>
                <c:pt idx="1063">
                  <c:v>596.71240000000012</c:v>
                </c:pt>
                <c:pt idx="1064">
                  <c:v>596.80480000000011</c:v>
                </c:pt>
                <c:pt idx="1065">
                  <c:v>597.0386000000002</c:v>
                </c:pt>
                <c:pt idx="1066">
                  <c:v>597.36000000000013</c:v>
                </c:pt>
                <c:pt idx="1067">
                  <c:v>597.55240000000015</c:v>
                </c:pt>
                <c:pt idx="1068">
                  <c:v>597.78200000000015</c:v>
                </c:pt>
                <c:pt idx="1069">
                  <c:v>598.05640000000017</c:v>
                </c:pt>
                <c:pt idx="1070">
                  <c:v>598.3094000000001</c:v>
                </c:pt>
                <c:pt idx="1071">
                  <c:v>598.41460000000006</c:v>
                </c:pt>
                <c:pt idx="1072">
                  <c:v>598.56100000000004</c:v>
                </c:pt>
                <c:pt idx="1073">
                  <c:v>598.65420000000006</c:v>
                </c:pt>
                <c:pt idx="1074">
                  <c:v>598.74479999999994</c:v>
                </c:pt>
                <c:pt idx="1075">
                  <c:v>598.88839999999993</c:v>
                </c:pt>
                <c:pt idx="1076">
                  <c:v>599.00979999999993</c:v>
                </c:pt>
                <c:pt idx="1077">
                  <c:v>599.16140000000007</c:v>
                </c:pt>
                <c:pt idx="1078">
                  <c:v>599.2668000000001</c:v>
                </c:pt>
                <c:pt idx="1079">
                  <c:v>599.34120000000007</c:v>
                </c:pt>
                <c:pt idx="1080">
                  <c:v>599.18380000000002</c:v>
                </c:pt>
                <c:pt idx="1081">
                  <c:v>599.03440000000012</c:v>
                </c:pt>
                <c:pt idx="1082">
                  <c:v>598.86320000000012</c:v>
                </c:pt>
                <c:pt idx="1083">
                  <c:v>598.60480000000007</c:v>
                </c:pt>
                <c:pt idx="1084">
                  <c:v>598.21920000000011</c:v>
                </c:pt>
                <c:pt idx="1085">
                  <c:v>598.01860000000011</c:v>
                </c:pt>
                <c:pt idx="1086">
                  <c:v>597.55820000000017</c:v>
                </c:pt>
                <c:pt idx="1087">
                  <c:v>597.00960000000009</c:v>
                </c:pt>
                <c:pt idx="1088">
                  <c:v>596.94520000000011</c:v>
                </c:pt>
                <c:pt idx="1089">
                  <c:v>596.67740000000015</c:v>
                </c:pt>
                <c:pt idx="1090">
                  <c:v>596.3728000000001</c:v>
                </c:pt>
                <c:pt idx="1091">
                  <c:v>595.69060000000013</c:v>
                </c:pt>
                <c:pt idx="1092">
                  <c:v>594.78300000000002</c:v>
                </c:pt>
                <c:pt idx="1093">
                  <c:v>593.93359999999996</c:v>
                </c:pt>
                <c:pt idx="1094">
                  <c:v>593.06179999999995</c:v>
                </c:pt>
                <c:pt idx="1095">
                  <c:v>592.55360000000007</c:v>
                </c:pt>
                <c:pt idx="1096">
                  <c:v>592.17500000000007</c:v>
                </c:pt>
                <c:pt idx="1097">
                  <c:v>591.70260000000007</c:v>
                </c:pt>
                <c:pt idx="1098">
                  <c:v>591.20620000000008</c:v>
                </c:pt>
                <c:pt idx="1099">
                  <c:v>590.60880000000009</c:v>
                </c:pt>
                <c:pt idx="1100">
                  <c:v>590.11580000000004</c:v>
                </c:pt>
                <c:pt idx="1101">
                  <c:v>589.80760000000009</c:v>
                </c:pt>
                <c:pt idx="1102">
                  <c:v>589.70700000000011</c:v>
                </c:pt>
                <c:pt idx="1103">
                  <c:v>589.45100000000014</c:v>
                </c:pt>
                <c:pt idx="1104">
                  <c:v>589.14880000000016</c:v>
                </c:pt>
                <c:pt idx="1105">
                  <c:v>588.40640000000008</c:v>
                </c:pt>
                <c:pt idx="1106">
                  <c:v>587.76140000000009</c:v>
                </c:pt>
                <c:pt idx="1107">
                  <c:v>587.02920000000006</c:v>
                </c:pt>
                <c:pt idx="1108">
                  <c:v>586.25860000000011</c:v>
                </c:pt>
                <c:pt idx="1109">
                  <c:v>584.86380000000008</c:v>
                </c:pt>
                <c:pt idx="1110">
                  <c:v>582.77440000000013</c:v>
                </c:pt>
                <c:pt idx="1111">
                  <c:v>580.70260000000007</c:v>
                </c:pt>
                <c:pt idx="1112">
                  <c:v>578.64480000000015</c:v>
                </c:pt>
                <c:pt idx="1113">
                  <c:v>577.52680000000009</c:v>
                </c:pt>
                <c:pt idx="1114">
                  <c:v>575.98220000000003</c:v>
                </c:pt>
                <c:pt idx="1115">
                  <c:v>574.56020000000024</c:v>
                </c:pt>
                <c:pt idx="1116">
                  <c:v>573.30620000000022</c:v>
                </c:pt>
                <c:pt idx="1117">
                  <c:v>572.10300000000018</c:v>
                </c:pt>
                <c:pt idx="1118">
                  <c:v>570.58060000000023</c:v>
                </c:pt>
                <c:pt idx="1119">
                  <c:v>569.02440000000013</c:v>
                </c:pt>
                <c:pt idx="1120">
                  <c:v>567.17560000000014</c:v>
                </c:pt>
                <c:pt idx="1121">
                  <c:v>565.7052000000001</c:v>
                </c:pt>
                <c:pt idx="1122">
                  <c:v>564.31659999999999</c:v>
                </c:pt>
                <c:pt idx="1123">
                  <c:v>563.14419999999996</c:v>
                </c:pt>
                <c:pt idx="1124">
                  <c:v>562.08979999999997</c:v>
                </c:pt>
                <c:pt idx="1125">
                  <c:v>560.91219999999998</c:v>
                </c:pt>
                <c:pt idx="1126">
                  <c:v>559.80459999999994</c:v>
                </c:pt>
                <c:pt idx="1127">
                  <c:v>558.66559999999993</c:v>
                </c:pt>
                <c:pt idx="1128">
                  <c:v>557.57639999999992</c:v>
                </c:pt>
                <c:pt idx="1129">
                  <c:v>556.70399999999984</c:v>
                </c:pt>
                <c:pt idx="1130">
                  <c:v>555.97539999999981</c:v>
                </c:pt>
                <c:pt idx="1131">
                  <c:v>555.20719999999983</c:v>
                </c:pt>
                <c:pt idx="1132">
                  <c:v>554.54539999999986</c:v>
                </c:pt>
                <c:pt idx="1133">
                  <c:v>553.95579999999984</c:v>
                </c:pt>
                <c:pt idx="1134">
                  <c:v>553.5415999999999</c:v>
                </c:pt>
                <c:pt idx="1135">
                  <c:v>553.31779999999992</c:v>
                </c:pt>
                <c:pt idx="1136">
                  <c:v>553.37919999999997</c:v>
                </c:pt>
                <c:pt idx="1137">
                  <c:v>553.59379999999999</c:v>
                </c:pt>
                <c:pt idx="1138">
                  <c:v>553.74180000000001</c:v>
                </c:pt>
                <c:pt idx="1139">
                  <c:v>554.17160000000001</c:v>
                </c:pt>
                <c:pt idx="1140">
                  <c:v>554.55020000000002</c:v>
                </c:pt>
                <c:pt idx="1141">
                  <c:v>555.19560000000001</c:v>
                </c:pt>
                <c:pt idx="1142">
                  <c:v>555.73440000000005</c:v>
                </c:pt>
                <c:pt idx="1143">
                  <c:v>556.2188000000001</c:v>
                </c:pt>
                <c:pt idx="1144">
                  <c:v>556.77260000000012</c:v>
                </c:pt>
                <c:pt idx="1145">
                  <c:v>557.33940000000007</c:v>
                </c:pt>
                <c:pt idx="1146">
                  <c:v>557.75100000000009</c:v>
                </c:pt>
                <c:pt idx="1147">
                  <c:v>558.33159999999998</c:v>
                </c:pt>
                <c:pt idx="1148">
                  <c:v>558.77680000000009</c:v>
                </c:pt>
                <c:pt idx="1149">
                  <c:v>559.32119999999998</c:v>
                </c:pt>
                <c:pt idx="1150">
                  <c:v>559.96340000000009</c:v>
                </c:pt>
                <c:pt idx="1151">
                  <c:v>560.40039999999999</c:v>
                </c:pt>
                <c:pt idx="1152">
                  <c:v>560.7521999999999</c:v>
                </c:pt>
                <c:pt idx="1153">
                  <c:v>561.36319999999989</c:v>
                </c:pt>
                <c:pt idx="1154">
                  <c:v>562.01519999999982</c:v>
                </c:pt>
                <c:pt idx="1155">
                  <c:v>562.96359999999993</c:v>
                </c:pt>
                <c:pt idx="1156">
                  <c:v>563.803</c:v>
                </c:pt>
                <c:pt idx="1157">
                  <c:v>564.65859999999998</c:v>
                </c:pt>
                <c:pt idx="1158">
                  <c:v>565.30819999999994</c:v>
                </c:pt>
                <c:pt idx="1159">
                  <c:v>566.62779999999987</c:v>
                </c:pt>
                <c:pt idx="1160">
                  <c:v>568.47280000000001</c:v>
                </c:pt>
                <c:pt idx="1161">
                  <c:v>570.33400000000006</c:v>
                </c:pt>
                <c:pt idx="1162">
                  <c:v>572.29</c:v>
                </c:pt>
                <c:pt idx="1163">
                  <c:v>573.32060000000001</c:v>
                </c:pt>
                <c:pt idx="1164">
                  <c:v>574.96460000000002</c:v>
                </c:pt>
                <c:pt idx="1165">
                  <c:v>576.42819999999995</c:v>
                </c:pt>
                <c:pt idx="1166">
                  <c:v>577.88319999999999</c:v>
                </c:pt>
                <c:pt idx="1167">
                  <c:v>579.42920000000004</c:v>
                </c:pt>
                <c:pt idx="1168">
                  <c:v>581.27299999999991</c:v>
                </c:pt>
                <c:pt idx="1169">
                  <c:v>583.09780000000001</c:v>
                </c:pt>
                <c:pt idx="1170">
                  <c:v>585.22919999999999</c:v>
                </c:pt>
                <c:pt idx="1171">
                  <c:v>587.19100000000003</c:v>
                </c:pt>
                <c:pt idx="1172">
                  <c:v>588.89620000000002</c:v>
                </c:pt>
                <c:pt idx="1173">
                  <c:v>590.36919999999998</c:v>
                </c:pt>
                <c:pt idx="1174">
                  <c:v>591.83760000000007</c:v>
                </c:pt>
                <c:pt idx="1175">
                  <c:v>593.33699999999999</c:v>
                </c:pt>
                <c:pt idx="1176">
                  <c:v>594.72299999999996</c:v>
                </c:pt>
                <c:pt idx="1177">
                  <c:v>596.12839999999994</c:v>
                </c:pt>
                <c:pt idx="1178">
                  <c:v>597.40179999999987</c:v>
                </c:pt>
                <c:pt idx="1179">
                  <c:v>598.55099999999993</c:v>
                </c:pt>
                <c:pt idx="1180">
                  <c:v>599.84159999999986</c:v>
                </c:pt>
                <c:pt idx="1181">
                  <c:v>601.21719999999993</c:v>
                </c:pt>
                <c:pt idx="1182">
                  <c:v>602.56960000000004</c:v>
                </c:pt>
                <c:pt idx="1183">
                  <c:v>603.8456000000001</c:v>
                </c:pt>
                <c:pt idx="1184">
                  <c:v>605.24300000000005</c:v>
                </c:pt>
                <c:pt idx="1185">
                  <c:v>606.27160000000015</c:v>
                </c:pt>
                <c:pt idx="1186">
                  <c:v>607.27679999999998</c:v>
                </c:pt>
                <c:pt idx="1187">
                  <c:v>608.26380000000006</c:v>
                </c:pt>
                <c:pt idx="1188">
                  <c:v>609.15980000000013</c:v>
                </c:pt>
                <c:pt idx="1189">
                  <c:v>609.96500000000015</c:v>
                </c:pt>
                <c:pt idx="1190">
                  <c:v>610.70960000000014</c:v>
                </c:pt>
                <c:pt idx="1191">
                  <c:v>611.28700000000015</c:v>
                </c:pt>
                <c:pt idx="1192">
                  <c:v>612.25320000000011</c:v>
                </c:pt>
                <c:pt idx="1193">
                  <c:v>613.15080000000012</c:v>
                </c:pt>
                <c:pt idx="1194">
                  <c:v>614.22420000000011</c:v>
                </c:pt>
                <c:pt idx="1195">
                  <c:v>615.0462</c:v>
                </c:pt>
                <c:pt idx="1196">
                  <c:v>616.03520000000003</c:v>
                </c:pt>
                <c:pt idx="1197">
                  <c:v>616.95260000000007</c:v>
                </c:pt>
                <c:pt idx="1198">
                  <c:v>618.01859999999988</c:v>
                </c:pt>
                <c:pt idx="1199">
                  <c:v>619.06219999999996</c:v>
                </c:pt>
                <c:pt idx="1200">
                  <c:v>620.0394</c:v>
                </c:pt>
                <c:pt idx="1201">
                  <c:v>620.98959999999988</c:v>
                </c:pt>
                <c:pt idx="1202">
                  <c:v>621.99459999999988</c:v>
                </c:pt>
                <c:pt idx="1203">
                  <c:v>622.80799999999977</c:v>
                </c:pt>
                <c:pt idx="1204">
                  <c:v>623.57659999999987</c:v>
                </c:pt>
                <c:pt idx="1205">
                  <c:v>624.22599999999977</c:v>
                </c:pt>
                <c:pt idx="1206">
                  <c:v>625.10499999999979</c:v>
                </c:pt>
                <c:pt idx="1207">
                  <c:v>625.87939999999992</c:v>
                </c:pt>
                <c:pt idx="1208">
                  <c:v>626.84259999999983</c:v>
                </c:pt>
                <c:pt idx="1209">
                  <c:v>627.72159999999997</c:v>
                </c:pt>
                <c:pt idx="1210">
                  <c:v>628.74939999999992</c:v>
                </c:pt>
                <c:pt idx="1211">
                  <c:v>629.70159999999998</c:v>
                </c:pt>
                <c:pt idx="1212">
                  <c:v>630.62139999999999</c:v>
                </c:pt>
                <c:pt idx="1213">
                  <c:v>631.49320000000012</c:v>
                </c:pt>
                <c:pt idx="1214">
                  <c:v>632.33999999999992</c:v>
                </c:pt>
                <c:pt idx="1215">
                  <c:v>633.14240000000007</c:v>
                </c:pt>
                <c:pt idx="1216">
                  <c:v>633.88160000000005</c:v>
                </c:pt>
                <c:pt idx="1217">
                  <c:v>634.59</c:v>
                </c:pt>
                <c:pt idx="1218">
                  <c:v>635.27719999999999</c:v>
                </c:pt>
                <c:pt idx="1219">
                  <c:v>636.07680000000005</c:v>
                </c:pt>
                <c:pt idx="1220">
                  <c:v>636.81600000000014</c:v>
                </c:pt>
                <c:pt idx="1221">
                  <c:v>637.52740000000017</c:v>
                </c:pt>
                <c:pt idx="1222">
                  <c:v>638.31380000000013</c:v>
                </c:pt>
                <c:pt idx="1223">
                  <c:v>639.09060000000022</c:v>
                </c:pt>
                <c:pt idx="1224">
                  <c:v>639.85460000000012</c:v>
                </c:pt>
                <c:pt idx="1225">
                  <c:v>640.61220000000014</c:v>
                </c:pt>
                <c:pt idx="1226">
                  <c:v>641.47660000000019</c:v>
                </c:pt>
                <c:pt idx="1227">
                  <c:v>642.2446000000001</c:v>
                </c:pt>
                <c:pt idx="1228">
                  <c:v>643.02380000000016</c:v>
                </c:pt>
                <c:pt idx="1229">
                  <c:v>643.70040000000006</c:v>
                </c:pt>
                <c:pt idx="1230">
                  <c:v>644.37600000000009</c:v>
                </c:pt>
                <c:pt idx="1231">
                  <c:v>645.09800000000007</c:v>
                </c:pt>
                <c:pt idx="1232">
                  <c:v>645.84620000000007</c:v>
                </c:pt>
                <c:pt idx="1233">
                  <c:v>646.63800000000003</c:v>
                </c:pt>
                <c:pt idx="1234">
                  <c:v>647.33820000000003</c:v>
                </c:pt>
                <c:pt idx="1235">
                  <c:v>648.03399999999999</c:v>
                </c:pt>
                <c:pt idx="1236">
                  <c:v>648.7242</c:v>
                </c:pt>
                <c:pt idx="1237">
                  <c:v>649.36779999999999</c:v>
                </c:pt>
                <c:pt idx="1238">
                  <c:v>650.12479999999994</c:v>
                </c:pt>
                <c:pt idx="1239">
                  <c:v>650.85879999999997</c:v>
                </c:pt>
                <c:pt idx="1240">
                  <c:v>651.27760000000001</c:v>
                </c:pt>
                <c:pt idx="1241">
                  <c:v>652.10399999999993</c:v>
                </c:pt>
                <c:pt idx="1242">
                  <c:v>652.72519999999997</c:v>
                </c:pt>
                <c:pt idx="1243">
                  <c:v>653.46919999999989</c:v>
                </c:pt>
                <c:pt idx="1244">
                  <c:v>654.02639999999997</c:v>
                </c:pt>
                <c:pt idx="1245">
                  <c:v>654.66919999999993</c:v>
                </c:pt>
                <c:pt idx="1246">
                  <c:v>655.35159999999985</c:v>
                </c:pt>
                <c:pt idx="1247">
                  <c:v>656.05899999999974</c:v>
                </c:pt>
                <c:pt idx="1248">
                  <c:v>656.56119999999999</c:v>
                </c:pt>
                <c:pt idx="1249">
                  <c:v>657.09859999999981</c:v>
                </c:pt>
                <c:pt idx="1250">
                  <c:v>657.74459999999988</c:v>
                </c:pt>
                <c:pt idx="1251">
                  <c:v>658.58059999999978</c:v>
                </c:pt>
                <c:pt idx="1252">
                  <c:v>659.45579999999984</c:v>
                </c:pt>
                <c:pt idx="1253">
                  <c:v>660.40740000000005</c:v>
                </c:pt>
                <c:pt idx="1254">
                  <c:v>661.24180000000013</c:v>
                </c:pt>
                <c:pt idx="1255">
                  <c:v>662.17200000000003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3E-46AA-94F0-51279CA4A2AE}"/>
            </c:ext>
          </c:extLst>
        </c:ser>
        <c:ser>
          <c:idx val="2"/>
          <c:order val="2"/>
          <c:tx>
            <c:strRef>
              <c:f>SPY_close_price!$D$2</c:f>
              <c:strCache>
                <c:ptCount val="1"/>
                <c:pt idx="0">
                  <c:v>200-MA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SPY_close_price!$A$3:$A$1258</c:f>
              <c:numCache>
                <c:formatCode>m/d/yyyy</c:formatCode>
                <c:ptCount val="1256"/>
                <c:pt idx="0">
                  <c:v>44137</c:v>
                </c:pt>
                <c:pt idx="1">
                  <c:v>44138</c:v>
                </c:pt>
                <c:pt idx="2">
                  <c:v>44139</c:v>
                </c:pt>
                <c:pt idx="3">
                  <c:v>44140</c:v>
                </c:pt>
                <c:pt idx="4">
                  <c:v>44141</c:v>
                </c:pt>
                <c:pt idx="5">
                  <c:v>44144</c:v>
                </c:pt>
                <c:pt idx="6">
                  <c:v>44145</c:v>
                </c:pt>
                <c:pt idx="7">
                  <c:v>44146</c:v>
                </c:pt>
                <c:pt idx="8">
                  <c:v>44147</c:v>
                </c:pt>
                <c:pt idx="9">
                  <c:v>44148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44158</c:v>
                </c:pt>
                <c:pt idx="16">
                  <c:v>44159</c:v>
                </c:pt>
                <c:pt idx="17">
                  <c:v>44160</c:v>
                </c:pt>
                <c:pt idx="18">
                  <c:v>44162</c:v>
                </c:pt>
                <c:pt idx="19">
                  <c:v>44165</c:v>
                </c:pt>
                <c:pt idx="20">
                  <c:v>44166</c:v>
                </c:pt>
                <c:pt idx="21">
                  <c:v>44167</c:v>
                </c:pt>
                <c:pt idx="22">
                  <c:v>44168</c:v>
                </c:pt>
                <c:pt idx="23">
                  <c:v>44169</c:v>
                </c:pt>
                <c:pt idx="24">
                  <c:v>44172</c:v>
                </c:pt>
                <c:pt idx="25">
                  <c:v>44173</c:v>
                </c:pt>
                <c:pt idx="26">
                  <c:v>44174</c:v>
                </c:pt>
                <c:pt idx="27">
                  <c:v>44175</c:v>
                </c:pt>
                <c:pt idx="28">
                  <c:v>44176</c:v>
                </c:pt>
                <c:pt idx="29">
                  <c:v>44179</c:v>
                </c:pt>
                <c:pt idx="30">
                  <c:v>44180</c:v>
                </c:pt>
                <c:pt idx="31">
                  <c:v>44181</c:v>
                </c:pt>
                <c:pt idx="32">
                  <c:v>44182</c:v>
                </c:pt>
                <c:pt idx="33">
                  <c:v>44183</c:v>
                </c:pt>
                <c:pt idx="34">
                  <c:v>44186</c:v>
                </c:pt>
                <c:pt idx="35">
                  <c:v>44187</c:v>
                </c:pt>
                <c:pt idx="36">
                  <c:v>44188</c:v>
                </c:pt>
                <c:pt idx="37">
                  <c:v>44189</c:v>
                </c:pt>
                <c:pt idx="38">
                  <c:v>44193</c:v>
                </c:pt>
                <c:pt idx="39">
                  <c:v>44194</c:v>
                </c:pt>
                <c:pt idx="40">
                  <c:v>44195</c:v>
                </c:pt>
                <c:pt idx="41">
                  <c:v>44196</c:v>
                </c:pt>
                <c:pt idx="42">
                  <c:v>44200</c:v>
                </c:pt>
                <c:pt idx="43">
                  <c:v>44201</c:v>
                </c:pt>
                <c:pt idx="44">
                  <c:v>44202</c:v>
                </c:pt>
                <c:pt idx="45">
                  <c:v>44203</c:v>
                </c:pt>
                <c:pt idx="46">
                  <c:v>44204</c:v>
                </c:pt>
                <c:pt idx="47">
                  <c:v>44207</c:v>
                </c:pt>
                <c:pt idx="48">
                  <c:v>44208</c:v>
                </c:pt>
                <c:pt idx="49">
                  <c:v>44209</c:v>
                </c:pt>
                <c:pt idx="50">
                  <c:v>44210</c:v>
                </c:pt>
                <c:pt idx="51">
                  <c:v>44211</c:v>
                </c:pt>
                <c:pt idx="52">
                  <c:v>44215</c:v>
                </c:pt>
                <c:pt idx="53">
                  <c:v>44216</c:v>
                </c:pt>
                <c:pt idx="54">
                  <c:v>44217</c:v>
                </c:pt>
                <c:pt idx="55">
                  <c:v>44218</c:v>
                </c:pt>
                <c:pt idx="56">
                  <c:v>44221</c:v>
                </c:pt>
                <c:pt idx="57">
                  <c:v>44222</c:v>
                </c:pt>
                <c:pt idx="58">
                  <c:v>44223</c:v>
                </c:pt>
                <c:pt idx="59">
                  <c:v>44224</c:v>
                </c:pt>
                <c:pt idx="60">
                  <c:v>44225</c:v>
                </c:pt>
                <c:pt idx="61">
                  <c:v>44228</c:v>
                </c:pt>
                <c:pt idx="62">
                  <c:v>44229</c:v>
                </c:pt>
                <c:pt idx="63">
                  <c:v>44230</c:v>
                </c:pt>
                <c:pt idx="64">
                  <c:v>44231</c:v>
                </c:pt>
                <c:pt idx="65">
                  <c:v>44232</c:v>
                </c:pt>
                <c:pt idx="66">
                  <c:v>44235</c:v>
                </c:pt>
                <c:pt idx="67">
                  <c:v>44236</c:v>
                </c:pt>
                <c:pt idx="68">
                  <c:v>44237</c:v>
                </c:pt>
                <c:pt idx="69">
                  <c:v>44238</c:v>
                </c:pt>
                <c:pt idx="70">
                  <c:v>44239</c:v>
                </c:pt>
                <c:pt idx="71">
                  <c:v>44243</c:v>
                </c:pt>
                <c:pt idx="72">
                  <c:v>44244</c:v>
                </c:pt>
                <c:pt idx="73">
                  <c:v>44245</c:v>
                </c:pt>
                <c:pt idx="74">
                  <c:v>44246</c:v>
                </c:pt>
                <c:pt idx="75">
                  <c:v>44249</c:v>
                </c:pt>
                <c:pt idx="76">
                  <c:v>44250</c:v>
                </c:pt>
                <c:pt idx="77">
                  <c:v>44251</c:v>
                </c:pt>
                <c:pt idx="78">
                  <c:v>44252</c:v>
                </c:pt>
                <c:pt idx="79">
                  <c:v>44253</c:v>
                </c:pt>
                <c:pt idx="80">
                  <c:v>44256</c:v>
                </c:pt>
                <c:pt idx="81">
                  <c:v>44257</c:v>
                </c:pt>
                <c:pt idx="82">
                  <c:v>44258</c:v>
                </c:pt>
                <c:pt idx="83">
                  <c:v>44259</c:v>
                </c:pt>
                <c:pt idx="84">
                  <c:v>44260</c:v>
                </c:pt>
                <c:pt idx="85">
                  <c:v>44263</c:v>
                </c:pt>
                <c:pt idx="86">
                  <c:v>44264</c:v>
                </c:pt>
                <c:pt idx="87">
                  <c:v>44265</c:v>
                </c:pt>
                <c:pt idx="88">
                  <c:v>44266</c:v>
                </c:pt>
                <c:pt idx="89">
                  <c:v>44267</c:v>
                </c:pt>
                <c:pt idx="90">
                  <c:v>44270</c:v>
                </c:pt>
                <c:pt idx="91">
                  <c:v>44271</c:v>
                </c:pt>
                <c:pt idx="92">
                  <c:v>44272</c:v>
                </c:pt>
                <c:pt idx="93">
                  <c:v>44273</c:v>
                </c:pt>
                <c:pt idx="94">
                  <c:v>44274</c:v>
                </c:pt>
                <c:pt idx="95">
                  <c:v>44277</c:v>
                </c:pt>
                <c:pt idx="96">
                  <c:v>44278</c:v>
                </c:pt>
                <c:pt idx="97">
                  <c:v>44279</c:v>
                </c:pt>
                <c:pt idx="98">
                  <c:v>44280</c:v>
                </c:pt>
                <c:pt idx="99">
                  <c:v>44281</c:v>
                </c:pt>
                <c:pt idx="100">
                  <c:v>44284</c:v>
                </c:pt>
                <c:pt idx="101">
                  <c:v>44285</c:v>
                </c:pt>
                <c:pt idx="102">
                  <c:v>44286</c:v>
                </c:pt>
                <c:pt idx="103">
                  <c:v>44287</c:v>
                </c:pt>
                <c:pt idx="104">
                  <c:v>44291</c:v>
                </c:pt>
                <c:pt idx="105">
                  <c:v>44292</c:v>
                </c:pt>
                <c:pt idx="106">
                  <c:v>44293</c:v>
                </c:pt>
                <c:pt idx="107">
                  <c:v>44294</c:v>
                </c:pt>
                <c:pt idx="108">
                  <c:v>44295</c:v>
                </c:pt>
                <c:pt idx="109">
                  <c:v>44298</c:v>
                </c:pt>
                <c:pt idx="110">
                  <c:v>44299</c:v>
                </c:pt>
                <c:pt idx="111">
                  <c:v>44300</c:v>
                </c:pt>
                <c:pt idx="112">
                  <c:v>44301</c:v>
                </c:pt>
                <c:pt idx="113">
                  <c:v>44302</c:v>
                </c:pt>
                <c:pt idx="114">
                  <c:v>44305</c:v>
                </c:pt>
                <c:pt idx="115">
                  <c:v>44306</c:v>
                </c:pt>
                <c:pt idx="116">
                  <c:v>44307</c:v>
                </c:pt>
                <c:pt idx="117">
                  <c:v>44308</c:v>
                </c:pt>
                <c:pt idx="118">
                  <c:v>44309</c:v>
                </c:pt>
                <c:pt idx="119">
                  <c:v>44312</c:v>
                </c:pt>
                <c:pt idx="120">
                  <c:v>44313</c:v>
                </c:pt>
                <c:pt idx="121">
                  <c:v>44314</c:v>
                </c:pt>
                <c:pt idx="122">
                  <c:v>44315</c:v>
                </c:pt>
                <c:pt idx="123">
                  <c:v>44316</c:v>
                </c:pt>
                <c:pt idx="124">
                  <c:v>44319</c:v>
                </c:pt>
                <c:pt idx="125">
                  <c:v>44320</c:v>
                </c:pt>
                <c:pt idx="126">
                  <c:v>44321</c:v>
                </c:pt>
                <c:pt idx="127">
                  <c:v>44322</c:v>
                </c:pt>
                <c:pt idx="128">
                  <c:v>44323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44333</c:v>
                </c:pt>
                <c:pt idx="135">
                  <c:v>44334</c:v>
                </c:pt>
                <c:pt idx="136">
                  <c:v>44335</c:v>
                </c:pt>
                <c:pt idx="137">
                  <c:v>44336</c:v>
                </c:pt>
                <c:pt idx="138">
                  <c:v>44337</c:v>
                </c:pt>
                <c:pt idx="139">
                  <c:v>44340</c:v>
                </c:pt>
                <c:pt idx="140">
                  <c:v>44341</c:v>
                </c:pt>
                <c:pt idx="141">
                  <c:v>44342</c:v>
                </c:pt>
                <c:pt idx="142">
                  <c:v>44343</c:v>
                </c:pt>
                <c:pt idx="143">
                  <c:v>44344</c:v>
                </c:pt>
                <c:pt idx="144">
                  <c:v>44348</c:v>
                </c:pt>
                <c:pt idx="145">
                  <c:v>44349</c:v>
                </c:pt>
                <c:pt idx="146">
                  <c:v>44350</c:v>
                </c:pt>
                <c:pt idx="147">
                  <c:v>44351</c:v>
                </c:pt>
                <c:pt idx="148">
                  <c:v>44354</c:v>
                </c:pt>
                <c:pt idx="149">
                  <c:v>44355</c:v>
                </c:pt>
                <c:pt idx="150">
                  <c:v>44356</c:v>
                </c:pt>
                <c:pt idx="151">
                  <c:v>44357</c:v>
                </c:pt>
                <c:pt idx="152">
                  <c:v>44358</c:v>
                </c:pt>
                <c:pt idx="153">
                  <c:v>44361</c:v>
                </c:pt>
                <c:pt idx="154">
                  <c:v>44362</c:v>
                </c:pt>
                <c:pt idx="155">
                  <c:v>44363</c:v>
                </c:pt>
                <c:pt idx="156">
                  <c:v>44364</c:v>
                </c:pt>
                <c:pt idx="157">
                  <c:v>44365</c:v>
                </c:pt>
                <c:pt idx="158">
                  <c:v>44368</c:v>
                </c:pt>
                <c:pt idx="159">
                  <c:v>44369</c:v>
                </c:pt>
                <c:pt idx="160">
                  <c:v>44370</c:v>
                </c:pt>
                <c:pt idx="161">
                  <c:v>44371</c:v>
                </c:pt>
                <c:pt idx="162">
                  <c:v>44372</c:v>
                </c:pt>
                <c:pt idx="163">
                  <c:v>44375</c:v>
                </c:pt>
                <c:pt idx="164">
                  <c:v>44376</c:v>
                </c:pt>
                <c:pt idx="165">
                  <c:v>44377</c:v>
                </c:pt>
                <c:pt idx="166">
                  <c:v>44378</c:v>
                </c:pt>
                <c:pt idx="167">
                  <c:v>44379</c:v>
                </c:pt>
                <c:pt idx="168">
                  <c:v>44383</c:v>
                </c:pt>
                <c:pt idx="169">
                  <c:v>44384</c:v>
                </c:pt>
                <c:pt idx="170">
                  <c:v>44385</c:v>
                </c:pt>
                <c:pt idx="171">
                  <c:v>44386</c:v>
                </c:pt>
                <c:pt idx="172">
                  <c:v>44389</c:v>
                </c:pt>
                <c:pt idx="173">
                  <c:v>44390</c:v>
                </c:pt>
                <c:pt idx="174">
                  <c:v>44391</c:v>
                </c:pt>
                <c:pt idx="175">
                  <c:v>44392</c:v>
                </c:pt>
                <c:pt idx="176">
                  <c:v>44393</c:v>
                </c:pt>
                <c:pt idx="177">
                  <c:v>44396</c:v>
                </c:pt>
                <c:pt idx="178">
                  <c:v>44397</c:v>
                </c:pt>
                <c:pt idx="179">
                  <c:v>44398</c:v>
                </c:pt>
                <c:pt idx="180">
                  <c:v>44399</c:v>
                </c:pt>
                <c:pt idx="181">
                  <c:v>44400</c:v>
                </c:pt>
                <c:pt idx="182">
                  <c:v>44403</c:v>
                </c:pt>
                <c:pt idx="183">
                  <c:v>44404</c:v>
                </c:pt>
                <c:pt idx="184">
                  <c:v>44405</c:v>
                </c:pt>
                <c:pt idx="185">
                  <c:v>44406</c:v>
                </c:pt>
                <c:pt idx="186">
                  <c:v>44407</c:v>
                </c:pt>
                <c:pt idx="187">
                  <c:v>44410</c:v>
                </c:pt>
                <c:pt idx="188">
                  <c:v>44411</c:v>
                </c:pt>
                <c:pt idx="189">
                  <c:v>44412</c:v>
                </c:pt>
                <c:pt idx="190">
                  <c:v>44413</c:v>
                </c:pt>
                <c:pt idx="191">
                  <c:v>44414</c:v>
                </c:pt>
                <c:pt idx="192">
                  <c:v>44417</c:v>
                </c:pt>
                <c:pt idx="193">
                  <c:v>44418</c:v>
                </c:pt>
                <c:pt idx="194">
                  <c:v>44419</c:v>
                </c:pt>
                <c:pt idx="195">
                  <c:v>44420</c:v>
                </c:pt>
                <c:pt idx="196">
                  <c:v>44421</c:v>
                </c:pt>
                <c:pt idx="197">
                  <c:v>44424</c:v>
                </c:pt>
                <c:pt idx="198">
                  <c:v>44425</c:v>
                </c:pt>
                <c:pt idx="199">
                  <c:v>44426</c:v>
                </c:pt>
                <c:pt idx="200">
                  <c:v>44427</c:v>
                </c:pt>
                <c:pt idx="201">
                  <c:v>44428</c:v>
                </c:pt>
                <c:pt idx="202">
                  <c:v>44431</c:v>
                </c:pt>
                <c:pt idx="203">
                  <c:v>44432</c:v>
                </c:pt>
                <c:pt idx="204">
                  <c:v>44433</c:v>
                </c:pt>
                <c:pt idx="205">
                  <c:v>44434</c:v>
                </c:pt>
                <c:pt idx="206">
                  <c:v>44435</c:v>
                </c:pt>
                <c:pt idx="207">
                  <c:v>44438</c:v>
                </c:pt>
                <c:pt idx="208">
                  <c:v>44439</c:v>
                </c:pt>
                <c:pt idx="209">
                  <c:v>44440</c:v>
                </c:pt>
                <c:pt idx="210">
                  <c:v>44441</c:v>
                </c:pt>
                <c:pt idx="211">
                  <c:v>44442</c:v>
                </c:pt>
                <c:pt idx="212">
                  <c:v>44446</c:v>
                </c:pt>
                <c:pt idx="213">
                  <c:v>44447</c:v>
                </c:pt>
                <c:pt idx="214">
                  <c:v>44448</c:v>
                </c:pt>
                <c:pt idx="215">
                  <c:v>44449</c:v>
                </c:pt>
                <c:pt idx="216">
                  <c:v>44452</c:v>
                </c:pt>
                <c:pt idx="217">
                  <c:v>44453</c:v>
                </c:pt>
                <c:pt idx="218">
                  <c:v>44454</c:v>
                </c:pt>
                <c:pt idx="219">
                  <c:v>44455</c:v>
                </c:pt>
                <c:pt idx="220">
                  <c:v>44456</c:v>
                </c:pt>
                <c:pt idx="221">
                  <c:v>44459</c:v>
                </c:pt>
                <c:pt idx="222">
                  <c:v>44460</c:v>
                </c:pt>
                <c:pt idx="223">
                  <c:v>44461</c:v>
                </c:pt>
                <c:pt idx="224">
                  <c:v>44462</c:v>
                </c:pt>
                <c:pt idx="225">
                  <c:v>44463</c:v>
                </c:pt>
                <c:pt idx="226">
                  <c:v>44466</c:v>
                </c:pt>
                <c:pt idx="227">
                  <c:v>44467</c:v>
                </c:pt>
                <c:pt idx="228">
                  <c:v>44468</c:v>
                </c:pt>
                <c:pt idx="229">
                  <c:v>44469</c:v>
                </c:pt>
                <c:pt idx="230">
                  <c:v>44470</c:v>
                </c:pt>
                <c:pt idx="231">
                  <c:v>44473</c:v>
                </c:pt>
                <c:pt idx="232">
                  <c:v>44474</c:v>
                </c:pt>
                <c:pt idx="233">
                  <c:v>44475</c:v>
                </c:pt>
                <c:pt idx="234">
                  <c:v>44476</c:v>
                </c:pt>
                <c:pt idx="235">
                  <c:v>44477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44487</c:v>
                </c:pt>
                <c:pt idx="242">
                  <c:v>44488</c:v>
                </c:pt>
                <c:pt idx="243">
                  <c:v>44489</c:v>
                </c:pt>
                <c:pt idx="244">
                  <c:v>44490</c:v>
                </c:pt>
                <c:pt idx="245">
                  <c:v>44491</c:v>
                </c:pt>
                <c:pt idx="246">
                  <c:v>44494</c:v>
                </c:pt>
                <c:pt idx="247">
                  <c:v>44495</c:v>
                </c:pt>
                <c:pt idx="248">
                  <c:v>44496</c:v>
                </c:pt>
                <c:pt idx="249">
                  <c:v>44497</c:v>
                </c:pt>
                <c:pt idx="250">
                  <c:v>44498</c:v>
                </c:pt>
                <c:pt idx="251">
                  <c:v>44501</c:v>
                </c:pt>
                <c:pt idx="252">
                  <c:v>44502</c:v>
                </c:pt>
                <c:pt idx="253">
                  <c:v>44503</c:v>
                </c:pt>
                <c:pt idx="254">
                  <c:v>44504</c:v>
                </c:pt>
                <c:pt idx="255">
                  <c:v>44505</c:v>
                </c:pt>
                <c:pt idx="256">
                  <c:v>44508</c:v>
                </c:pt>
                <c:pt idx="257">
                  <c:v>44509</c:v>
                </c:pt>
                <c:pt idx="258">
                  <c:v>44510</c:v>
                </c:pt>
                <c:pt idx="259">
                  <c:v>44511</c:v>
                </c:pt>
                <c:pt idx="260">
                  <c:v>44512</c:v>
                </c:pt>
                <c:pt idx="261">
                  <c:v>44515</c:v>
                </c:pt>
                <c:pt idx="262">
                  <c:v>44516</c:v>
                </c:pt>
                <c:pt idx="263">
                  <c:v>44517</c:v>
                </c:pt>
                <c:pt idx="264">
                  <c:v>44518</c:v>
                </c:pt>
                <c:pt idx="265">
                  <c:v>44519</c:v>
                </c:pt>
                <c:pt idx="266">
                  <c:v>44522</c:v>
                </c:pt>
                <c:pt idx="267">
                  <c:v>44523</c:v>
                </c:pt>
                <c:pt idx="268">
                  <c:v>44524</c:v>
                </c:pt>
                <c:pt idx="269">
                  <c:v>44526</c:v>
                </c:pt>
                <c:pt idx="270">
                  <c:v>44529</c:v>
                </c:pt>
                <c:pt idx="271">
                  <c:v>44530</c:v>
                </c:pt>
                <c:pt idx="272">
                  <c:v>44531</c:v>
                </c:pt>
                <c:pt idx="273">
                  <c:v>44532</c:v>
                </c:pt>
                <c:pt idx="274">
                  <c:v>44533</c:v>
                </c:pt>
                <c:pt idx="275">
                  <c:v>44536</c:v>
                </c:pt>
                <c:pt idx="276">
                  <c:v>44537</c:v>
                </c:pt>
                <c:pt idx="277">
                  <c:v>44538</c:v>
                </c:pt>
                <c:pt idx="278">
                  <c:v>44539</c:v>
                </c:pt>
                <c:pt idx="279">
                  <c:v>44540</c:v>
                </c:pt>
                <c:pt idx="280">
                  <c:v>44543</c:v>
                </c:pt>
                <c:pt idx="281">
                  <c:v>44544</c:v>
                </c:pt>
                <c:pt idx="282">
                  <c:v>44545</c:v>
                </c:pt>
                <c:pt idx="283">
                  <c:v>44546</c:v>
                </c:pt>
                <c:pt idx="284">
                  <c:v>44547</c:v>
                </c:pt>
                <c:pt idx="285">
                  <c:v>44550</c:v>
                </c:pt>
                <c:pt idx="286">
                  <c:v>44551</c:v>
                </c:pt>
                <c:pt idx="287">
                  <c:v>44552</c:v>
                </c:pt>
                <c:pt idx="288">
                  <c:v>44553</c:v>
                </c:pt>
                <c:pt idx="289">
                  <c:v>44557</c:v>
                </c:pt>
                <c:pt idx="290">
                  <c:v>44558</c:v>
                </c:pt>
                <c:pt idx="291">
                  <c:v>44559</c:v>
                </c:pt>
                <c:pt idx="292">
                  <c:v>44560</c:v>
                </c:pt>
                <c:pt idx="293">
                  <c:v>44561</c:v>
                </c:pt>
                <c:pt idx="294">
                  <c:v>44564</c:v>
                </c:pt>
                <c:pt idx="295">
                  <c:v>44565</c:v>
                </c:pt>
                <c:pt idx="296">
                  <c:v>44566</c:v>
                </c:pt>
                <c:pt idx="297">
                  <c:v>44567</c:v>
                </c:pt>
                <c:pt idx="298">
                  <c:v>44568</c:v>
                </c:pt>
                <c:pt idx="299">
                  <c:v>44571</c:v>
                </c:pt>
                <c:pt idx="300">
                  <c:v>44572</c:v>
                </c:pt>
                <c:pt idx="301">
                  <c:v>44573</c:v>
                </c:pt>
                <c:pt idx="302">
                  <c:v>44574</c:v>
                </c:pt>
                <c:pt idx="303">
                  <c:v>44575</c:v>
                </c:pt>
                <c:pt idx="304">
                  <c:v>44579</c:v>
                </c:pt>
                <c:pt idx="305">
                  <c:v>44580</c:v>
                </c:pt>
                <c:pt idx="306">
                  <c:v>44581</c:v>
                </c:pt>
                <c:pt idx="307">
                  <c:v>44582</c:v>
                </c:pt>
                <c:pt idx="308">
                  <c:v>44585</c:v>
                </c:pt>
                <c:pt idx="309">
                  <c:v>44586</c:v>
                </c:pt>
                <c:pt idx="310">
                  <c:v>44587</c:v>
                </c:pt>
                <c:pt idx="311">
                  <c:v>44588</c:v>
                </c:pt>
                <c:pt idx="312">
                  <c:v>44589</c:v>
                </c:pt>
                <c:pt idx="313">
                  <c:v>44592</c:v>
                </c:pt>
                <c:pt idx="314">
                  <c:v>44593</c:v>
                </c:pt>
                <c:pt idx="315">
                  <c:v>44594</c:v>
                </c:pt>
                <c:pt idx="316">
                  <c:v>44595</c:v>
                </c:pt>
                <c:pt idx="317">
                  <c:v>44596</c:v>
                </c:pt>
                <c:pt idx="318">
                  <c:v>44599</c:v>
                </c:pt>
                <c:pt idx="319">
                  <c:v>44600</c:v>
                </c:pt>
                <c:pt idx="320">
                  <c:v>44601</c:v>
                </c:pt>
                <c:pt idx="321">
                  <c:v>44602</c:v>
                </c:pt>
                <c:pt idx="322">
                  <c:v>44603</c:v>
                </c:pt>
                <c:pt idx="323">
                  <c:v>44606</c:v>
                </c:pt>
                <c:pt idx="324">
                  <c:v>44607</c:v>
                </c:pt>
                <c:pt idx="325">
                  <c:v>44608</c:v>
                </c:pt>
                <c:pt idx="326">
                  <c:v>44609</c:v>
                </c:pt>
                <c:pt idx="327">
                  <c:v>44610</c:v>
                </c:pt>
                <c:pt idx="328">
                  <c:v>44614</c:v>
                </c:pt>
                <c:pt idx="329">
                  <c:v>44615</c:v>
                </c:pt>
                <c:pt idx="330">
                  <c:v>44616</c:v>
                </c:pt>
                <c:pt idx="331">
                  <c:v>44617</c:v>
                </c:pt>
                <c:pt idx="332">
                  <c:v>44620</c:v>
                </c:pt>
                <c:pt idx="333">
                  <c:v>44621</c:v>
                </c:pt>
                <c:pt idx="334">
                  <c:v>44622</c:v>
                </c:pt>
                <c:pt idx="335">
                  <c:v>44623</c:v>
                </c:pt>
                <c:pt idx="336">
                  <c:v>44624</c:v>
                </c:pt>
                <c:pt idx="337">
                  <c:v>44627</c:v>
                </c:pt>
                <c:pt idx="338">
                  <c:v>44628</c:v>
                </c:pt>
                <c:pt idx="339">
                  <c:v>44629</c:v>
                </c:pt>
                <c:pt idx="340">
                  <c:v>44630</c:v>
                </c:pt>
                <c:pt idx="341">
                  <c:v>44631</c:v>
                </c:pt>
                <c:pt idx="342">
                  <c:v>44634</c:v>
                </c:pt>
                <c:pt idx="343">
                  <c:v>44635</c:v>
                </c:pt>
                <c:pt idx="344">
                  <c:v>44636</c:v>
                </c:pt>
                <c:pt idx="345">
                  <c:v>44637</c:v>
                </c:pt>
                <c:pt idx="346">
                  <c:v>44638</c:v>
                </c:pt>
                <c:pt idx="347">
                  <c:v>44641</c:v>
                </c:pt>
                <c:pt idx="348">
                  <c:v>44642</c:v>
                </c:pt>
                <c:pt idx="349">
                  <c:v>44643</c:v>
                </c:pt>
                <c:pt idx="350">
                  <c:v>44644</c:v>
                </c:pt>
                <c:pt idx="351">
                  <c:v>44645</c:v>
                </c:pt>
                <c:pt idx="352">
                  <c:v>44648</c:v>
                </c:pt>
                <c:pt idx="353">
                  <c:v>44649</c:v>
                </c:pt>
                <c:pt idx="354">
                  <c:v>44650</c:v>
                </c:pt>
                <c:pt idx="355">
                  <c:v>44651</c:v>
                </c:pt>
                <c:pt idx="356">
                  <c:v>44652</c:v>
                </c:pt>
                <c:pt idx="357">
                  <c:v>44655</c:v>
                </c:pt>
                <c:pt idx="358">
                  <c:v>44656</c:v>
                </c:pt>
                <c:pt idx="359">
                  <c:v>44657</c:v>
                </c:pt>
                <c:pt idx="360">
                  <c:v>44658</c:v>
                </c:pt>
                <c:pt idx="361">
                  <c:v>44659</c:v>
                </c:pt>
                <c:pt idx="362">
                  <c:v>44662</c:v>
                </c:pt>
                <c:pt idx="363">
                  <c:v>44663</c:v>
                </c:pt>
                <c:pt idx="364">
                  <c:v>44664</c:v>
                </c:pt>
                <c:pt idx="365">
                  <c:v>44665</c:v>
                </c:pt>
                <c:pt idx="366">
                  <c:v>44669</c:v>
                </c:pt>
                <c:pt idx="367">
                  <c:v>44670</c:v>
                </c:pt>
                <c:pt idx="368">
                  <c:v>44671</c:v>
                </c:pt>
                <c:pt idx="369">
                  <c:v>44672</c:v>
                </c:pt>
                <c:pt idx="370">
                  <c:v>44673</c:v>
                </c:pt>
                <c:pt idx="371">
                  <c:v>44676</c:v>
                </c:pt>
                <c:pt idx="372">
                  <c:v>44677</c:v>
                </c:pt>
                <c:pt idx="373">
                  <c:v>44678</c:v>
                </c:pt>
                <c:pt idx="374">
                  <c:v>44679</c:v>
                </c:pt>
                <c:pt idx="375">
                  <c:v>44680</c:v>
                </c:pt>
                <c:pt idx="376">
                  <c:v>44683</c:v>
                </c:pt>
                <c:pt idx="377">
                  <c:v>44684</c:v>
                </c:pt>
                <c:pt idx="378">
                  <c:v>44685</c:v>
                </c:pt>
                <c:pt idx="379">
                  <c:v>44686</c:v>
                </c:pt>
                <c:pt idx="380">
                  <c:v>44687</c:v>
                </c:pt>
                <c:pt idx="381">
                  <c:v>44690</c:v>
                </c:pt>
                <c:pt idx="382">
                  <c:v>44691</c:v>
                </c:pt>
                <c:pt idx="383">
                  <c:v>44692</c:v>
                </c:pt>
                <c:pt idx="384">
                  <c:v>44693</c:v>
                </c:pt>
                <c:pt idx="385">
                  <c:v>44694</c:v>
                </c:pt>
                <c:pt idx="386">
                  <c:v>44697</c:v>
                </c:pt>
                <c:pt idx="387">
                  <c:v>44698</c:v>
                </c:pt>
                <c:pt idx="388">
                  <c:v>44699</c:v>
                </c:pt>
                <c:pt idx="389">
                  <c:v>44700</c:v>
                </c:pt>
                <c:pt idx="390">
                  <c:v>44701</c:v>
                </c:pt>
                <c:pt idx="391">
                  <c:v>44704</c:v>
                </c:pt>
                <c:pt idx="392">
                  <c:v>44705</c:v>
                </c:pt>
                <c:pt idx="393">
                  <c:v>44706</c:v>
                </c:pt>
                <c:pt idx="394">
                  <c:v>44707</c:v>
                </c:pt>
                <c:pt idx="395">
                  <c:v>44708</c:v>
                </c:pt>
                <c:pt idx="396">
                  <c:v>44712</c:v>
                </c:pt>
                <c:pt idx="397">
                  <c:v>44713</c:v>
                </c:pt>
                <c:pt idx="398">
                  <c:v>44714</c:v>
                </c:pt>
                <c:pt idx="399">
                  <c:v>44715</c:v>
                </c:pt>
                <c:pt idx="400">
                  <c:v>44718</c:v>
                </c:pt>
                <c:pt idx="401">
                  <c:v>44719</c:v>
                </c:pt>
                <c:pt idx="402">
                  <c:v>44720</c:v>
                </c:pt>
                <c:pt idx="403">
                  <c:v>44721</c:v>
                </c:pt>
                <c:pt idx="404">
                  <c:v>44722</c:v>
                </c:pt>
                <c:pt idx="405">
                  <c:v>44725</c:v>
                </c:pt>
                <c:pt idx="406">
                  <c:v>44726</c:v>
                </c:pt>
                <c:pt idx="407">
                  <c:v>44727</c:v>
                </c:pt>
                <c:pt idx="408">
                  <c:v>44728</c:v>
                </c:pt>
                <c:pt idx="409">
                  <c:v>44729</c:v>
                </c:pt>
                <c:pt idx="410">
                  <c:v>44733</c:v>
                </c:pt>
                <c:pt idx="411">
                  <c:v>44734</c:v>
                </c:pt>
                <c:pt idx="412">
                  <c:v>44735</c:v>
                </c:pt>
                <c:pt idx="413">
                  <c:v>44736</c:v>
                </c:pt>
                <c:pt idx="414">
                  <c:v>44739</c:v>
                </c:pt>
                <c:pt idx="415">
                  <c:v>44740</c:v>
                </c:pt>
                <c:pt idx="416">
                  <c:v>44741</c:v>
                </c:pt>
                <c:pt idx="417">
                  <c:v>44742</c:v>
                </c:pt>
                <c:pt idx="418">
                  <c:v>44743</c:v>
                </c:pt>
                <c:pt idx="419">
                  <c:v>44747</c:v>
                </c:pt>
                <c:pt idx="420">
                  <c:v>44748</c:v>
                </c:pt>
                <c:pt idx="421">
                  <c:v>44749</c:v>
                </c:pt>
                <c:pt idx="422">
                  <c:v>44750</c:v>
                </c:pt>
                <c:pt idx="423">
                  <c:v>44753</c:v>
                </c:pt>
                <c:pt idx="424">
                  <c:v>44754</c:v>
                </c:pt>
                <c:pt idx="425">
                  <c:v>44755</c:v>
                </c:pt>
                <c:pt idx="426">
                  <c:v>44756</c:v>
                </c:pt>
                <c:pt idx="427">
                  <c:v>44757</c:v>
                </c:pt>
                <c:pt idx="428">
                  <c:v>44760</c:v>
                </c:pt>
                <c:pt idx="429">
                  <c:v>44761</c:v>
                </c:pt>
                <c:pt idx="430">
                  <c:v>44762</c:v>
                </c:pt>
                <c:pt idx="431">
                  <c:v>44763</c:v>
                </c:pt>
                <c:pt idx="432">
                  <c:v>44764</c:v>
                </c:pt>
                <c:pt idx="433">
                  <c:v>44767</c:v>
                </c:pt>
                <c:pt idx="434">
                  <c:v>44768</c:v>
                </c:pt>
                <c:pt idx="435">
                  <c:v>44769</c:v>
                </c:pt>
                <c:pt idx="436">
                  <c:v>44770</c:v>
                </c:pt>
                <c:pt idx="437">
                  <c:v>44771</c:v>
                </c:pt>
                <c:pt idx="438">
                  <c:v>44774</c:v>
                </c:pt>
                <c:pt idx="439">
                  <c:v>44775</c:v>
                </c:pt>
                <c:pt idx="440">
                  <c:v>44776</c:v>
                </c:pt>
                <c:pt idx="441">
                  <c:v>44777</c:v>
                </c:pt>
                <c:pt idx="442">
                  <c:v>44778</c:v>
                </c:pt>
                <c:pt idx="443">
                  <c:v>44781</c:v>
                </c:pt>
                <c:pt idx="444">
                  <c:v>44782</c:v>
                </c:pt>
                <c:pt idx="445">
                  <c:v>44783</c:v>
                </c:pt>
                <c:pt idx="446">
                  <c:v>44784</c:v>
                </c:pt>
                <c:pt idx="447">
                  <c:v>44785</c:v>
                </c:pt>
                <c:pt idx="448">
                  <c:v>44788</c:v>
                </c:pt>
                <c:pt idx="449">
                  <c:v>44789</c:v>
                </c:pt>
                <c:pt idx="450">
                  <c:v>44790</c:v>
                </c:pt>
                <c:pt idx="451">
                  <c:v>44791</c:v>
                </c:pt>
                <c:pt idx="452">
                  <c:v>44792</c:v>
                </c:pt>
                <c:pt idx="453">
                  <c:v>44795</c:v>
                </c:pt>
                <c:pt idx="454">
                  <c:v>44796</c:v>
                </c:pt>
                <c:pt idx="455">
                  <c:v>44797</c:v>
                </c:pt>
                <c:pt idx="456">
                  <c:v>44798</c:v>
                </c:pt>
                <c:pt idx="457">
                  <c:v>44799</c:v>
                </c:pt>
                <c:pt idx="458">
                  <c:v>44802</c:v>
                </c:pt>
                <c:pt idx="459">
                  <c:v>44803</c:v>
                </c:pt>
                <c:pt idx="460">
                  <c:v>44804</c:v>
                </c:pt>
                <c:pt idx="461">
                  <c:v>44805</c:v>
                </c:pt>
                <c:pt idx="462">
                  <c:v>44806</c:v>
                </c:pt>
                <c:pt idx="463">
                  <c:v>44810</c:v>
                </c:pt>
                <c:pt idx="464">
                  <c:v>44811</c:v>
                </c:pt>
                <c:pt idx="465">
                  <c:v>44812</c:v>
                </c:pt>
                <c:pt idx="466">
                  <c:v>44813</c:v>
                </c:pt>
                <c:pt idx="467">
                  <c:v>44816</c:v>
                </c:pt>
                <c:pt idx="468">
                  <c:v>44817</c:v>
                </c:pt>
                <c:pt idx="469">
                  <c:v>44818</c:v>
                </c:pt>
                <c:pt idx="470">
                  <c:v>44819</c:v>
                </c:pt>
                <c:pt idx="471">
                  <c:v>44820</c:v>
                </c:pt>
                <c:pt idx="472">
                  <c:v>44823</c:v>
                </c:pt>
                <c:pt idx="473">
                  <c:v>44824</c:v>
                </c:pt>
                <c:pt idx="474">
                  <c:v>44825</c:v>
                </c:pt>
                <c:pt idx="475">
                  <c:v>44826</c:v>
                </c:pt>
                <c:pt idx="476">
                  <c:v>44827</c:v>
                </c:pt>
                <c:pt idx="477">
                  <c:v>44830</c:v>
                </c:pt>
                <c:pt idx="478">
                  <c:v>44831</c:v>
                </c:pt>
                <c:pt idx="479">
                  <c:v>44832</c:v>
                </c:pt>
                <c:pt idx="480">
                  <c:v>44833</c:v>
                </c:pt>
                <c:pt idx="481">
                  <c:v>44834</c:v>
                </c:pt>
                <c:pt idx="482">
                  <c:v>44837</c:v>
                </c:pt>
                <c:pt idx="483">
                  <c:v>44838</c:v>
                </c:pt>
                <c:pt idx="484">
                  <c:v>44839</c:v>
                </c:pt>
                <c:pt idx="485">
                  <c:v>44840</c:v>
                </c:pt>
                <c:pt idx="486">
                  <c:v>44841</c:v>
                </c:pt>
                <c:pt idx="487">
                  <c:v>44844</c:v>
                </c:pt>
                <c:pt idx="488">
                  <c:v>44845</c:v>
                </c:pt>
                <c:pt idx="489">
                  <c:v>44846</c:v>
                </c:pt>
                <c:pt idx="490">
                  <c:v>44847</c:v>
                </c:pt>
                <c:pt idx="491">
                  <c:v>44848</c:v>
                </c:pt>
                <c:pt idx="492">
                  <c:v>44851</c:v>
                </c:pt>
                <c:pt idx="493">
                  <c:v>44852</c:v>
                </c:pt>
                <c:pt idx="494">
                  <c:v>44853</c:v>
                </c:pt>
                <c:pt idx="495">
                  <c:v>44854</c:v>
                </c:pt>
                <c:pt idx="496">
                  <c:v>44855</c:v>
                </c:pt>
                <c:pt idx="497">
                  <c:v>44858</c:v>
                </c:pt>
                <c:pt idx="498">
                  <c:v>44859</c:v>
                </c:pt>
                <c:pt idx="499">
                  <c:v>44860</c:v>
                </c:pt>
                <c:pt idx="500">
                  <c:v>44861</c:v>
                </c:pt>
                <c:pt idx="501">
                  <c:v>44862</c:v>
                </c:pt>
                <c:pt idx="502">
                  <c:v>44865</c:v>
                </c:pt>
                <c:pt idx="503">
                  <c:v>44866</c:v>
                </c:pt>
                <c:pt idx="504">
                  <c:v>44867</c:v>
                </c:pt>
                <c:pt idx="505">
                  <c:v>44868</c:v>
                </c:pt>
                <c:pt idx="506">
                  <c:v>44869</c:v>
                </c:pt>
                <c:pt idx="507">
                  <c:v>44872</c:v>
                </c:pt>
                <c:pt idx="508">
                  <c:v>44873</c:v>
                </c:pt>
                <c:pt idx="509">
                  <c:v>44874</c:v>
                </c:pt>
                <c:pt idx="510">
                  <c:v>44875</c:v>
                </c:pt>
                <c:pt idx="511">
                  <c:v>44876</c:v>
                </c:pt>
                <c:pt idx="512">
                  <c:v>44879</c:v>
                </c:pt>
                <c:pt idx="513">
                  <c:v>44880</c:v>
                </c:pt>
                <c:pt idx="514">
                  <c:v>44881</c:v>
                </c:pt>
                <c:pt idx="515">
                  <c:v>44882</c:v>
                </c:pt>
                <c:pt idx="516">
                  <c:v>44883</c:v>
                </c:pt>
                <c:pt idx="517">
                  <c:v>44886</c:v>
                </c:pt>
                <c:pt idx="518">
                  <c:v>44887</c:v>
                </c:pt>
                <c:pt idx="519">
                  <c:v>44888</c:v>
                </c:pt>
                <c:pt idx="520">
                  <c:v>44890</c:v>
                </c:pt>
                <c:pt idx="521">
                  <c:v>44893</c:v>
                </c:pt>
                <c:pt idx="522">
                  <c:v>44894</c:v>
                </c:pt>
                <c:pt idx="523">
                  <c:v>44895</c:v>
                </c:pt>
                <c:pt idx="524">
                  <c:v>44896</c:v>
                </c:pt>
                <c:pt idx="525">
                  <c:v>44897</c:v>
                </c:pt>
                <c:pt idx="526">
                  <c:v>44900</c:v>
                </c:pt>
                <c:pt idx="527">
                  <c:v>44901</c:v>
                </c:pt>
                <c:pt idx="528">
                  <c:v>44902</c:v>
                </c:pt>
                <c:pt idx="529">
                  <c:v>44903</c:v>
                </c:pt>
                <c:pt idx="530">
                  <c:v>44904</c:v>
                </c:pt>
                <c:pt idx="531">
                  <c:v>44907</c:v>
                </c:pt>
                <c:pt idx="532">
                  <c:v>44908</c:v>
                </c:pt>
                <c:pt idx="533">
                  <c:v>44909</c:v>
                </c:pt>
                <c:pt idx="534">
                  <c:v>44910</c:v>
                </c:pt>
                <c:pt idx="535">
                  <c:v>44911</c:v>
                </c:pt>
                <c:pt idx="536">
                  <c:v>44914</c:v>
                </c:pt>
                <c:pt idx="537">
                  <c:v>44915</c:v>
                </c:pt>
                <c:pt idx="538">
                  <c:v>44916</c:v>
                </c:pt>
                <c:pt idx="539">
                  <c:v>44917</c:v>
                </c:pt>
                <c:pt idx="540">
                  <c:v>44918</c:v>
                </c:pt>
                <c:pt idx="541">
                  <c:v>44922</c:v>
                </c:pt>
                <c:pt idx="542">
                  <c:v>44923</c:v>
                </c:pt>
                <c:pt idx="543">
                  <c:v>44924</c:v>
                </c:pt>
                <c:pt idx="544">
                  <c:v>44925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44943</c:v>
                </c:pt>
                <c:pt idx="555">
                  <c:v>44944</c:v>
                </c:pt>
                <c:pt idx="556">
                  <c:v>44945</c:v>
                </c:pt>
                <c:pt idx="557">
                  <c:v>44946</c:v>
                </c:pt>
                <c:pt idx="558">
                  <c:v>44949</c:v>
                </c:pt>
                <c:pt idx="559">
                  <c:v>44950</c:v>
                </c:pt>
                <c:pt idx="560">
                  <c:v>44951</c:v>
                </c:pt>
                <c:pt idx="561">
                  <c:v>44952</c:v>
                </c:pt>
                <c:pt idx="562">
                  <c:v>44953</c:v>
                </c:pt>
                <c:pt idx="563">
                  <c:v>44956</c:v>
                </c:pt>
                <c:pt idx="564">
                  <c:v>44957</c:v>
                </c:pt>
                <c:pt idx="565">
                  <c:v>44958</c:v>
                </c:pt>
                <c:pt idx="566">
                  <c:v>44959</c:v>
                </c:pt>
                <c:pt idx="567">
                  <c:v>44960</c:v>
                </c:pt>
                <c:pt idx="568">
                  <c:v>44963</c:v>
                </c:pt>
                <c:pt idx="569">
                  <c:v>44964</c:v>
                </c:pt>
                <c:pt idx="570">
                  <c:v>44965</c:v>
                </c:pt>
                <c:pt idx="571">
                  <c:v>44966</c:v>
                </c:pt>
                <c:pt idx="572">
                  <c:v>44967</c:v>
                </c:pt>
                <c:pt idx="573">
                  <c:v>44970</c:v>
                </c:pt>
                <c:pt idx="574">
                  <c:v>44971</c:v>
                </c:pt>
                <c:pt idx="575">
                  <c:v>44972</c:v>
                </c:pt>
                <c:pt idx="576">
                  <c:v>44973</c:v>
                </c:pt>
                <c:pt idx="577">
                  <c:v>44974</c:v>
                </c:pt>
                <c:pt idx="578">
                  <c:v>44978</c:v>
                </c:pt>
                <c:pt idx="579">
                  <c:v>44979</c:v>
                </c:pt>
                <c:pt idx="580">
                  <c:v>44980</c:v>
                </c:pt>
                <c:pt idx="581">
                  <c:v>44981</c:v>
                </c:pt>
                <c:pt idx="582">
                  <c:v>44984</c:v>
                </c:pt>
                <c:pt idx="583">
                  <c:v>44985</c:v>
                </c:pt>
                <c:pt idx="584">
                  <c:v>44986</c:v>
                </c:pt>
                <c:pt idx="585">
                  <c:v>44987</c:v>
                </c:pt>
                <c:pt idx="586">
                  <c:v>44988</c:v>
                </c:pt>
                <c:pt idx="587">
                  <c:v>44991</c:v>
                </c:pt>
                <c:pt idx="588">
                  <c:v>44992</c:v>
                </c:pt>
                <c:pt idx="589">
                  <c:v>44993</c:v>
                </c:pt>
                <c:pt idx="590">
                  <c:v>44994</c:v>
                </c:pt>
                <c:pt idx="591">
                  <c:v>44995</c:v>
                </c:pt>
                <c:pt idx="592">
                  <c:v>44998</c:v>
                </c:pt>
                <c:pt idx="593">
                  <c:v>44999</c:v>
                </c:pt>
                <c:pt idx="594">
                  <c:v>45000</c:v>
                </c:pt>
                <c:pt idx="595">
                  <c:v>45001</c:v>
                </c:pt>
                <c:pt idx="596">
                  <c:v>45002</c:v>
                </c:pt>
                <c:pt idx="597">
                  <c:v>45005</c:v>
                </c:pt>
                <c:pt idx="598">
                  <c:v>45006</c:v>
                </c:pt>
                <c:pt idx="599">
                  <c:v>45007</c:v>
                </c:pt>
                <c:pt idx="600">
                  <c:v>45008</c:v>
                </c:pt>
                <c:pt idx="601">
                  <c:v>45009</c:v>
                </c:pt>
                <c:pt idx="602">
                  <c:v>45012</c:v>
                </c:pt>
                <c:pt idx="603">
                  <c:v>45013</c:v>
                </c:pt>
                <c:pt idx="604">
                  <c:v>45014</c:v>
                </c:pt>
                <c:pt idx="605">
                  <c:v>45015</c:v>
                </c:pt>
                <c:pt idx="606">
                  <c:v>45016</c:v>
                </c:pt>
                <c:pt idx="607">
                  <c:v>45019</c:v>
                </c:pt>
                <c:pt idx="608">
                  <c:v>45020</c:v>
                </c:pt>
                <c:pt idx="609">
                  <c:v>45021</c:v>
                </c:pt>
                <c:pt idx="610">
                  <c:v>45022</c:v>
                </c:pt>
                <c:pt idx="611">
                  <c:v>45026</c:v>
                </c:pt>
                <c:pt idx="612">
                  <c:v>45027</c:v>
                </c:pt>
                <c:pt idx="613">
                  <c:v>45028</c:v>
                </c:pt>
                <c:pt idx="614">
                  <c:v>45029</c:v>
                </c:pt>
                <c:pt idx="615">
                  <c:v>45030</c:v>
                </c:pt>
                <c:pt idx="616">
                  <c:v>45033</c:v>
                </c:pt>
                <c:pt idx="617">
                  <c:v>45034</c:v>
                </c:pt>
                <c:pt idx="618">
                  <c:v>45035</c:v>
                </c:pt>
                <c:pt idx="619">
                  <c:v>45036</c:v>
                </c:pt>
                <c:pt idx="620">
                  <c:v>45037</c:v>
                </c:pt>
                <c:pt idx="621">
                  <c:v>45040</c:v>
                </c:pt>
                <c:pt idx="622">
                  <c:v>45041</c:v>
                </c:pt>
                <c:pt idx="623">
                  <c:v>45042</c:v>
                </c:pt>
                <c:pt idx="624">
                  <c:v>45043</c:v>
                </c:pt>
                <c:pt idx="625">
                  <c:v>45044</c:v>
                </c:pt>
                <c:pt idx="626">
                  <c:v>45047</c:v>
                </c:pt>
                <c:pt idx="627">
                  <c:v>45048</c:v>
                </c:pt>
                <c:pt idx="628">
                  <c:v>45049</c:v>
                </c:pt>
                <c:pt idx="629">
                  <c:v>45050</c:v>
                </c:pt>
                <c:pt idx="630">
                  <c:v>45051</c:v>
                </c:pt>
                <c:pt idx="631">
                  <c:v>45054</c:v>
                </c:pt>
                <c:pt idx="632">
                  <c:v>45055</c:v>
                </c:pt>
                <c:pt idx="633">
                  <c:v>45056</c:v>
                </c:pt>
                <c:pt idx="634">
                  <c:v>45057</c:v>
                </c:pt>
                <c:pt idx="635">
                  <c:v>45058</c:v>
                </c:pt>
                <c:pt idx="636">
                  <c:v>45061</c:v>
                </c:pt>
                <c:pt idx="637">
                  <c:v>45062</c:v>
                </c:pt>
                <c:pt idx="638">
                  <c:v>45063</c:v>
                </c:pt>
                <c:pt idx="639">
                  <c:v>45064</c:v>
                </c:pt>
                <c:pt idx="640">
                  <c:v>45065</c:v>
                </c:pt>
                <c:pt idx="641">
                  <c:v>45068</c:v>
                </c:pt>
                <c:pt idx="642">
                  <c:v>45069</c:v>
                </c:pt>
                <c:pt idx="643">
                  <c:v>45070</c:v>
                </c:pt>
                <c:pt idx="644">
                  <c:v>45071</c:v>
                </c:pt>
                <c:pt idx="645">
                  <c:v>45072</c:v>
                </c:pt>
                <c:pt idx="646">
                  <c:v>45076</c:v>
                </c:pt>
                <c:pt idx="647">
                  <c:v>45077</c:v>
                </c:pt>
                <c:pt idx="648">
                  <c:v>45078</c:v>
                </c:pt>
                <c:pt idx="649">
                  <c:v>45079</c:v>
                </c:pt>
                <c:pt idx="650">
                  <c:v>45082</c:v>
                </c:pt>
                <c:pt idx="651">
                  <c:v>45083</c:v>
                </c:pt>
                <c:pt idx="652">
                  <c:v>45084</c:v>
                </c:pt>
                <c:pt idx="653">
                  <c:v>45085</c:v>
                </c:pt>
                <c:pt idx="654">
                  <c:v>45086</c:v>
                </c:pt>
                <c:pt idx="655">
                  <c:v>45089</c:v>
                </c:pt>
                <c:pt idx="656">
                  <c:v>45090</c:v>
                </c:pt>
                <c:pt idx="657">
                  <c:v>45091</c:v>
                </c:pt>
                <c:pt idx="658">
                  <c:v>45092</c:v>
                </c:pt>
                <c:pt idx="659">
                  <c:v>45093</c:v>
                </c:pt>
                <c:pt idx="660">
                  <c:v>45097</c:v>
                </c:pt>
                <c:pt idx="661">
                  <c:v>45098</c:v>
                </c:pt>
                <c:pt idx="662">
                  <c:v>45099</c:v>
                </c:pt>
                <c:pt idx="663">
                  <c:v>45100</c:v>
                </c:pt>
                <c:pt idx="664">
                  <c:v>45103</c:v>
                </c:pt>
                <c:pt idx="665">
                  <c:v>45104</c:v>
                </c:pt>
                <c:pt idx="666">
                  <c:v>45105</c:v>
                </c:pt>
                <c:pt idx="667">
                  <c:v>45106</c:v>
                </c:pt>
                <c:pt idx="668">
                  <c:v>45107</c:v>
                </c:pt>
                <c:pt idx="669">
                  <c:v>45110</c:v>
                </c:pt>
                <c:pt idx="670">
                  <c:v>45112</c:v>
                </c:pt>
                <c:pt idx="671">
                  <c:v>45113</c:v>
                </c:pt>
                <c:pt idx="672">
                  <c:v>45114</c:v>
                </c:pt>
                <c:pt idx="673">
                  <c:v>45117</c:v>
                </c:pt>
                <c:pt idx="674">
                  <c:v>45118</c:v>
                </c:pt>
                <c:pt idx="675">
                  <c:v>45119</c:v>
                </c:pt>
                <c:pt idx="676">
                  <c:v>45120</c:v>
                </c:pt>
                <c:pt idx="677">
                  <c:v>45121</c:v>
                </c:pt>
                <c:pt idx="678">
                  <c:v>45124</c:v>
                </c:pt>
                <c:pt idx="679">
                  <c:v>45125</c:v>
                </c:pt>
                <c:pt idx="680">
                  <c:v>45126</c:v>
                </c:pt>
                <c:pt idx="681">
                  <c:v>45127</c:v>
                </c:pt>
                <c:pt idx="682">
                  <c:v>45128</c:v>
                </c:pt>
                <c:pt idx="683">
                  <c:v>45131</c:v>
                </c:pt>
                <c:pt idx="684">
                  <c:v>45132</c:v>
                </c:pt>
                <c:pt idx="685">
                  <c:v>45133</c:v>
                </c:pt>
                <c:pt idx="686">
                  <c:v>45134</c:v>
                </c:pt>
                <c:pt idx="687">
                  <c:v>45135</c:v>
                </c:pt>
                <c:pt idx="688">
                  <c:v>45138</c:v>
                </c:pt>
                <c:pt idx="689">
                  <c:v>45139</c:v>
                </c:pt>
                <c:pt idx="690">
                  <c:v>45140</c:v>
                </c:pt>
                <c:pt idx="691">
                  <c:v>45141</c:v>
                </c:pt>
                <c:pt idx="692">
                  <c:v>45142</c:v>
                </c:pt>
                <c:pt idx="693">
                  <c:v>45145</c:v>
                </c:pt>
                <c:pt idx="694">
                  <c:v>45146</c:v>
                </c:pt>
                <c:pt idx="695">
                  <c:v>45147</c:v>
                </c:pt>
                <c:pt idx="696">
                  <c:v>45148</c:v>
                </c:pt>
                <c:pt idx="697">
                  <c:v>45149</c:v>
                </c:pt>
                <c:pt idx="698">
                  <c:v>45152</c:v>
                </c:pt>
                <c:pt idx="699">
                  <c:v>45153</c:v>
                </c:pt>
                <c:pt idx="700">
                  <c:v>45154</c:v>
                </c:pt>
                <c:pt idx="701">
                  <c:v>45155</c:v>
                </c:pt>
                <c:pt idx="702">
                  <c:v>45156</c:v>
                </c:pt>
                <c:pt idx="703">
                  <c:v>45159</c:v>
                </c:pt>
                <c:pt idx="704">
                  <c:v>45160</c:v>
                </c:pt>
                <c:pt idx="705">
                  <c:v>45161</c:v>
                </c:pt>
                <c:pt idx="706">
                  <c:v>45162</c:v>
                </c:pt>
                <c:pt idx="707">
                  <c:v>45163</c:v>
                </c:pt>
                <c:pt idx="708">
                  <c:v>45166</c:v>
                </c:pt>
                <c:pt idx="709">
                  <c:v>45167</c:v>
                </c:pt>
                <c:pt idx="710">
                  <c:v>45168</c:v>
                </c:pt>
                <c:pt idx="711">
                  <c:v>45169</c:v>
                </c:pt>
                <c:pt idx="712">
                  <c:v>45170</c:v>
                </c:pt>
                <c:pt idx="713">
                  <c:v>45174</c:v>
                </c:pt>
                <c:pt idx="714">
                  <c:v>45175</c:v>
                </c:pt>
                <c:pt idx="715">
                  <c:v>45176</c:v>
                </c:pt>
                <c:pt idx="716">
                  <c:v>45177</c:v>
                </c:pt>
                <c:pt idx="717">
                  <c:v>45180</c:v>
                </c:pt>
                <c:pt idx="718">
                  <c:v>45181</c:v>
                </c:pt>
                <c:pt idx="719">
                  <c:v>45182</c:v>
                </c:pt>
                <c:pt idx="720">
                  <c:v>45183</c:v>
                </c:pt>
                <c:pt idx="721">
                  <c:v>45184</c:v>
                </c:pt>
                <c:pt idx="722">
                  <c:v>45187</c:v>
                </c:pt>
                <c:pt idx="723">
                  <c:v>45188</c:v>
                </c:pt>
                <c:pt idx="724">
                  <c:v>45189</c:v>
                </c:pt>
                <c:pt idx="725">
                  <c:v>45190</c:v>
                </c:pt>
                <c:pt idx="726">
                  <c:v>45191</c:v>
                </c:pt>
                <c:pt idx="727">
                  <c:v>45194</c:v>
                </c:pt>
                <c:pt idx="728">
                  <c:v>45195</c:v>
                </c:pt>
                <c:pt idx="729">
                  <c:v>45196</c:v>
                </c:pt>
                <c:pt idx="730">
                  <c:v>45197</c:v>
                </c:pt>
                <c:pt idx="731">
                  <c:v>45198</c:v>
                </c:pt>
                <c:pt idx="732">
                  <c:v>45201</c:v>
                </c:pt>
                <c:pt idx="733">
                  <c:v>45202</c:v>
                </c:pt>
                <c:pt idx="734">
                  <c:v>45203</c:v>
                </c:pt>
                <c:pt idx="735">
                  <c:v>45204</c:v>
                </c:pt>
                <c:pt idx="736">
                  <c:v>45205</c:v>
                </c:pt>
                <c:pt idx="737">
                  <c:v>45208</c:v>
                </c:pt>
                <c:pt idx="738">
                  <c:v>45209</c:v>
                </c:pt>
                <c:pt idx="739">
                  <c:v>45210</c:v>
                </c:pt>
                <c:pt idx="740">
                  <c:v>45211</c:v>
                </c:pt>
                <c:pt idx="741">
                  <c:v>45212</c:v>
                </c:pt>
                <c:pt idx="742">
                  <c:v>45215</c:v>
                </c:pt>
                <c:pt idx="743">
                  <c:v>45216</c:v>
                </c:pt>
                <c:pt idx="744">
                  <c:v>45217</c:v>
                </c:pt>
                <c:pt idx="745">
                  <c:v>45218</c:v>
                </c:pt>
                <c:pt idx="746">
                  <c:v>45219</c:v>
                </c:pt>
                <c:pt idx="747">
                  <c:v>45222</c:v>
                </c:pt>
                <c:pt idx="748">
                  <c:v>45223</c:v>
                </c:pt>
                <c:pt idx="749">
                  <c:v>45224</c:v>
                </c:pt>
                <c:pt idx="750">
                  <c:v>45225</c:v>
                </c:pt>
                <c:pt idx="751">
                  <c:v>45226</c:v>
                </c:pt>
                <c:pt idx="752">
                  <c:v>45229</c:v>
                </c:pt>
                <c:pt idx="753">
                  <c:v>45230</c:v>
                </c:pt>
                <c:pt idx="754">
                  <c:v>45231</c:v>
                </c:pt>
                <c:pt idx="755">
                  <c:v>45232</c:v>
                </c:pt>
                <c:pt idx="756">
                  <c:v>45233</c:v>
                </c:pt>
                <c:pt idx="757">
                  <c:v>45236</c:v>
                </c:pt>
                <c:pt idx="758">
                  <c:v>45237</c:v>
                </c:pt>
                <c:pt idx="759">
                  <c:v>45238</c:v>
                </c:pt>
                <c:pt idx="760">
                  <c:v>45239</c:v>
                </c:pt>
                <c:pt idx="761">
                  <c:v>45240</c:v>
                </c:pt>
                <c:pt idx="762">
                  <c:v>45243</c:v>
                </c:pt>
                <c:pt idx="763">
                  <c:v>45244</c:v>
                </c:pt>
                <c:pt idx="764">
                  <c:v>45245</c:v>
                </c:pt>
                <c:pt idx="765">
                  <c:v>45246</c:v>
                </c:pt>
                <c:pt idx="766">
                  <c:v>45247</c:v>
                </c:pt>
                <c:pt idx="767">
                  <c:v>45250</c:v>
                </c:pt>
                <c:pt idx="768">
                  <c:v>45251</c:v>
                </c:pt>
                <c:pt idx="769">
                  <c:v>45252</c:v>
                </c:pt>
                <c:pt idx="770">
                  <c:v>45254</c:v>
                </c:pt>
                <c:pt idx="771">
                  <c:v>45257</c:v>
                </c:pt>
                <c:pt idx="772">
                  <c:v>45258</c:v>
                </c:pt>
                <c:pt idx="773">
                  <c:v>45259</c:v>
                </c:pt>
                <c:pt idx="774">
                  <c:v>45260</c:v>
                </c:pt>
                <c:pt idx="775">
                  <c:v>45261</c:v>
                </c:pt>
                <c:pt idx="776">
                  <c:v>45264</c:v>
                </c:pt>
                <c:pt idx="777">
                  <c:v>45265</c:v>
                </c:pt>
                <c:pt idx="778">
                  <c:v>45266</c:v>
                </c:pt>
                <c:pt idx="779">
                  <c:v>45267</c:v>
                </c:pt>
                <c:pt idx="780">
                  <c:v>45268</c:v>
                </c:pt>
                <c:pt idx="781">
                  <c:v>45271</c:v>
                </c:pt>
                <c:pt idx="782">
                  <c:v>45272</c:v>
                </c:pt>
                <c:pt idx="783">
                  <c:v>45273</c:v>
                </c:pt>
                <c:pt idx="784">
                  <c:v>45274</c:v>
                </c:pt>
                <c:pt idx="785">
                  <c:v>45275</c:v>
                </c:pt>
                <c:pt idx="786">
                  <c:v>45278</c:v>
                </c:pt>
                <c:pt idx="787">
                  <c:v>45279</c:v>
                </c:pt>
                <c:pt idx="788">
                  <c:v>45280</c:v>
                </c:pt>
                <c:pt idx="789">
                  <c:v>45281</c:v>
                </c:pt>
                <c:pt idx="790">
                  <c:v>45282</c:v>
                </c:pt>
                <c:pt idx="791">
                  <c:v>45286</c:v>
                </c:pt>
                <c:pt idx="792">
                  <c:v>45287</c:v>
                </c:pt>
                <c:pt idx="793">
                  <c:v>45288</c:v>
                </c:pt>
                <c:pt idx="794">
                  <c:v>45289</c:v>
                </c:pt>
                <c:pt idx="795">
                  <c:v>45293</c:v>
                </c:pt>
                <c:pt idx="796">
                  <c:v>45294</c:v>
                </c:pt>
                <c:pt idx="797">
                  <c:v>45295</c:v>
                </c:pt>
                <c:pt idx="798">
                  <c:v>45296</c:v>
                </c:pt>
                <c:pt idx="799">
                  <c:v>45299</c:v>
                </c:pt>
                <c:pt idx="800">
                  <c:v>45300</c:v>
                </c:pt>
                <c:pt idx="801">
                  <c:v>45301</c:v>
                </c:pt>
                <c:pt idx="802">
                  <c:v>45302</c:v>
                </c:pt>
                <c:pt idx="803">
                  <c:v>45303</c:v>
                </c:pt>
                <c:pt idx="804">
                  <c:v>45307</c:v>
                </c:pt>
                <c:pt idx="805">
                  <c:v>45308</c:v>
                </c:pt>
                <c:pt idx="806">
                  <c:v>45309</c:v>
                </c:pt>
                <c:pt idx="807">
                  <c:v>45310</c:v>
                </c:pt>
                <c:pt idx="808">
                  <c:v>45313</c:v>
                </c:pt>
                <c:pt idx="809">
                  <c:v>45314</c:v>
                </c:pt>
                <c:pt idx="810">
                  <c:v>45315</c:v>
                </c:pt>
                <c:pt idx="811">
                  <c:v>45316</c:v>
                </c:pt>
                <c:pt idx="812">
                  <c:v>45317</c:v>
                </c:pt>
                <c:pt idx="813">
                  <c:v>45320</c:v>
                </c:pt>
                <c:pt idx="814">
                  <c:v>45321</c:v>
                </c:pt>
                <c:pt idx="815">
                  <c:v>45322</c:v>
                </c:pt>
                <c:pt idx="816">
                  <c:v>45323</c:v>
                </c:pt>
                <c:pt idx="817">
                  <c:v>45324</c:v>
                </c:pt>
                <c:pt idx="818">
                  <c:v>45327</c:v>
                </c:pt>
                <c:pt idx="819">
                  <c:v>45328</c:v>
                </c:pt>
                <c:pt idx="820">
                  <c:v>45329</c:v>
                </c:pt>
                <c:pt idx="821">
                  <c:v>45330</c:v>
                </c:pt>
                <c:pt idx="822">
                  <c:v>45331</c:v>
                </c:pt>
                <c:pt idx="823">
                  <c:v>45334</c:v>
                </c:pt>
                <c:pt idx="824">
                  <c:v>45335</c:v>
                </c:pt>
                <c:pt idx="825">
                  <c:v>45336</c:v>
                </c:pt>
                <c:pt idx="826">
                  <c:v>45337</c:v>
                </c:pt>
                <c:pt idx="827">
                  <c:v>45338</c:v>
                </c:pt>
                <c:pt idx="828">
                  <c:v>45342</c:v>
                </c:pt>
                <c:pt idx="829">
                  <c:v>45343</c:v>
                </c:pt>
                <c:pt idx="830">
                  <c:v>45344</c:v>
                </c:pt>
                <c:pt idx="831">
                  <c:v>45345</c:v>
                </c:pt>
                <c:pt idx="832">
                  <c:v>45348</c:v>
                </c:pt>
                <c:pt idx="833">
                  <c:v>45349</c:v>
                </c:pt>
                <c:pt idx="834">
                  <c:v>45350</c:v>
                </c:pt>
                <c:pt idx="835">
                  <c:v>45351</c:v>
                </c:pt>
                <c:pt idx="836">
                  <c:v>45352</c:v>
                </c:pt>
                <c:pt idx="837">
                  <c:v>45355</c:v>
                </c:pt>
                <c:pt idx="838">
                  <c:v>45356</c:v>
                </c:pt>
                <c:pt idx="839">
                  <c:v>45357</c:v>
                </c:pt>
                <c:pt idx="840">
                  <c:v>45358</c:v>
                </c:pt>
                <c:pt idx="841">
                  <c:v>45359</c:v>
                </c:pt>
                <c:pt idx="842">
                  <c:v>45362</c:v>
                </c:pt>
                <c:pt idx="843">
                  <c:v>45363</c:v>
                </c:pt>
                <c:pt idx="844">
                  <c:v>45364</c:v>
                </c:pt>
                <c:pt idx="845">
                  <c:v>45365</c:v>
                </c:pt>
                <c:pt idx="846">
                  <c:v>45366</c:v>
                </c:pt>
                <c:pt idx="847">
                  <c:v>45369</c:v>
                </c:pt>
                <c:pt idx="848">
                  <c:v>45370</c:v>
                </c:pt>
                <c:pt idx="849">
                  <c:v>45371</c:v>
                </c:pt>
                <c:pt idx="850">
                  <c:v>45372</c:v>
                </c:pt>
                <c:pt idx="851">
                  <c:v>45373</c:v>
                </c:pt>
                <c:pt idx="852">
                  <c:v>45376</c:v>
                </c:pt>
                <c:pt idx="853">
                  <c:v>45377</c:v>
                </c:pt>
                <c:pt idx="854">
                  <c:v>45378</c:v>
                </c:pt>
                <c:pt idx="855">
                  <c:v>45379</c:v>
                </c:pt>
                <c:pt idx="856">
                  <c:v>45383</c:v>
                </c:pt>
                <c:pt idx="857">
                  <c:v>45384</c:v>
                </c:pt>
                <c:pt idx="858">
                  <c:v>45385</c:v>
                </c:pt>
                <c:pt idx="859">
                  <c:v>45386</c:v>
                </c:pt>
                <c:pt idx="860">
                  <c:v>45387</c:v>
                </c:pt>
                <c:pt idx="861">
                  <c:v>45390</c:v>
                </c:pt>
                <c:pt idx="862">
                  <c:v>45391</c:v>
                </c:pt>
                <c:pt idx="863">
                  <c:v>45392</c:v>
                </c:pt>
                <c:pt idx="864">
                  <c:v>45393</c:v>
                </c:pt>
                <c:pt idx="865">
                  <c:v>45394</c:v>
                </c:pt>
                <c:pt idx="866">
                  <c:v>45397</c:v>
                </c:pt>
                <c:pt idx="867">
                  <c:v>45398</c:v>
                </c:pt>
                <c:pt idx="868">
                  <c:v>45399</c:v>
                </c:pt>
                <c:pt idx="869">
                  <c:v>45400</c:v>
                </c:pt>
                <c:pt idx="870">
                  <c:v>45401</c:v>
                </c:pt>
                <c:pt idx="871">
                  <c:v>45404</c:v>
                </c:pt>
                <c:pt idx="872">
                  <c:v>45405</c:v>
                </c:pt>
                <c:pt idx="873">
                  <c:v>45406</c:v>
                </c:pt>
                <c:pt idx="874">
                  <c:v>45407</c:v>
                </c:pt>
                <c:pt idx="875">
                  <c:v>45408</c:v>
                </c:pt>
                <c:pt idx="876">
                  <c:v>45411</c:v>
                </c:pt>
                <c:pt idx="877">
                  <c:v>45412</c:v>
                </c:pt>
                <c:pt idx="878">
                  <c:v>45413</c:v>
                </c:pt>
                <c:pt idx="879">
                  <c:v>45414</c:v>
                </c:pt>
                <c:pt idx="880">
                  <c:v>45415</c:v>
                </c:pt>
                <c:pt idx="881">
                  <c:v>45418</c:v>
                </c:pt>
                <c:pt idx="882">
                  <c:v>45419</c:v>
                </c:pt>
                <c:pt idx="883">
                  <c:v>45420</c:v>
                </c:pt>
                <c:pt idx="884">
                  <c:v>45421</c:v>
                </c:pt>
                <c:pt idx="885">
                  <c:v>45422</c:v>
                </c:pt>
                <c:pt idx="886">
                  <c:v>45425</c:v>
                </c:pt>
                <c:pt idx="887">
                  <c:v>45426</c:v>
                </c:pt>
                <c:pt idx="888">
                  <c:v>45427</c:v>
                </c:pt>
                <c:pt idx="889">
                  <c:v>45428</c:v>
                </c:pt>
                <c:pt idx="890">
                  <c:v>45429</c:v>
                </c:pt>
                <c:pt idx="891">
                  <c:v>45432</c:v>
                </c:pt>
                <c:pt idx="892">
                  <c:v>45433</c:v>
                </c:pt>
                <c:pt idx="893">
                  <c:v>45434</c:v>
                </c:pt>
                <c:pt idx="894">
                  <c:v>45435</c:v>
                </c:pt>
                <c:pt idx="895">
                  <c:v>45436</c:v>
                </c:pt>
                <c:pt idx="896">
                  <c:v>45440</c:v>
                </c:pt>
                <c:pt idx="897">
                  <c:v>45441</c:v>
                </c:pt>
                <c:pt idx="898">
                  <c:v>45442</c:v>
                </c:pt>
                <c:pt idx="899">
                  <c:v>45443</c:v>
                </c:pt>
                <c:pt idx="900">
                  <c:v>45446</c:v>
                </c:pt>
                <c:pt idx="901">
                  <c:v>45447</c:v>
                </c:pt>
                <c:pt idx="902">
                  <c:v>45448</c:v>
                </c:pt>
                <c:pt idx="903">
                  <c:v>45449</c:v>
                </c:pt>
                <c:pt idx="904">
                  <c:v>45450</c:v>
                </c:pt>
                <c:pt idx="905">
                  <c:v>45453</c:v>
                </c:pt>
                <c:pt idx="906">
                  <c:v>45454</c:v>
                </c:pt>
                <c:pt idx="907">
                  <c:v>45455</c:v>
                </c:pt>
                <c:pt idx="908">
                  <c:v>45456</c:v>
                </c:pt>
                <c:pt idx="909">
                  <c:v>45457</c:v>
                </c:pt>
                <c:pt idx="910">
                  <c:v>45460</c:v>
                </c:pt>
                <c:pt idx="911">
                  <c:v>45461</c:v>
                </c:pt>
                <c:pt idx="912">
                  <c:v>45463</c:v>
                </c:pt>
                <c:pt idx="913">
                  <c:v>45464</c:v>
                </c:pt>
                <c:pt idx="914">
                  <c:v>45467</c:v>
                </c:pt>
                <c:pt idx="915">
                  <c:v>45468</c:v>
                </c:pt>
                <c:pt idx="916">
                  <c:v>45469</c:v>
                </c:pt>
                <c:pt idx="917">
                  <c:v>45470</c:v>
                </c:pt>
                <c:pt idx="918">
                  <c:v>45471</c:v>
                </c:pt>
                <c:pt idx="919">
                  <c:v>45474</c:v>
                </c:pt>
                <c:pt idx="920">
                  <c:v>45475</c:v>
                </c:pt>
                <c:pt idx="921">
                  <c:v>45476</c:v>
                </c:pt>
                <c:pt idx="922">
                  <c:v>45478</c:v>
                </c:pt>
                <c:pt idx="923">
                  <c:v>45481</c:v>
                </c:pt>
                <c:pt idx="924">
                  <c:v>45482</c:v>
                </c:pt>
                <c:pt idx="925">
                  <c:v>45483</c:v>
                </c:pt>
                <c:pt idx="926">
                  <c:v>45484</c:v>
                </c:pt>
                <c:pt idx="927">
                  <c:v>45485</c:v>
                </c:pt>
                <c:pt idx="928">
                  <c:v>45488</c:v>
                </c:pt>
                <c:pt idx="929">
                  <c:v>45489</c:v>
                </c:pt>
                <c:pt idx="930">
                  <c:v>45490</c:v>
                </c:pt>
                <c:pt idx="931">
                  <c:v>45491</c:v>
                </c:pt>
                <c:pt idx="932">
                  <c:v>45492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45502</c:v>
                </c:pt>
                <c:pt idx="939">
                  <c:v>45503</c:v>
                </c:pt>
                <c:pt idx="940">
                  <c:v>45504</c:v>
                </c:pt>
                <c:pt idx="941">
                  <c:v>45505</c:v>
                </c:pt>
                <c:pt idx="942">
                  <c:v>45506</c:v>
                </c:pt>
                <c:pt idx="943">
                  <c:v>45509</c:v>
                </c:pt>
                <c:pt idx="944">
                  <c:v>45510</c:v>
                </c:pt>
                <c:pt idx="945">
                  <c:v>45511</c:v>
                </c:pt>
                <c:pt idx="946">
                  <c:v>45512</c:v>
                </c:pt>
                <c:pt idx="947">
                  <c:v>45513</c:v>
                </c:pt>
                <c:pt idx="948">
                  <c:v>45516</c:v>
                </c:pt>
                <c:pt idx="949">
                  <c:v>45517</c:v>
                </c:pt>
                <c:pt idx="950">
                  <c:v>45518</c:v>
                </c:pt>
                <c:pt idx="951">
                  <c:v>45519</c:v>
                </c:pt>
                <c:pt idx="952">
                  <c:v>45520</c:v>
                </c:pt>
                <c:pt idx="953">
                  <c:v>45523</c:v>
                </c:pt>
                <c:pt idx="954">
                  <c:v>45524</c:v>
                </c:pt>
                <c:pt idx="955">
                  <c:v>45525</c:v>
                </c:pt>
                <c:pt idx="956">
                  <c:v>45526</c:v>
                </c:pt>
                <c:pt idx="957">
                  <c:v>45527</c:v>
                </c:pt>
                <c:pt idx="958">
                  <c:v>45530</c:v>
                </c:pt>
                <c:pt idx="959">
                  <c:v>45531</c:v>
                </c:pt>
                <c:pt idx="960">
                  <c:v>45532</c:v>
                </c:pt>
                <c:pt idx="961">
                  <c:v>45533</c:v>
                </c:pt>
                <c:pt idx="962">
                  <c:v>45534</c:v>
                </c:pt>
                <c:pt idx="963">
                  <c:v>45538</c:v>
                </c:pt>
                <c:pt idx="964">
                  <c:v>45539</c:v>
                </c:pt>
                <c:pt idx="965">
                  <c:v>45540</c:v>
                </c:pt>
                <c:pt idx="966">
                  <c:v>45541</c:v>
                </c:pt>
                <c:pt idx="967">
                  <c:v>45544</c:v>
                </c:pt>
                <c:pt idx="968">
                  <c:v>45545</c:v>
                </c:pt>
                <c:pt idx="969">
                  <c:v>45546</c:v>
                </c:pt>
                <c:pt idx="970">
                  <c:v>45547</c:v>
                </c:pt>
                <c:pt idx="971">
                  <c:v>45548</c:v>
                </c:pt>
                <c:pt idx="972">
                  <c:v>45551</c:v>
                </c:pt>
                <c:pt idx="973">
                  <c:v>45552</c:v>
                </c:pt>
                <c:pt idx="974">
                  <c:v>45553</c:v>
                </c:pt>
                <c:pt idx="975">
                  <c:v>45554</c:v>
                </c:pt>
                <c:pt idx="976">
                  <c:v>45555</c:v>
                </c:pt>
                <c:pt idx="977">
                  <c:v>45558</c:v>
                </c:pt>
                <c:pt idx="978">
                  <c:v>45559</c:v>
                </c:pt>
                <c:pt idx="979">
                  <c:v>45560</c:v>
                </c:pt>
                <c:pt idx="980">
                  <c:v>45561</c:v>
                </c:pt>
                <c:pt idx="981">
                  <c:v>45562</c:v>
                </c:pt>
                <c:pt idx="982">
                  <c:v>45565</c:v>
                </c:pt>
                <c:pt idx="983">
                  <c:v>45566</c:v>
                </c:pt>
                <c:pt idx="984">
                  <c:v>45567</c:v>
                </c:pt>
                <c:pt idx="985">
                  <c:v>45568</c:v>
                </c:pt>
                <c:pt idx="986">
                  <c:v>45569</c:v>
                </c:pt>
                <c:pt idx="987">
                  <c:v>45572</c:v>
                </c:pt>
                <c:pt idx="988">
                  <c:v>45573</c:v>
                </c:pt>
                <c:pt idx="989">
                  <c:v>45574</c:v>
                </c:pt>
                <c:pt idx="990">
                  <c:v>45575</c:v>
                </c:pt>
                <c:pt idx="991">
                  <c:v>45576</c:v>
                </c:pt>
                <c:pt idx="992">
                  <c:v>45579</c:v>
                </c:pt>
                <c:pt idx="993">
                  <c:v>45580</c:v>
                </c:pt>
                <c:pt idx="994">
                  <c:v>45581</c:v>
                </c:pt>
                <c:pt idx="995">
                  <c:v>45582</c:v>
                </c:pt>
                <c:pt idx="996">
                  <c:v>45583</c:v>
                </c:pt>
                <c:pt idx="997">
                  <c:v>45586</c:v>
                </c:pt>
                <c:pt idx="998">
                  <c:v>45587</c:v>
                </c:pt>
                <c:pt idx="999">
                  <c:v>45588</c:v>
                </c:pt>
                <c:pt idx="1000">
                  <c:v>45589</c:v>
                </c:pt>
                <c:pt idx="1001">
                  <c:v>45590</c:v>
                </c:pt>
                <c:pt idx="1002">
                  <c:v>45593</c:v>
                </c:pt>
                <c:pt idx="1003">
                  <c:v>45594</c:v>
                </c:pt>
                <c:pt idx="1004">
                  <c:v>45595</c:v>
                </c:pt>
                <c:pt idx="1005">
                  <c:v>45596</c:v>
                </c:pt>
                <c:pt idx="1006">
                  <c:v>45597</c:v>
                </c:pt>
                <c:pt idx="1007">
                  <c:v>45600</c:v>
                </c:pt>
                <c:pt idx="1008">
                  <c:v>45601</c:v>
                </c:pt>
                <c:pt idx="1009">
                  <c:v>45602</c:v>
                </c:pt>
                <c:pt idx="1010">
                  <c:v>45603</c:v>
                </c:pt>
                <c:pt idx="1011">
                  <c:v>45604</c:v>
                </c:pt>
                <c:pt idx="1012">
                  <c:v>45607</c:v>
                </c:pt>
                <c:pt idx="1013">
                  <c:v>45608</c:v>
                </c:pt>
                <c:pt idx="1014">
                  <c:v>45609</c:v>
                </c:pt>
                <c:pt idx="1015">
                  <c:v>45610</c:v>
                </c:pt>
                <c:pt idx="1016">
                  <c:v>45611</c:v>
                </c:pt>
                <c:pt idx="1017">
                  <c:v>45614</c:v>
                </c:pt>
                <c:pt idx="1018">
                  <c:v>45615</c:v>
                </c:pt>
                <c:pt idx="1019">
                  <c:v>45616</c:v>
                </c:pt>
                <c:pt idx="1020">
                  <c:v>45617</c:v>
                </c:pt>
                <c:pt idx="1021">
                  <c:v>45618</c:v>
                </c:pt>
                <c:pt idx="1022">
                  <c:v>45621</c:v>
                </c:pt>
                <c:pt idx="1023">
                  <c:v>45622</c:v>
                </c:pt>
                <c:pt idx="1024">
                  <c:v>45623</c:v>
                </c:pt>
                <c:pt idx="1025">
                  <c:v>45625</c:v>
                </c:pt>
                <c:pt idx="1026">
                  <c:v>45628</c:v>
                </c:pt>
                <c:pt idx="1027">
                  <c:v>45629</c:v>
                </c:pt>
                <c:pt idx="1028">
                  <c:v>45630</c:v>
                </c:pt>
                <c:pt idx="1029">
                  <c:v>45631</c:v>
                </c:pt>
                <c:pt idx="1030">
                  <c:v>45632</c:v>
                </c:pt>
                <c:pt idx="1031">
                  <c:v>45635</c:v>
                </c:pt>
                <c:pt idx="1032">
                  <c:v>45636</c:v>
                </c:pt>
                <c:pt idx="1033">
                  <c:v>45637</c:v>
                </c:pt>
                <c:pt idx="1034">
                  <c:v>45638</c:v>
                </c:pt>
                <c:pt idx="1035">
                  <c:v>45639</c:v>
                </c:pt>
                <c:pt idx="1036">
                  <c:v>45642</c:v>
                </c:pt>
                <c:pt idx="1037">
                  <c:v>45643</c:v>
                </c:pt>
                <c:pt idx="1038">
                  <c:v>45644</c:v>
                </c:pt>
                <c:pt idx="1039">
                  <c:v>45645</c:v>
                </c:pt>
                <c:pt idx="1040">
                  <c:v>45646</c:v>
                </c:pt>
                <c:pt idx="1041">
                  <c:v>45649</c:v>
                </c:pt>
                <c:pt idx="1042">
                  <c:v>45650</c:v>
                </c:pt>
                <c:pt idx="1043">
                  <c:v>45652</c:v>
                </c:pt>
                <c:pt idx="1044">
                  <c:v>45653</c:v>
                </c:pt>
                <c:pt idx="1045">
                  <c:v>45656</c:v>
                </c:pt>
                <c:pt idx="1046">
                  <c:v>45657</c:v>
                </c:pt>
                <c:pt idx="1047">
                  <c:v>45659</c:v>
                </c:pt>
                <c:pt idx="1048">
                  <c:v>45660</c:v>
                </c:pt>
                <c:pt idx="1049">
                  <c:v>45663</c:v>
                </c:pt>
                <c:pt idx="1050">
                  <c:v>45664</c:v>
                </c:pt>
                <c:pt idx="1051">
                  <c:v>45665</c:v>
                </c:pt>
                <c:pt idx="1052">
                  <c:v>45667</c:v>
                </c:pt>
                <c:pt idx="1053">
                  <c:v>45670</c:v>
                </c:pt>
                <c:pt idx="1054">
                  <c:v>45671</c:v>
                </c:pt>
                <c:pt idx="1055">
                  <c:v>45672</c:v>
                </c:pt>
                <c:pt idx="1056">
                  <c:v>45673</c:v>
                </c:pt>
                <c:pt idx="1057">
                  <c:v>45674</c:v>
                </c:pt>
                <c:pt idx="1058">
                  <c:v>45678</c:v>
                </c:pt>
                <c:pt idx="1059">
                  <c:v>45679</c:v>
                </c:pt>
                <c:pt idx="1060">
                  <c:v>45680</c:v>
                </c:pt>
                <c:pt idx="1061">
                  <c:v>45681</c:v>
                </c:pt>
                <c:pt idx="1062">
                  <c:v>45684</c:v>
                </c:pt>
                <c:pt idx="1063">
                  <c:v>45685</c:v>
                </c:pt>
                <c:pt idx="1064">
                  <c:v>45686</c:v>
                </c:pt>
                <c:pt idx="1065">
                  <c:v>45687</c:v>
                </c:pt>
                <c:pt idx="1066">
                  <c:v>45688</c:v>
                </c:pt>
                <c:pt idx="1067">
                  <c:v>45691</c:v>
                </c:pt>
                <c:pt idx="1068">
                  <c:v>45692</c:v>
                </c:pt>
                <c:pt idx="1069">
                  <c:v>45693</c:v>
                </c:pt>
                <c:pt idx="1070">
                  <c:v>45694</c:v>
                </c:pt>
                <c:pt idx="1071">
                  <c:v>45695</c:v>
                </c:pt>
                <c:pt idx="1072">
                  <c:v>45698</c:v>
                </c:pt>
                <c:pt idx="1073">
                  <c:v>45699</c:v>
                </c:pt>
                <c:pt idx="1074">
                  <c:v>45700</c:v>
                </c:pt>
                <c:pt idx="1075">
                  <c:v>45701</c:v>
                </c:pt>
                <c:pt idx="1076">
                  <c:v>45702</c:v>
                </c:pt>
                <c:pt idx="1077">
                  <c:v>45706</c:v>
                </c:pt>
                <c:pt idx="1078">
                  <c:v>45707</c:v>
                </c:pt>
                <c:pt idx="1079">
                  <c:v>45708</c:v>
                </c:pt>
                <c:pt idx="1080">
                  <c:v>45709</c:v>
                </c:pt>
                <c:pt idx="1081">
                  <c:v>45712</c:v>
                </c:pt>
                <c:pt idx="1082">
                  <c:v>45713</c:v>
                </c:pt>
                <c:pt idx="1083">
                  <c:v>45714</c:v>
                </c:pt>
                <c:pt idx="1084">
                  <c:v>45715</c:v>
                </c:pt>
                <c:pt idx="1085">
                  <c:v>45716</c:v>
                </c:pt>
                <c:pt idx="1086">
                  <c:v>45719</c:v>
                </c:pt>
                <c:pt idx="1087">
                  <c:v>45720</c:v>
                </c:pt>
                <c:pt idx="1088">
                  <c:v>45721</c:v>
                </c:pt>
                <c:pt idx="1089">
                  <c:v>45722</c:v>
                </c:pt>
                <c:pt idx="1090">
                  <c:v>45723</c:v>
                </c:pt>
                <c:pt idx="1091">
                  <c:v>45726</c:v>
                </c:pt>
                <c:pt idx="1092">
                  <c:v>45727</c:v>
                </c:pt>
                <c:pt idx="1093">
                  <c:v>45728</c:v>
                </c:pt>
                <c:pt idx="1094">
                  <c:v>45729</c:v>
                </c:pt>
                <c:pt idx="1095">
                  <c:v>45730</c:v>
                </c:pt>
                <c:pt idx="1096">
                  <c:v>45733</c:v>
                </c:pt>
                <c:pt idx="1097">
                  <c:v>45734</c:v>
                </c:pt>
                <c:pt idx="1098">
                  <c:v>45735</c:v>
                </c:pt>
                <c:pt idx="1099">
                  <c:v>45736</c:v>
                </c:pt>
                <c:pt idx="1100">
                  <c:v>45737</c:v>
                </c:pt>
                <c:pt idx="1101">
                  <c:v>45740</c:v>
                </c:pt>
                <c:pt idx="1102">
                  <c:v>45741</c:v>
                </c:pt>
                <c:pt idx="1103">
                  <c:v>45742</c:v>
                </c:pt>
                <c:pt idx="1104">
                  <c:v>45743</c:v>
                </c:pt>
                <c:pt idx="1105">
                  <c:v>45744</c:v>
                </c:pt>
                <c:pt idx="1106">
                  <c:v>45747</c:v>
                </c:pt>
                <c:pt idx="1107">
                  <c:v>45748</c:v>
                </c:pt>
                <c:pt idx="1108">
                  <c:v>45749</c:v>
                </c:pt>
                <c:pt idx="1109">
                  <c:v>45750</c:v>
                </c:pt>
                <c:pt idx="1110">
                  <c:v>45751</c:v>
                </c:pt>
                <c:pt idx="1111">
                  <c:v>45754</c:v>
                </c:pt>
                <c:pt idx="1112">
                  <c:v>45755</c:v>
                </c:pt>
                <c:pt idx="1113">
                  <c:v>45756</c:v>
                </c:pt>
                <c:pt idx="1114">
                  <c:v>45757</c:v>
                </c:pt>
                <c:pt idx="1115">
                  <c:v>45758</c:v>
                </c:pt>
                <c:pt idx="1116">
                  <c:v>45761</c:v>
                </c:pt>
                <c:pt idx="1117">
                  <c:v>45762</c:v>
                </c:pt>
                <c:pt idx="1118">
                  <c:v>45763</c:v>
                </c:pt>
                <c:pt idx="1119">
                  <c:v>45764</c:v>
                </c:pt>
                <c:pt idx="1120">
                  <c:v>45768</c:v>
                </c:pt>
                <c:pt idx="1121">
                  <c:v>45769</c:v>
                </c:pt>
                <c:pt idx="1122">
                  <c:v>45770</c:v>
                </c:pt>
                <c:pt idx="1123">
                  <c:v>45771</c:v>
                </c:pt>
                <c:pt idx="1124">
                  <c:v>45772</c:v>
                </c:pt>
                <c:pt idx="1125">
                  <c:v>45775</c:v>
                </c:pt>
                <c:pt idx="1126">
                  <c:v>45776</c:v>
                </c:pt>
                <c:pt idx="1127">
                  <c:v>45777</c:v>
                </c:pt>
                <c:pt idx="1128">
                  <c:v>45778</c:v>
                </c:pt>
                <c:pt idx="1129">
                  <c:v>45779</c:v>
                </c:pt>
                <c:pt idx="1130">
                  <c:v>45782</c:v>
                </c:pt>
                <c:pt idx="1131">
                  <c:v>45783</c:v>
                </c:pt>
                <c:pt idx="1132">
                  <c:v>45784</c:v>
                </c:pt>
                <c:pt idx="1133">
                  <c:v>45785</c:v>
                </c:pt>
                <c:pt idx="1134">
                  <c:v>45786</c:v>
                </c:pt>
                <c:pt idx="1135">
                  <c:v>45789</c:v>
                </c:pt>
                <c:pt idx="1136">
                  <c:v>45790</c:v>
                </c:pt>
                <c:pt idx="1137">
                  <c:v>45791</c:v>
                </c:pt>
                <c:pt idx="1138">
                  <c:v>45792</c:v>
                </c:pt>
                <c:pt idx="1139">
                  <c:v>45793</c:v>
                </c:pt>
                <c:pt idx="1140">
                  <c:v>45796</c:v>
                </c:pt>
                <c:pt idx="1141">
                  <c:v>45797</c:v>
                </c:pt>
                <c:pt idx="1142">
                  <c:v>45798</c:v>
                </c:pt>
                <c:pt idx="1143">
                  <c:v>45799</c:v>
                </c:pt>
                <c:pt idx="1144">
                  <c:v>45800</c:v>
                </c:pt>
                <c:pt idx="1145">
                  <c:v>45804</c:v>
                </c:pt>
                <c:pt idx="1146">
                  <c:v>45805</c:v>
                </c:pt>
                <c:pt idx="1147">
                  <c:v>45806</c:v>
                </c:pt>
                <c:pt idx="1148">
                  <c:v>45807</c:v>
                </c:pt>
                <c:pt idx="1149">
                  <c:v>45810</c:v>
                </c:pt>
                <c:pt idx="1150">
                  <c:v>45811</c:v>
                </c:pt>
                <c:pt idx="1151">
                  <c:v>45812</c:v>
                </c:pt>
                <c:pt idx="1152">
                  <c:v>45813</c:v>
                </c:pt>
                <c:pt idx="1153">
                  <c:v>45814</c:v>
                </c:pt>
                <c:pt idx="1154">
                  <c:v>45817</c:v>
                </c:pt>
                <c:pt idx="1155">
                  <c:v>45818</c:v>
                </c:pt>
                <c:pt idx="1156">
                  <c:v>45819</c:v>
                </c:pt>
                <c:pt idx="1157">
                  <c:v>45820</c:v>
                </c:pt>
                <c:pt idx="1158">
                  <c:v>45821</c:v>
                </c:pt>
                <c:pt idx="1159">
                  <c:v>45824</c:v>
                </c:pt>
                <c:pt idx="1160">
                  <c:v>45825</c:v>
                </c:pt>
                <c:pt idx="1161">
                  <c:v>45826</c:v>
                </c:pt>
                <c:pt idx="1162">
                  <c:v>45828</c:v>
                </c:pt>
                <c:pt idx="1163">
                  <c:v>45831</c:v>
                </c:pt>
                <c:pt idx="1164">
                  <c:v>45832</c:v>
                </c:pt>
                <c:pt idx="1165">
                  <c:v>45833</c:v>
                </c:pt>
                <c:pt idx="1166">
                  <c:v>45834</c:v>
                </c:pt>
                <c:pt idx="1167">
                  <c:v>45835</c:v>
                </c:pt>
                <c:pt idx="1168">
                  <c:v>45838</c:v>
                </c:pt>
                <c:pt idx="1169">
                  <c:v>45839</c:v>
                </c:pt>
                <c:pt idx="1170">
                  <c:v>45840</c:v>
                </c:pt>
                <c:pt idx="1171">
                  <c:v>45841</c:v>
                </c:pt>
                <c:pt idx="1172">
                  <c:v>45845</c:v>
                </c:pt>
                <c:pt idx="1173">
                  <c:v>45846</c:v>
                </c:pt>
                <c:pt idx="1174">
                  <c:v>45847</c:v>
                </c:pt>
                <c:pt idx="1175">
                  <c:v>45848</c:v>
                </c:pt>
                <c:pt idx="1176">
                  <c:v>45849</c:v>
                </c:pt>
                <c:pt idx="1177">
                  <c:v>45852</c:v>
                </c:pt>
                <c:pt idx="1178">
                  <c:v>45853</c:v>
                </c:pt>
                <c:pt idx="1179">
                  <c:v>45854</c:v>
                </c:pt>
                <c:pt idx="1180">
                  <c:v>45855</c:v>
                </c:pt>
                <c:pt idx="1181">
                  <c:v>45856</c:v>
                </c:pt>
                <c:pt idx="1182">
                  <c:v>45859</c:v>
                </c:pt>
                <c:pt idx="1183">
                  <c:v>45860</c:v>
                </c:pt>
                <c:pt idx="1184">
                  <c:v>45861</c:v>
                </c:pt>
                <c:pt idx="1185">
                  <c:v>45862</c:v>
                </c:pt>
                <c:pt idx="1186">
                  <c:v>45863</c:v>
                </c:pt>
                <c:pt idx="1187">
                  <c:v>45866</c:v>
                </c:pt>
                <c:pt idx="1188">
                  <c:v>45867</c:v>
                </c:pt>
                <c:pt idx="1189">
                  <c:v>45868</c:v>
                </c:pt>
                <c:pt idx="1190">
                  <c:v>45869</c:v>
                </c:pt>
                <c:pt idx="1191">
                  <c:v>45870</c:v>
                </c:pt>
                <c:pt idx="1192">
                  <c:v>45873</c:v>
                </c:pt>
                <c:pt idx="1193">
                  <c:v>45874</c:v>
                </c:pt>
                <c:pt idx="1194">
                  <c:v>45875</c:v>
                </c:pt>
                <c:pt idx="1195">
                  <c:v>45876</c:v>
                </c:pt>
                <c:pt idx="1196">
                  <c:v>45877</c:v>
                </c:pt>
                <c:pt idx="1197">
                  <c:v>45880</c:v>
                </c:pt>
                <c:pt idx="1198">
                  <c:v>45881</c:v>
                </c:pt>
                <c:pt idx="1199">
                  <c:v>45882</c:v>
                </c:pt>
                <c:pt idx="1200">
                  <c:v>45883</c:v>
                </c:pt>
                <c:pt idx="1201">
                  <c:v>45884</c:v>
                </c:pt>
                <c:pt idx="1202">
                  <c:v>45887</c:v>
                </c:pt>
                <c:pt idx="1203">
                  <c:v>45888</c:v>
                </c:pt>
                <c:pt idx="1204">
                  <c:v>45889</c:v>
                </c:pt>
                <c:pt idx="1205">
                  <c:v>45890</c:v>
                </c:pt>
                <c:pt idx="1206">
                  <c:v>45891</c:v>
                </c:pt>
                <c:pt idx="1207">
                  <c:v>45894</c:v>
                </c:pt>
                <c:pt idx="1208">
                  <c:v>45895</c:v>
                </c:pt>
                <c:pt idx="1209">
                  <c:v>45896</c:v>
                </c:pt>
                <c:pt idx="1210">
                  <c:v>45897</c:v>
                </c:pt>
                <c:pt idx="1211">
                  <c:v>45898</c:v>
                </c:pt>
                <c:pt idx="1212">
                  <c:v>45902</c:v>
                </c:pt>
                <c:pt idx="1213">
                  <c:v>45903</c:v>
                </c:pt>
                <c:pt idx="1214">
                  <c:v>45904</c:v>
                </c:pt>
                <c:pt idx="1215">
                  <c:v>45905</c:v>
                </c:pt>
                <c:pt idx="1216">
                  <c:v>45908</c:v>
                </c:pt>
                <c:pt idx="1217">
                  <c:v>45909</c:v>
                </c:pt>
                <c:pt idx="1218">
                  <c:v>45910</c:v>
                </c:pt>
                <c:pt idx="1219">
                  <c:v>45911</c:v>
                </c:pt>
                <c:pt idx="1220">
                  <c:v>45912</c:v>
                </c:pt>
                <c:pt idx="1221">
                  <c:v>45915</c:v>
                </c:pt>
                <c:pt idx="1222">
                  <c:v>45916</c:v>
                </c:pt>
                <c:pt idx="1223">
                  <c:v>45917</c:v>
                </c:pt>
                <c:pt idx="1224">
                  <c:v>45918</c:v>
                </c:pt>
                <c:pt idx="1225">
                  <c:v>45919</c:v>
                </c:pt>
                <c:pt idx="1226">
                  <c:v>45922</c:v>
                </c:pt>
                <c:pt idx="1227">
                  <c:v>45923</c:v>
                </c:pt>
                <c:pt idx="1228">
                  <c:v>45924</c:v>
                </c:pt>
                <c:pt idx="1229">
                  <c:v>45925</c:v>
                </c:pt>
                <c:pt idx="1230">
                  <c:v>45926</c:v>
                </c:pt>
                <c:pt idx="1231">
                  <c:v>45929</c:v>
                </c:pt>
                <c:pt idx="1232">
                  <c:v>45930</c:v>
                </c:pt>
                <c:pt idx="1233">
                  <c:v>45931</c:v>
                </c:pt>
                <c:pt idx="1234">
                  <c:v>45932</c:v>
                </c:pt>
                <c:pt idx="1235">
                  <c:v>45933</c:v>
                </c:pt>
                <c:pt idx="1236">
                  <c:v>45936</c:v>
                </c:pt>
                <c:pt idx="1237">
                  <c:v>45937</c:v>
                </c:pt>
                <c:pt idx="1238">
                  <c:v>45938</c:v>
                </c:pt>
                <c:pt idx="1239">
                  <c:v>45939</c:v>
                </c:pt>
                <c:pt idx="1240">
                  <c:v>45940</c:v>
                </c:pt>
                <c:pt idx="1241">
                  <c:v>45943</c:v>
                </c:pt>
                <c:pt idx="1242">
                  <c:v>45944</c:v>
                </c:pt>
                <c:pt idx="1243">
                  <c:v>45945</c:v>
                </c:pt>
                <c:pt idx="1244">
                  <c:v>45946</c:v>
                </c:pt>
                <c:pt idx="1245">
                  <c:v>45947</c:v>
                </c:pt>
                <c:pt idx="1246">
                  <c:v>45950</c:v>
                </c:pt>
                <c:pt idx="1247">
                  <c:v>45951</c:v>
                </c:pt>
                <c:pt idx="1248">
                  <c:v>45952</c:v>
                </c:pt>
                <c:pt idx="1249">
                  <c:v>45953</c:v>
                </c:pt>
                <c:pt idx="1250">
                  <c:v>45954</c:v>
                </c:pt>
                <c:pt idx="1251">
                  <c:v>45957</c:v>
                </c:pt>
                <c:pt idx="1252">
                  <c:v>45958</c:v>
                </c:pt>
                <c:pt idx="1253">
                  <c:v>45959</c:v>
                </c:pt>
                <c:pt idx="1254">
                  <c:v>45960</c:v>
                </c:pt>
                <c:pt idx="1255">
                  <c:v>45961</c:v>
                </c:pt>
              </c:numCache>
            </c:numRef>
          </c:cat>
          <c:val>
            <c:numRef>
              <c:f>SPY_close_price!$D$3:$D$1258</c:f>
              <c:numCache>
                <c:formatCode>General</c:formatCode>
                <c:ptCount val="1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399.1408585858585</c:v>
                </c:pt>
                <c:pt idx="198">
                  <c:v>399.36648241206018</c:v>
                </c:pt>
                <c:pt idx="199">
                  <c:v>399.56554999999986</c:v>
                </c:pt>
                <c:pt idx="200">
                  <c:v>400.1138499999999</c:v>
                </c:pt>
                <c:pt idx="201">
                  <c:v>400.65049999999991</c:v>
                </c:pt>
                <c:pt idx="202">
                  <c:v>401.1690999999999</c:v>
                </c:pt>
                <c:pt idx="203">
                  <c:v>401.65774999999985</c:v>
                </c:pt>
                <c:pt idx="204">
                  <c:v>402.15149999999977</c:v>
                </c:pt>
                <c:pt idx="205">
                  <c:v>402.60999999999979</c:v>
                </c:pt>
                <c:pt idx="206">
                  <c:v>403.09104999999977</c:v>
                </c:pt>
                <c:pt idx="207">
                  <c:v>403.56884999999971</c:v>
                </c:pt>
                <c:pt idx="208">
                  <c:v>404.06059999999968</c:v>
                </c:pt>
                <c:pt idx="209">
                  <c:v>404.52909999999974</c:v>
                </c:pt>
                <c:pt idx="210">
                  <c:v>404.98219999999969</c:v>
                </c:pt>
                <c:pt idx="211">
                  <c:v>405.44449999999978</c:v>
                </c:pt>
                <c:pt idx="212">
                  <c:v>405.92039999999974</c:v>
                </c:pt>
                <c:pt idx="213">
                  <c:v>406.38604999999984</c:v>
                </c:pt>
                <c:pt idx="214">
                  <c:v>406.85429999999974</c:v>
                </c:pt>
                <c:pt idx="215">
                  <c:v>407.29419999999971</c:v>
                </c:pt>
                <c:pt idx="216">
                  <c:v>407.71099999999967</c:v>
                </c:pt>
                <c:pt idx="217">
                  <c:v>408.11854999999969</c:v>
                </c:pt>
                <c:pt idx="218">
                  <c:v>408.53959999999972</c:v>
                </c:pt>
                <c:pt idx="219">
                  <c:v>408.96514999999971</c:v>
                </c:pt>
                <c:pt idx="220">
                  <c:v>409.34204999999963</c:v>
                </c:pt>
                <c:pt idx="221">
                  <c:v>409.67829999999975</c:v>
                </c:pt>
                <c:pt idx="222">
                  <c:v>410.01299999999981</c:v>
                </c:pt>
                <c:pt idx="223">
                  <c:v>410.35304999999977</c:v>
                </c:pt>
                <c:pt idx="224">
                  <c:v>410.72349999999977</c:v>
                </c:pt>
                <c:pt idx="225">
                  <c:v>411.09219999999982</c:v>
                </c:pt>
                <c:pt idx="226">
                  <c:v>411.47114999999985</c:v>
                </c:pt>
                <c:pt idx="227">
                  <c:v>411.80609999999984</c:v>
                </c:pt>
                <c:pt idx="228">
                  <c:v>412.14684999999992</c:v>
                </c:pt>
                <c:pt idx="229">
                  <c:v>412.46924999999987</c:v>
                </c:pt>
                <c:pt idx="230">
                  <c:v>412.79249999999985</c:v>
                </c:pt>
                <c:pt idx="231">
                  <c:v>413.08484999999985</c:v>
                </c:pt>
                <c:pt idx="232">
                  <c:v>413.38914999999992</c:v>
                </c:pt>
                <c:pt idx="233">
                  <c:v>413.71774999999985</c:v>
                </c:pt>
                <c:pt idx="234">
                  <c:v>414.07174999999995</c:v>
                </c:pt>
                <c:pt idx="235">
                  <c:v>414.42484999999994</c:v>
                </c:pt>
                <c:pt idx="236">
                  <c:v>414.76044999999993</c:v>
                </c:pt>
                <c:pt idx="237">
                  <c:v>415.08354999999995</c:v>
                </c:pt>
                <c:pt idx="238">
                  <c:v>415.39859999999993</c:v>
                </c:pt>
                <c:pt idx="239">
                  <c:v>415.75379999999996</c:v>
                </c:pt>
                <c:pt idx="240">
                  <c:v>416.12319999999994</c:v>
                </c:pt>
                <c:pt idx="241">
                  <c:v>416.4897499999999</c:v>
                </c:pt>
                <c:pt idx="242">
                  <c:v>416.89899999999994</c:v>
                </c:pt>
                <c:pt idx="243">
                  <c:v>417.30439999999993</c:v>
                </c:pt>
                <c:pt idx="244">
                  <c:v>417.70459999999991</c:v>
                </c:pt>
                <c:pt idx="245">
                  <c:v>418.07469999999995</c:v>
                </c:pt>
                <c:pt idx="246">
                  <c:v>418.44614999999999</c:v>
                </c:pt>
                <c:pt idx="247">
                  <c:v>418.83249999999998</c:v>
                </c:pt>
                <c:pt idx="248">
                  <c:v>419.20835</c:v>
                </c:pt>
                <c:pt idx="249">
                  <c:v>419.60100000000011</c:v>
                </c:pt>
                <c:pt idx="250">
                  <c:v>420.00495000000001</c:v>
                </c:pt>
                <c:pt idx="251">
                  <c:v>420.42665000000011</c:v>
                </c:pt>
                <c:pt idx="252">
                  <c:v>420.84289999999999</c:v>
                </c:pt>
                <c:pt idx="253">
                  <c:v>421.24705</c:v>
                </c:pt>
                <c:pt idx="254">
                  <c:v>421.66039999999998</c:v>
                </c:pt>
                <c:pt idx="255">
                  <c:v>422.08864999999997</c:v>
                </c:pt>
                <c:pt idx="256">
                  <c:v>422.51134999999994</c:v>
                </c:pt>
                <c:pt idx="257">
                  <c:v>422.92930000000001</c:v>
                </c:pt>
                <c:pt idx="258">
                  <c:v>423.37534999999997</c:v>
                </c:pt>
                <c:pt idx="259">
                  <c:v>423.80605000000003</c:v>
                </c:pt>
                <c:pt idx="260">
                  <c:v>424.29205000000002</c:v>
                </c:pt>
                <c:pt idx="261">
                  <c:v>424.74804999999992</c:v>
                </c:pt>
                <c:pt idx="262">
                  <c:v>425.18669999999997</c:v>
                </c:pt>
                <c:pt idx="263">
                  <c:v>425.61814999999996</c:v>
                </c:pt>
                <c:pt idx="264">
                  <c:v>426.03584999999998</c:v>
                </c:pt>
                <c:pt idx="265">
                  <c:v>426.44175000000001</c:v>
                </c:pt>
                <c:pt idx="266">
                  <c:v>426.82705000000004</c:v>
                </c:pt>
                <c:pt idx="267">
                  <c:v>427.21675000000005</c:v>
                </c:pt>
                <c:pt idx="268">
                  <c:v>427.61355000000003</c:v>
                </c:pt>
                <c:pt idx="269">
                  <c:v>427.95485000000002</c:v>
                </c:pt>
                <c:pt idx="270">
                  <c:v>428.31465000000009</c:v>
                </c:pt>
                <c:pt idx="271">
                  <c:v>428.6309500000001</c:v>
                </c:pt>
                <c:pt idx="272">
                  <c:v>428.92150000000015</c:v>
                </c:pt>
                <c:pt idx="273">
                  <c:v>429.25490000000013</c:v>
                </c:pt>
                <c:pt idx="274">
                  <c:v>429.57185000000004</c:v>
                </c:pt>
                <c:pt idx="275">
                  <c:v>429.93065000000001</c:v>
                </c:pt>
                <c:pt idx="276">
                  <c:v>430.33454999999992</c:v>
                </c:pt>
                <c:pt idx="277">
                  <c:v>430.72329999999994</c:v>
                </c:pt>
                <c:pt idx="278">
                  <c:v>431.14339999999999</c:v>
                </c:pt>
                <c:pt idx="279">
                  <c:v>431.59530000000007</c:v>
                </c:pt>
                <c:pt idx="280">
                  <c:v>431.98025000000007</c:v>
                </c:pt>
                <c:pt idx="281">
                  <c:v>432.36435000000006</c:v>
                </c:pt>
                <c:pt idx="282">
                  <c:v>432.81025000000011</c:v>
                </c:pt>
                <c:pt idx="283">
                  <c:v>433.25900000000007</c:v>
                </c:pt>
                <c:pt idx="284">
                  <c:v>433.64020000000011</c:v>
                </c:pt>
                <c:pt idx="285">
                  <c:v>434.00650000000007</c:v>
                </c:pt>
                <c:pt idx="286">
                  <c:v>434.38595000000015</c:v>
                </c:pt>
                <c:pt idx="287">
                  <c:v>434.77650000000017</c:v>
                </c:pt>
                <c:pt idx="288">
                  <c:v>435.16185000000019</c:v>
                </c:pt>
                <c:pt idx="289">
                  <c:v>435.57785000000018</c:v>
                </c:pt>
                <c:pt idx="290">
                  <c:v>435.98015000000021</c:v>
                </c:pt>
                <c:pt idx="291">
                  <c:v>436.38800000000015</c:v>
                </c:pt>
                <c:pt idx="292">
                  <c:v>436.7825000000002</c:v>
                </c:pt>
                <c:pt idx="293">
                  <c:v>437.19990000000018</c:v>
                </c:pt>
                <c:pt idx="294">
                  <c:v>437.64105000000023</c:v>
                </c:pt>
                <c:pt idx="295">
                  <c:v>438.0658500000003</c:v>
                </c:pt>
                <c:pt idx="296">
                  <c:v>438.46025000000031</c:v>
                </c:pt>
                <c:pt idx="297">
                  <c:v>438.86235000000028</c:v>
                </c:pt>
                <c:pt idx="298">
                  <c:v>439.24430000000035</c:v>
                </c:pt>
                <c:pt idx="299">
                  <c:v>439.59195000000034</c:v>
                </c:pt>
                <c:pt idx="300">
                  <c:v>439.96180000000038</c:v>
                </c:pt>
                <c:pt idx="301">
                  <c:v>440.34325000000041</c:v>
                </c:pt>
                <c:pt idx="302">
                  <c:v>440.68425000000042</c:v>
                </c:pt>
                <c:pt idx="303">
                  <c:v>441.00480000000039</c:v>
                </c:pt>
                <c:pt idx="304">
                  <c:v>441.25545000000039</c:v>
                </c:pt>
                <c:pt idx="305">
                  <c:v>441.48360000000042</c:v>
                </c:pt>
                <c:pt idx="306">
                  <c:v>441.68440000000038</c:v>
                </c:pt>
                <c:pt idx="307">
                  <c:v>441.83170000000041</c:v>
                </c:pt>
                <c:pt idx="308">
                  <c:v>441.97345000000035</c:v>
                </c:pt>
                <c:pt idx="309">
                  <c:v>442.08760000000041</c:v>
                </c:pt>
                <c:pt idx="310">
                  <c:v>442.1902000000004</c:v>
                </c:pt>
                <c:pt idx="311">
                  <c:v>442.28915000000046</c:v>
                </c:pt>
                <c:pt idx="312">
                  <c:v>442.41955000000036</c:v>
                </c:pt>
                <c:pt idx="313">
                  <c:v>442.58280000000042</c:v>
                </c:pt>
                <c:pt idx="314">
                  <c:v>442.77150000000046</c:v>
                </c:pt>
                <c:pt idx="315">
                  <c:v>442.99740000000043</c:v>
                </c:pt>
                <c:pt idx="316">
                  <c:v>443.15005000000048</c:v>
                </c:pt>
                <c:pt idx="317">
                  <c:v>443.33220000000046</c:v>
                </c:pt>
                <c:pt idx="318">
                  <c:v>443.4848000000004</c:v>
                </c:pt>
                <c:pt idx="319">
                  <c:v>443.65145000000041</c:v>
                </c:pt>
                <c:pt idx="320">
                  <c:v>443.85155000000037</c:v>
                </c:pt>
                <c:pt idx="321">
                  <c:v>444.01115000000044</c:v>
                </c:pt>
                <c:pt idx="322">
                  <c:v>444.11315000000036</c:v>
                </c:pt>
                <c:pt idx="323">
                  <c:v>444.22175000000044</c:v>
                </c:pt>
                <c:pt idx="324">
                  <c:v>444.3612500000005</c:v>
                </c:pt>
                <c:pt idx="325">
                  <c:v>444.51615000000055</c:v>
                </c:pt>
                <c:pt idx="326">
                  <c:v>444.62270000000046</c:v>
                </c:pt>
                <c:pt idx="327">
                  <c:v>444.69850000000059</c:v>
                </c:pt>
                <c:pt idx="328">
                  <c:v>444.73575000000051</c:v>
                </c:pt>
                <c:pt idx="329">
                  <c:v>444.75580000000048</c:v>
                </c:pt>
                <c:pt idx="330">
                  <c:v>444.82625000000041</c:v>
                </c:pt>
                <c:pt idx="331">
                  <c:v>444.98795000000035</c:v>
                </c:pt>
                <c:pt idx="332">
                  <c:v>445.11970000000036</c:v>
                </c:pt>
                <c:pt idx="333">
                  <c:v>445.18670000000037</c:v>
                </c:pt>
                <c:pt idx="334">
                  <c:v>445.29855000000032</c:v>
                </c:pt>
                <c:pt idx="335">
                  <c:v>445.41740000000033</c:v>
                </c:pt>
                <c:pt idx="336">
                  <c:v>445.52395000000035</c:v>
                </c:pt>
                <c:pt idx="337">
                  <c:v>445.54470000000032</c:v>
                </c:pt>
                <c:pt idx="338">
                  <c:v>445.55125000000038</c:v>
                </c:pt>
                <c:pt idx="339">
                  <c:v>445.59245000000027</c:v>
                </c:pt>
                <c:pt idx="340">
                  <c:v>445.62865000000028</c:v>
                </c:pt>
                <c:pt idx="341">
                  <c:v>445.63365000000027</c:v>
                </c:pt>
                <c:pt idx="342">
                  <c:v>445.6222000000003</c:v>
                </c:pt>
                <c:pt idx="343">
                  <c:v>445.6528500000004</c:v>
                </c:pt>
                <c:pt idx="344">
                  <c:v>445.73260000000033</c:v>
                </c:pt>
                <c:pt idx="345">
                  <c:v>445.83630000000039</c:v>
                </c:pt>
                <c:pt idx="346">
                  <c:v>445.96505000000042</c:v>
                </c:pt>
                <c:pt idx="347">
                  <c:v>446.07400000000035</c:v>
                </c:pt>
                <c:pt idx="348">
                  <c:v>446.21100000000035</c:v>
                </c:pt>
                <c:pt idx="349">
                  <c:v>446.31860000000034</c:v>
                </c:pt>
                <c:pt idx="350">
                  <c:v>446.46280000000036</c:v>
                </c:pt>
                <c:pt idx="351">
                  <c:v>446.60820000000035</c:v>
                </c:pt>
                <c:pt idx="352">
                  <c:v>446.76620000000037</c:v>
                </c:pt>
                <c:pt idx="353">
                  <c:v>446.94765000000041</c:v>
                </c:pt>
                <c:pt idx="354">
                  <c:v>447.11875000000043</c:v>
                </c:pt>
                <c:pt idx="355">
                  <c:v>447.26640000000037</c:v>
                </c:pt>
                <c:pt idx="356">
                  <c:v>447.42115000000041</c:v>
                </c:pt>
                <c:pt idx="357">
                  <c:v>447.63055000000037</c:v>
                </c:pt>
                <c:pt idx="358">
                  <c:v>447.78140000000036</c:v>
                </c:pt>
                <c:pt idx="359">
                  <c:v>447.89845000000037</c:v>
                </c:pt>
                <c:pt idx="360">
                  <c:v>448.02930000000038</c:v>
                </c:pt>
                <c:pt idx="361">
                  <c:v>448.14165000000042</c:v>
                </c:pt>
                <c:pt idx="362">
                  <c:v>448.20820000000043</c:v>
                </c:pt>
                <c:pt idx="363">
                  <c:v>448.26230000000032</c:v>
                </c:pt>
                <c:pt idx="364">
                  <c:v>448.34035000000034</c:v>
                </c:pt>
                <c:pt idx="365">
                  <c:v>448.38900000000029</c:v>
                </c:pt>
                <c:pt idx="366">
                  <c:v>448.42670000000027</c:v>
                </c:pt>
                <c:pt idx="367">
                  <c:v>448.48330000000016</c:v>
                </c:pt>
                <c:pt idx="368">
                  <c:v>448.54220000000021</c:v>
                </c:pt>
                <c:pt idx="369">
                  <c:v>448.56020000000018</c:v>
                </c:pt>
                <c:pt idx="370">
                  <c:v>448.53580000000011</c:v>
                </c:pt>
                <c:pt idx="371">
                  <c:v>448.5007500000001</c:v>
                </c:pt>
                <c:pt idx="372">
                  <c:v>448.39585000000011</c:v>
                </c:pt>
                <c:pt idx="373">
                  <c:v>448.30425000000008</c:v>
                </c:pt>
                <c:pt idx="374">
                  <c:v>448.26210000000015</c:v>
                </c:pt>
                <c:pt idx="375">
                  <c:v>448.14835000000016</c:v>
                </c:pt>
                <c:pt idx="376">
                  <c:v>448.06405000000012</c:v>
                </c:pt>
                <c:pt idx="377">
                  <c:v>448.0211000000001</c:v>
                </c:pt>
                <c:pt idx="378">
                  <c:v>448.01110000000006</c:v>
                </c:pt>
                <c:pt idx="379">
                  <c:v>447.9074</c:v>
                </c:pt>
                <c:pt idx="380">
                  <c:v>447.78679999999991</c:v>
                </c:pt>
                <c:pt idx="381">
                  <c:v>447.57794999999993</c:v>
                </c:pt>
                <c:pt idx="382">
                  <c:v>447.36829999999986</c:v>
                </c:pt>
                <c:pt idx="383">
                  <c:v>447.13699999999989</c:v>
                </c:pt>
                <c:pt idx="384">
                  <c:v>446.90454999999986</c:v>
                </c:pt>
                <c:pt idx="385">
                  <c:v>446.70989999999983</c:v>
                </c:pt>
                <c:pt idx="386">
                  <c:v>446.51779999999985</c:v>
                </c:pt>
                <c:pt idx="387">
                  <c:v>446.37144999999987</c:v>
                </c:pt>
                <c:pt idx="388">
                  <c:v>446.12499999999994</c:v>
                </c:pt>
                <c:pt idx="389">
                  <c:v>445.87739999999997</c:v>
                </c:pt>
                <c:pt idx="390">
                  <c:v>445.61674999999997</c:v>
                </c:pt>
                <c:pt idx="391">
                  <c:v>445.38889999999992</c:v>
                </c:pt>
                <c:pt idx="392">
                  <c:v>445.14769999999999</c:v>
                </c:pt>
                <c:pt idx="393">
                  <c:v>444.9211499999999</c:v>
                </c:pt>
                <c:pt idx="394">
                  <c:v>444.72879999999992</c:v>
                </c:pt>
                <c:pt idx="395">
                  <c:v>444.57954999999987</c:v>
                </c:pt>
                <c:pt idx="396">
                  <c:v>444.41459999999984</c:v>
                </c:pt>
                <c:pt idx="397">
                  <c:v>444.2276999999998</c:v>
                </c:pt>
                <c:pt idx="398">
                  <c:v>444.09444999999977</c:v>
                </c:pt>
                <c:pt idx="399">
                  <c:v>443.95124999999979</c:v>
                </c:pt>
                <c:pt idx="400">
                  <c:v>443.81089999999972</c:v>
                </c:pt>
                <c:pt idx="401">
                  <c:v>443.67279999999977</c:v>
                </c:pt>
                <c:pt idx="402">
                  <c:v>443.49259999999975</c:v>
                </c:pt>
                <c:pt idx="403">
                  <c:v>443.25994999999972</c:v>
                </c:pt>
                <c:pt idx="404">
                  <c:v>442.96439999999978</c:v>
                </c:pt>
                <c:pt idx="405">
                  <c:v>442.60809999999975</c:v>
                </c:pt>
                <c:pt idx="406">
                  <c:v>442.22619999999972</c:v>
                </c:pt>
                <c:pt idx="407">
                  <c:v>441.86104999999975</c:v>
                </c:pt>
                <c:pt idx="408">
                  <c:v>441.43649999999974</c:v>
                </c:pt>
                <c:pt idx="409">
                  <c:v>441.00679999999977</c:v>
                </c:pt>
                <c:pt idx="410">
                  <c:v>440.61619999999982</c:v>
                </c:pt>
                <c:pt idx="411">
                  <c:v>440.22274999999979</c:v>
                </c:pt>
                <c:pt idx="412">
                  <c:v>439.85574999999977</c:v>
                </c:pt>
                <c:pt idx="413">
                  <c:v>439.55159999999972</c:v>
                </c:pt>
                <c:pt idx="414">
                  <c:v>439.24964999999969</c:v>
                </c:pt>
                <c:pt idx="415">
                  <c:v>438.92569999999961</c:v>
                </c:pt>
                <c:pt idx="416">
                  <c:v>438.59449999999958</c:v>
                </c:pt>
                <c:pt idx="417">
                  <c:v>438.25989999999956</c:v>
                </c:pt>
                <c:pt idx="418">
                  <c:v>437.92669999999964</c:v>
                </c:pt>
                <c:pt idx="419">
                  <c:v>437.60064999999963</c:v>
                </c:pt>
                <c:pt idx="420">
                  <c:v>437.30989999999963</c:v>
                </c:pt>
                <c:pt idx="421">
                  <c:v>437.08464999999967</c:v>
                </c:pt>
                <c:pt idx="422">
                  <c:v>436.85984999999965</c:v>
                </c:pt>
                <c:pt idx="423">
                  <c:v>436.59169999999961</c:v>
                </c:pt>
                <c:pt idx="424">
                  <c:v>436.27994999999964</c:v>
                </c:pt>
                <c:pt idx="425">
                  <c:v>435.95454999999964</c:v>
                </c:pt>
                <c:pt idx="426">
                  <c:v>435.63089999999977</c:v>
                </c:pt>
                <c:pt idx="427">
                  <c:v>435.38794999999971</c:v>
                </c:pt>
                <c:pt idx="428">
                  <c:v>435.12544999999972</c:v>
                </c:pt>
                <c:pt idx="429">
                  <c:v>434.94109999999966</c:v>
                </c:pt>
                <c:pt idx="430">
                  <c:v>434.74374999999981</c:v>
                </c:pt>
                <c:pt idx="431">
                  <c:v>434.5944999999997</c:v>
                </c:pt>
                <c:pt idx="432">
                  <c:v>434.40444999999971</c:v>
                </c:pt>
                <c:pt idx="433">
                  <c:v>434.20779999999979</c:v>
                </c:pt>
                <c:pt idx="434">
                  <c:v>433.96894999999972</c:v>
                </c:pt>
                <c:pt idx="435">
                  <c:v>433.78484999999972</c:v>
                </c:pt>
                <c:pt idx="436">
                  <c:v>433.64174999999972</c:v>
                </c:pt>
                <c:pt idx="437">
                  <c:v>433.53359999999969</c:v>
                </c:pt>
                <c:pt idx="438">
                  <c:v>433.41154999999975</c:v>
                </c:pt>
                <c:pt idx="439">
                  <c:v>433.23934999999977</c:v>
                </c:pt>
                <c:pt idx="440">
                  <c:v>433.08224999999976</c:v>
                </c:pt>
                <c:pt idx="441">
                  <c:v>432.91714999999976</c:v>
                </c:pt>
                <c:pt idx="442">
                  <c:v>432.73129999999975</c:v>
                </c:pt>
                <c:pt idx="443">
                  <c:v>432.53419999999977</c:v>
                </c:pt>
                <c:pt idx="444">
                  <c:v>432.32299999999981</c:v>
                </c:pt>
                <c:pt idx="445">
                  <c:v>432.15734999999978</c:v>
                </c:pt>
                <c:pt idx="446">
                  <c:v>431.97954999999985</c:v>
                </c:pt>
                <c:pt idx="447">
                  <c:v>431.83524999999986</c:v>
                </c:pt>
                <c:pt idx="448">
                  <c:v>431.70984999999996</c:v>
                </c:pt>
                <c:pt idx="449">
                  <c:v>431.56674999999996</c:v>
                </c:pt>
                <c:pt idx="450">
                  <c:v>431.40374999999995</c:v>
                </c:pt>
                <c:pt idx="451">
                  <c:v>431.24299999999994</c:v>
                </c:pt>
                <c:pt idx="452">
                  <c:v>431.04419999999999</c:v>
                </c:pt>
                <c:pt idx="453">
                  <c:v>430.78735</c:v>
                </c:pt>
                <c:pt idx="454">
                  <c:v>430.51455000000004</c:v>
                </c:pt>
                <c:pt idx="455">
                  <c:v>430.24025</c:v>
                </c:pt>
                <c:pt idx="456">
                  <c:v>429.99315000000001</c:v>
                </c:pt>
                <c:pt idx="457">
                  <c:v>429.68279999999999</c:v>
                </c:pt>
                <c:pt idx="458">
                  <c:v>429.37785000000008</c:v>
                </c:pt>
                <c:pt idx="459">
                  <c:v>429.05005000000011</c:v>
                </c:pt>
                <c:pt idx="460">
                  <c:v>428.68960000000004</c:v>
                </c:pt>
                <c:pt idx="461">
                  <c:v>428.33455000000009</c:v>
                </c:pt>
                <c:pt idx="462">
                  <c:v>427.94935000000004</c:v>
                </c:pt>
                <c:pt idx="463">
                  <c:v>427.56245000000001</c:v>
                </c:pt>
                <c:pt idx="464">
                  <c:v>427.20270000000005</c:v>
                </c:pt>
                <c:pt idx="465">
                  <c:v>426.86015000000009</c:v>
                </c:pt>
                <c:pt idx="466">
                  <c:v>426.55530000000016</c:v>
                </c:pt>
                <c:pt idx="467">
                  <c:v>426.26920000000007</c:v>
                </c:pt>
                <c:pt idx="468">
                  <c:v>425.88749999999999</c:v>
                </c:pt>
                <c:pt idx="469">
                  <c:v>425.56565000000001</c:v>
                </c:pt>
                <c:pt idx="470">
                  <c:v>425.19325000000003</c:v>
                </c:pt>
                <c:pt idx="471">
                  <c:v>424.84324999999995</c:v>
                </c:pt>
                <c:pt idx="472">
                  <c:v>424.5335</c:v>
                </c:pt>
                <c:pt idx="473">
                  <c:v>424.16694999999999</c:v>
                </c:pt>
                <c:pt idx="474">
                  <c:v>423.78680000000003</c:v>
                </c:pt>
                <c:pt idx="475">
                  <c:v>423.36394999999999</c:v>
                </c:pt>
                <c:pt idx="476">
                  <c:v>422.86229999999995</c:v>
                </c:pt>
                <c:pt idx="477">
                  <c:v>422.33624999999995</c:v>
                </c:pt>
                <c:pt idx="478">
                  <c:v>421.82139999999998</c:v>
                </c:pt>
                <c:pt idx="479">
                  <c:v>421.32034999999991</c:v>
                </c:pt>
                <c:pt idx="480">
                  <c:v>420.80144999999982</c:v>
                </c:pt>
                <c:pt idx="481">
                  <c:v>420.27054999999984</c:v>
                </c:pt>
                <c:pt idx="482">
                  <c:v>419.75059999999985</c:v>
                </c:pt>
                <c:pt idx="483">
                  <c:v>419.30819999999977</c:v>
                </c:pt>
                <c:pt idx="484">
                  <c:v>418.89429999999976</c:v>
                </c:pt>
                <c:pt idx="485">
                  <c:v>418.4853999999998</c:v>
                </c:pt>
                <c:pt idx="486">
                  <c:v>417.9840499999998</c:v>
                </c:pt>
                <c:pt idx="487">
                  <c:v>417.4456999999997</c:v>
                </c:pt>
                <c:pt idx="488">
                  <c:v>416.88139999999976</c:v>
                </c:pt>
                <c:pt idx="489">
                  <c:v>416.2778999999997</c:v>
                </c:pt>
                <c:pt idx="490">
                  <c:v>415.72339999999969</c:v>
                </c:pt>
                <c:pt idx="491">
                  <c:v>415.12414999999964</c:v>
                </c:pt>
                <c:pt idx="492">
                  <c:v>414.57744999999966</c:v>
                </c:pt>
                <c:pt idx="493">
                  <c:v>414.05829999999975</c:v>
                </c:pt>
                <c:pt idx="494">
                  <c:v>413.51224999999977</c:v>
                </c:pt>
                <c:pt idx="495">
                  <c:v>412.95154999999977</c:v>
                </c:pt>
                <c:pt idx="496">
                  <c:v>412.48109999999974</c:v>
                </c:pt>
                <c:pt idx="497">
                  <c:v>412.03574999999967</c:v>
                </c:pt>
                <c:pt idx="498">
                  <c:v>411.62989999999962</c:v>
                </c:pt>
                <c:pt idx="499">
                  <c:v>411.21244999999965</c:v>
                </c:pt>
                <c:pt idx="500">
                  <c:v>410.76359999999971</c:v>
                </c:pt>
                <c:pt idx="501">
                  <c:v>410.35359999999963</c:v>
                </c:pt>
                <c:pt idx="502">
                  <c:v>409.9619999999997</c:v>
                </c:pt>
                <c:pt idx="503">
                  <c:v>409.56099999999969</c:v>
                </c:pt>
                <c:pt idx="504">
                  <c:v>409.1528999999997</c:v>
                </c:pt>
                <c:pt idx="505">
                  <c:v>408.74919999999969</c:v>
                </c:pt>
                <c:pt idx="506">
                  <c:v>408.39719999999977</c:v>
                </c:pt>
                <c:pt idx="507">
                  <c:v>408.10704999999973</c:v>
                </c:pt>
                <c:pt idx="508">
                  <c:v>407.81784999999974</c:v>
                </c:pt>
                <c:pt idx="509">
                  <c:v>407.5161499999997</c:v>
                </c:pt>
                <c:pt idx="510">
                  <c:v>407.32269999999977</c:v>
                </c:pt>
                <c:pt idx="511">
                  <c:v>407.1590499999997</c:v>
                </c:pt>
                <c:pt idx="512">
                  <c:v>406.9248999999997</c:v>
                </c:pt>
                <c:pt idx="513">
                  <c:v>406.66779999999977</c:v>
                </c:pt>
                <c:pt idx="514">
                  <c:v>406.38029999999975</c:v>
                </c:pt>
                <c:pt idx="515">
                  <c:v>406.06474999999978</c:v>
                </c:pt>
                <c:pt idx="516">
                  <c:v>405.81189999999975</c:v>
                </c:pt>
                <c:pt idx="517">
                  <c:v>405.54134999999974</c:v>
                </c:pt>
                <c:pt idx="518">
                  <c:v>405.30454999999972</c:v>
                </c:pt>
                <c:pt idx="519">
                  <c:v>405.06194999999963</c:v>
                </c:pt>
                <c:pt idx="520">
                  <c:v>404.78589999999969</c:v>
                </c:pt>
                <c:pt idx="521">
                  <c:v>404.5188499999997</c:v>
                </c:pt>
                <c:pt idx="522">
                  <c:v>404.29269999999974</c:v>
                </c:pt>
                <c:pt idx="523">
                  <c:v>404.13599999999968</c:v>
                </c:pt>
                <c:pt idx="524">
                  <c:v>403.94239999999974</c:v>
                </c:pt>
                <c:pt idx="525">
                  <c:v>403.74394999999981</c:v>
                </c:pt>
                <c:pt idx="526">
                  <c:v>403.55659999999972</c:v>
                </c:pt>
                <c:pt idx="527">
                  <c:v>403.35459999999972</c:v>
                </c:pt>
                <c:pt idx="528">
                  <c:v>403.17254999999966</c:v>
                </c:pt>
                <c:pt idx="529">
                  <c:v>403.0439999999997</c:v>
                </c:pt>
                <c:pt idx="530">
                  <c:v>402.86889999999971</c:v>
                </c:pt>
                <c:pt idx="531">
                  <c:v>402.67489999999964</c:v>
                </c:pt>
                <c:pt idx="532">
                  <c:v>402.5015999999996</c:v>
                </c:pt>
                <c:pt idx="533">
                  <c:v>402.34869999999961</c:v>
                </c:pt>
                <c:pt idx="534">
                  <c:v>402.1073999999997</c:v>
                </c:pt>
                <c:pt idx="535">
                  <c:v>401.84519999999975</c:v>
                </c:pt>
                <c:pt idx="536">
                  <c:v>401.58444999999972</c:v>
                </c:pt>
                <c:pt idx="537">
                  <c:v>401.3899999999997</c:v>
                </c:pt>
                <c:pt idx="538">
                  <c:v>401.23989999999969</c:v>
                </c:pt>
                <c:pt idx="539">
                  <c:v>401.00644999999969</c:v>
                </c:pt>
                <c:pt idx="540">
                  <c:v>400.79359999999963</c:v>
                </c:pt>
                <c:pt idx="541">
                  <c:v>400.60024999999956</c:v>
                </c:pt>
                <c:pt idx="542">
                  <c:v>400.39854999999966</c:v>
                </c:pt>
                <c:pt idx="543">
                  <c:v>400.18489999999969</c:v>
                </c:pt>
                <c:pt idx="544">
                  <c:v>399.9189499999996</c:v>
                </c:pt>
                <c:pt idx="545">
                  <c:v>399.61769999999967</c:v>
                </c:pt>
                <c:pt idx="546">
                  <c:v>399.31389999999953</c:v>
                </c:pt>
                <c:pt idx="547">
                  <c:v>398.98884999999967</c:v>
                </c:pt>
                <c:pt idx="548">
                  <c:v>398.68129999999968</c:v>
                </c:pt>
                <c:pt idx="549">
                  <c:v>398.40159999999975</c:v>
                </c:pt>
                <c:pt idx="550">
                  <c:v>398.10204999999974</c:v>
                </c:pt>
                <c:pt idx="551">
                  <c:v>397.81619999999975</c:v>
                </c:pt>
                <c:pt idx="552">
                  <c:v>397.52144999999985</c:v>
                </c:pt>
                <c:pt idx="553">
                  <c:v>397.2061999999998</c:v>
                </c:pt>
                <c:pt idx="554">
                  <c:v>396.90154999999982</c:v>
                </c:pt>
                <c:pt idx="555">
                  <c:v>396.60079999999988</c:v>
                </c:pt>
                <c:pt idx="556">
                  <c:v>396.2793999999999</c:v>
                </c:pt>
                <c:pt idx="557">
                  <c:v>395.97479999999996</c:v>
                </c:pt>
                <c:pt idx="558">
                  <c:v>395.72280000000006</c:v>
                </c:pt>
                <c:pt idx="559">
                  <c:v>395.49120000000005</c:v>
                </c:pt>
                <c:pt idx="560">
                  <c:v>395.24910000000006</c:v>
                </c:pt>
                <c:pt idx="561">
                  <c:v>395.03500000000003</c:v>
                </c:pt>
                <c:pt idx="562">
                  <c:v>394.86379999999997</c:v>
                </c:pt>
                <c:pt idx="563">
                  <c:v>394.67529999999999</c:v>
                </c:pt>
                <c:pt idx="564">
                  <c:v>394.49115</c:v>
                </c:pt>
                <c:pt idx="565">
                  <c:v>394.3562</c:v>
                </c:pt>
                <c:pt idx="566">
                  <c:v>394.25024999999999</c:v>
                </c:pt>
                <c:pt idx="567">
                  <c:v>394.0868000000001</c:v>
                </c:pt>
                <c:pt idx="568">
                  <c:v>393.91239999999999</c:v>
                </c:pt>
                <c:pt idx="569">
                  <c:v>393.79804999999999</c:v>
                </c:pt>
                <c:pt idx="570">
                  <c:v>393.72109999999998</c:v>
                </c:pt>
                <c:pt idx="571">
                  <c:v>393.61400000000003</c:v>
                </c:pt>
                <c:pt idx="572">
                  <c:v>393.57369999999997</c:v>
                </c:pt>
                <c:pt idx="573">
                  <c:v>393.55149999999992</c:v>
                </c:pt>
                <c:pt idx="574">
                  <c:v>393.47564999999997</c:v>
                </c:pt>
                <c:pt idx="575">
                  <c:v>393.48554999999993</c:v>
                </c:pt>
                <c:pt idx="576">
                  <c:v>393.45455000000004</c:v>
                </c:pt>
                <c:pt idx="577">
                  <c:v>393.40894999999995</c:v>
                </c:pt>
                <c:pt idx="578">
                  <c:v>393.25909999999999</c:v>
                </c:pt>
                <c:pt idx="579">
                  <c:v>393.18274999999994</c:v>
                </c:pt>
                <c:pt idx="580">
                  <c:v>393.12934999999993</c:v>
                </c:pt>
                <c:pt idx="581">
                  <c:v>393.12039999999996</c:v>
                </c:pt>
                <c:pt idx="582">
                  <c:v>393.11359999999991</c:v>
                </c:pt>
                <c:pt idx="583">
                  <c:v>393.13114999999993</c:v>
                </c:pt>
                <c:pt idx="584">
                  <c:v>393.14314999999988</c:v>
                </c:pt>
                <c:pt idx="585">
                  <c:v>393.12359999999984</c:v>
                </c:pt>
                <c:pt idx="586">
                  <c:v>393.14409999999981</c:v>
                </c:pt>
                <c:pt idx="587">
                  <c:v>393.12484999999981</c:v>
                </c:pt>
                <c:pt idx="588">
                  <c:v>393.15689999999978</c:v>
                </c:pt>
                <c:pt idx="589">
                  <c:v>393.20419999999979</c:v>
                </c:pt>
                <c:pt idx="590">
                  <c:v>393.21384999999964</c:v>
                </c:pt>
                <c:pt idx="591">
                  <c:v>393.15879999999976</c:v>
                </c:pt>
                <c:pt idx="592">
                  <c:v>393.11614999999966</c:v>
                </c:pt>
                <c:pt idx="593">
                  <c:v>393.08794999999969</c:v>
                </c:pt>
                <c:pt idx="594">
                  <c:v>393.00779999999969</c:v>
                </c:pt>
                <c:pt idx="595">
                  <c:v>392.91204999999974</c:v>
                </c:pt>
                <c:pt idx="596">
                  <c:v>392.79734999999977</c:v>
                </c:pt>
                <c:pt idx="597">
                  <c:v>392.71809999999977</c:v>
                </c:pt>
                <c:pt idx="598">
                  <c:v>392.62569999999982</c:v>
                </c:pt>
                <c:pt idx="599">
                  <c:v>392.53354999999982</c:v>
                </c:pt>
                <c:pt idx="600">
                  <c:v>392.44044999999977</c:v>
                </c:pt>
                <c:pt idx="601">
                  <c:v>392.34049999999979</c:v>
                </c:pt>
                <c:pt idx="602">
                  <c:v>392.26684999999981</c:v>
                </c:pt>
                <c:pt idx="603">
                  <c:v>392.23764999999992</c:v>
                </c:pt>
                <c:pt idx="604">
                  <c:v>392.29540000000003</c:v>
                </c:pt>
                <c:pt idx="605">
                  <c:v>392.43889999999999</c:v>
                </c:pt>
                <c:pt idx="606">
                  <c:v>392.61650000000003</c:v>
                </c:pt>
                <c:pt idx="607">
                  <c:v>392.77525000000003</c:v>
                </c:pt>
                <c:pt idx="608">
                  <c:v>392.9853500000001</c:v>
                </c:pt>
                <c:pt idx="609">
                  <c:v>393.19405000000012</c:v>
                </c:pt>
                <c:pt idx="610">
                  <c:v>393.3646500000001</c:v>
                </c:pt>
                <c:pt idx="611">
                  <c:v>393.54075000000012</c:v>
                </c:pt>
                <c:pt idx="612">
                  <c:v>393.69905000000011</c:v>
                </c:pt>
                <c:pt idx="613">
                  <c:v>393.78890000000013</c:v>
                </c:pt>
                <c:pt idx="614">
                  <c:v>393.91330000000016</c:v>
                </c:pt>
                <c:pt idx="615">
                  <c:v>394.0723500000002</c:v>
                </c:pt>
                <c:pt idx="616">
                  <c:v>394.24035000000026</c:v>
                </c:pt>
                <c:pt idx="617">
                  <c:v>394.42515000000026</c:v>
                </c:pt>
                <c:pt idx="618">
                  <c:v>394.58965000000035</c:v>
                </c:pt>
                <c:pt idx="619">
                  <c:v>394.73925000000025</c:v>
                </c:pt>
                <c:pt idx="620">
                  <c:v>394.88400000000024</c:v>
                </c:pt>
                <c:pt idx="621">
                  <c:v>395.0022000000003</c:v>
                </c:pt>
                <c:pt idx="622">
                  <c:v>395.08925000000033</c:v>
                </c:pt>
                <c:pt idx="623">
                  <c:v>395.18990000000025</c:v>
                </c:pt>
                <c:pt idx="624">
                  <c:v>395.34780000000029</c:v>
                </c:pt>
                <c:pt idx="625">
                  <c:v>395.53330000000022</c:v>
                </c:pt>
                <c:pt idx="626">
                  <c:v>395.72130000000027</c:v>
                </c:pt>
                <c:pt idx="627">
                  <c:v>395.84985000000029</c:v>
                </c:pt>
                <c:pt idx="628">
                  <c:v>395.98020000000025</c:v>
                </c:pt>
                <c:pt idx="629">
                  <c:v>396.04450000000026</c:v>
                </c:pt>
                <c:pt idx="630">
                  <c:v>396.13380000000029</c:v>
                </c:pt>
                <c:pt idx="631">
                  <c:v>396.20355000000023</c:v>
                </c:pt>
                <c:pt idx="632">
                  <c:v>396.28275000000025</c:v>
                </c:pt>
                <c:pt idx="633">
                  <c:v>396.36915000000039</c:v>
                </c:pt>
                <c:pt idx="634">
                  <c:v>396.47535000000033</c:v>
                </c:pt>
                <c:pt idx="635">
                  <c:v>396.52810000000034</c:v>
                </c:pt>
                <c:pt idx="636">
                  <c:v>396.56280000000021</c:v>
                </c:pt>
                <c:pt idx="637">
                  <c:v>396.55410000000018</c:v>
                </c:pt>
                <c:pt idx="638">
                  <c:v>396.57640000000015</c:v>
                </c:pt>
                <c:pt idx="639">
                  <c:v>396.63225000000011</c:v>
                </c:pt>
                <c:pt idx="640">
                  <c:v>396.65310000000011</c:v>
                </c:pt>
                <c:pt idx="641">
                  <c:v>396.67620000000011</c:v>
                </c:pt>
                <c:pt idx="642">
                  <c:v>396.67930000000001</c:v>
                </c:pt>
                <c:pt idx="643">
                  <c:v>396.66979999999995</c:v>
                </c:pt>
                <c:pt idx="644">
                  <c:v>396.6862999999999</c:v>
                </c:pt>
                <c:pt idx="645">
                  <c:v>396.68644999999998</c:v>
                </c:pt>
                <c:pt idx="646">
                  <c:v>396.68739999999991</c:v>
                </c:pt>
                <c:pt idx="647">
                  <c:v>396.64114999999998</c:v>
                </c:pt>
                <c:pt idx="648">
                  <c:v>396.60594999999995</c:v>
                </c:pt>
                <c:pt idx="649">
                  <c:v>396.59704999999997</c:v>
                </c:pt>
                <c:pt idx="650">
                  <c:v>396.59930000000003</c:v>
                </c:pt>
                <c:pt idx="651">
                  <c:v>396.6</c:v>
                </c:pt>
                <c:pt idx="652">
                  <c:v>396.62204999999994</c:v>
                </c:pt>
                <c:pt idx="653">
                  <c:v>396.70095000000003</c:v>
                </c:pt>
                <c:pt idx="654">
                  <c:v>396.78869999999995</c:v>
                </c:pt>
                <c:pt idx="655">
                  <c:v>396.88934999999992</c:v>
                </c:pt>
                <c:pt idx="656">
                  <c:v>396.97509999999994</c:v>
                </c:pt>
                <c:pt idx="657">
                  <c:v>397.13444999999984</c:v>
                </c:pt>
                <c:pt idx="658">
                  <c:v>397.33429999999993</c:v>
                </c:pt>
                <c:pt idx="659">
                  <c:v>397.54055</c:v>
                </c:pt>
                <c:pt idx="660">
                  <c:v>397.75054999999998</c:v>
                </c:pt>
                <c:pt idx="661">
                  <c:v>397.94314999999995</c:v>
                </c:pt>
                <c:pt idx="662">
                  <c:v>398.16449999999992</c:v>
                </c:pt>
                <c:pt idx="663">
                  <c:v>398.3767499999999</c:v>
                </c:pt>
                <c:pt idx="664">
                  <c:v>398.54504999999989</c:v>
                </c:pt>
                <c:pt idx="665">
                  <c:v>398.72399999999988</c:v>
                </c:pt>
                <c:pt idx="666">
                  <c:v>398.87294999999989</c:v>
                </c:pt>
                <c:pt idx="667">
                  <c:v>399.00864999999982</c:v>
                </c:pt>
                <c:pt idx="668">
                  <c:v>399.25954999999988</c:v>
                </c:pt>
                <c:pt idx="669">
                  <c:v>399.50549999999987</c:v>
                </c:pt>
                <c:pt idx="670">
                  <c:v>399.77054999999996</c:v>
                </c:pt>
                <c:pt idx="671">
                  <c:v>400.04104999999998</c:v>
                </c:pt>
                <c:pt idx="672">
                  <c:v>400.29105000000004</c:v>
                </c:pt>
                <c:pt idx="673">
                  <c:v>400.56890000000004</c:v>
                </c:pt>
                <c:pt idx="674">
                  <c:v>400.89425000000017</c:v>
                </c:pt>
                <c:pt idx="675">
                  <c:v>401.25325000000021</c:v>
                </c:pt>
                <c:pt idx="676">
                  <c:v>401.66130000000021</c:v>
                </c:pt>
                <c:pt idx="677">
                  <c:v>402.0861500000002</c:v>
                </c:pt>
                <c:pt idx="678">
                  <c:v>402.52345000000014</c:v>
                </c:pt>
                <c:pt idx="679">
                  <c:v>402.94175000000018</c:v>
                </c:pt>
                <c:pt idx="680">
                  <c:v>403.40380000000022</c:v>
                </c:pt>
                <c:pt idx="681">
                  <c:v>403.87880000000013</c:v>
                </c:pt>
                <c:pt idx="682">
                  <c:v>404.3066500000001</c:v>
                </c:pt>
                <c:pt idx="683">
                  <c:v>404.68779999999998</c:v>
                </c:pt>
                <c:pt idx="684">
                  <c:v>405.07955000000004</c:v>
                </c:pt>
                <c:pt idx="685">
                  <c:v>405.49109999999996</c:v>
                </c:pt>
                <c:pt idx="686">
                  <c:v>405.93959999999998</c:v>
                </c:pt>
                <c:pt idx="687">
                  <c:v>406.42409999999995</c:v>
                </c:pt>
                <c:pt idx="688">
                  <c:v>406.92434999999989</c:v>
                </c:pt>
                <c:pt idx="689">
                  <c:v>407.42394999999988</c:v>
                </c:pt>
                <c:pt idx="690">
                  <c:v>407.84474999999992</c:v>
                </c:pt>
                <c:pt idx="691">
                  <c:v>408.30079999999987</c:v>
                </c:pt>
                <c:pt idx="692">
                  <c:v>408.7007499999998</c:v>
                </c:pt>
                <c:pt idx="693">
                  <c:v>409.09864999999991</c:v>
                </c:pt>
                <c:pt idx="694">
                  <c:v>409.49989999999991</c:v>
                </c:pt>
                <c:pt idx="695">
                  <c:v>409.9015999999998</c:v>
                </c:pt>
                <c:pt idx="696">
                  <c:v>410.25969999999984</c:v>
                </c:pt>
                <c:pt idx="697">
                  <c:v>410.59359999999987</c:v>
                </c:pt>
                <c:pt idx="698">
                  <c:v>410.9095499999998</c:v>
                </c:pt>
                <c:pt idx="699">
                  <c:v>411.21389999999985</c:v>
                </c:pt>
                <c:pt idx="700">
                  <c:v>411.51219999999989</c:v>
                </c:pt>
                <c:pt idx="701">
                  <c:v>411.74854999999974</c:v>
                </c:pt>
                <c:pt idx="702">
                  <c:v>411.99999999999983</c:v>
                </c:pt>
                <c:pt idx="703">
                  <c:v>412.27409999999981</c:v>
                </c:pt>
                <c:pt idx="704">
                  <c:v>412.59049999999974</c:v>
                </c:pt>
                <c:pt idx="705">
                  <c:v>412.95059999999978</c:v>
                </c:pt>
                <c:pt idx="706">
                  <c:v>413.2532999999998</c:v>
                </c:pt>
                <c:pt idx="707">
                  <c:v>413.55339999999984</c:v>
                </c:pt>
                <c:pt idx="708">
                  <c:v>413.85719999999981</c:v>
                </c:pt>
                <c:pt idx="709">
                  <c:v>414.23234999999971</c:v>
                </c:pt>
                <c:pt idx="710">
                  <c:v>414.51394999999968</c:v>
                </c:pt>
                <c:pt idx="711">
                  <c:v>414.77314999999976</c:v>
                </c:pt>
                <c:pt idx="712">
                  <c:v>415.0534999999997</c:v>
                </c:pt>
                <c:pt idx="713">
                  <c:v>415.30724999999978</c:v>
                </c:pt>
                <c:pt idx="714">
                  <c:v>415.56109999999973</c:v>
                </c:pt>
                <c:pt idx="715">
                  <c:v>415.81414999999981</c:v>
                </c:pt>
                <c:pt idx="716">
                  <c:v>416.06159999999977</c:v>
                </c:pt>
                <c:pt idx="717">
                  <c:v>416.33089999999976</c:v>
                </c:pt>
                <c:pt idx="718">
                  <c:v>416.56134999999972</c:v>
                </c:pt>
                <c:pt idx="719">
                  <c:v>416.78179999999981</c:v>
                </c:pt>
                <c:pt idx="720">
                  <c:v>417.02194999999978</c:v>
                </c:pt>
                <c:pt idx="721">
                  <c:v>417.25924999999972</c:v>
                </c:pt>
                <c:pt idx="722">
                  <c:v>417.50124999999986</c:v>
                </c:pt>
                <c:pt idx="723">
                  <c:v>417.67639999999994</c:v>
                </c:pt>
                <c:pt idx="724">
                  <c:v>417.83269999999987</c:v>
                </c:pt>
                <c:pt idx="725">
                  <c:v>417.95509999999996</c:v>
                </c:pt>
                <c:pt idx="726">
                  <c:v>418.10924999999997</c:v>
                </c:pt>
                <c:pt idx="727">
                  <c:v>418.30124999999992</c:v>
                </c:pt>
                <c:pt idx="728">
                  <c:v>418.46484999999996</c:v>
                </c:pt>
                <c:pt idx="729">
                  <c:v>418.61389999999994</c:v>
                </c:pt>
                <c:pt idx="730">
                  <c:v>418.79009999999994</c:v>
                </c:pt>
                <c:pt idx="731">
                  <c:v>418.93274999999994</c:v>
                </c:pt>
                <c:pt idx="732">
                  <c:v>419.05944999999991</c:v>
                </c:pt>
                <c:pt idx="733">
                  <c:v>419.17039999999986</c:v>
                </c:pt>
                <c:pt idx="734">
                  <c:v>419.34554999999983</c:v>
                </c:pt>
                <c:pt idx="735">
                  <c:v>419.55169999999993</c:v>
                </c:pt>
                <c:pt idx="736">
                  <c:v>419.79929999999985</c:v>
                </c:pt>
                <c:pt idx="737">
                  <c:v>420.05804999999987</c:v>
                </c:pt>
                <c:pt idx="738">
                  <c:v>420.29959999999977</c:v>
                </c:pt>
                <c:pt idx="739">
                  <c:v>420.57759999999985</c:v>
                </c:pt>
                <c:pt idx="740">
                  <c:v>420.83134999999987</c:v>
                </c:pt>
                <c:pt idx="741">
                  <c:v>421.08184999999992</c:v>
                </c:pt>
                <c:pt idx="742">
                  <c:v>421.37874999999991</c:v>
                </c:pt>
                <c:pt idx="743">
                  <c:v>421.64164999999986</c:v>
                </c:pt>
                <c:pt idx="744">
                  <c:v>421.88054999999991</c:v>
                </c:pt>
                <c:pt idx="745">
                  <c:v>422.10859999999991</c:v>
                </c:pt>
                <c:pt idx="746">
                  <c:v>422.29575</c:v>
                </c:pt>
                <c:pt idx="747">
                  <c:v>422.50115</c:v>
                </c:pt>
                <c:pt idx="748">
                  <c:v>422.67890000000006</c:v>
                </c:pt>
                <c:pt idx="749">
                  <c:v>422.82735000000008</c:v>
                </c:pt>
                <c:pt idx="750">
                  <c:v>422.93720000000008</c:v>
                </c:pt>
                <c:pt idx="751">
                  <c:v>423.01300000000009</c:v>
                </c:pt>
                <c:pt idx="752">
                  <c:v>423.10615000000007</c:v>
                </c:pt>
                <c:pt idx="753">
                  <c:v>423.20465000000013</c:v>
                </c:pt>
                <c:pt idx="754">
                  <c:v>423.3291000000001</c:v>
                </c:pt>
                <c:pt idx="755">
                  <c:v>423.52545000000015</c:v>
                </c:pt>
                <c:pt idx="756">
                  <c:v>423.75570000000005</c:v>
                </c:pt>
                <c:pt idx="757">
                  <c:v>423.95475000000005</c:v>
                </c:pt>
                <c:pt idx="758">
                  <c:v>424.13625000000002</c:v>
                </c:pt>
                <c:pt idx="759">
                  <c:v>424.32149999999996</c:v>
                </c:pt>
                <c:pt idx="760">
                  <c:v>424.48894999999987</c:v>
                </c:pt>
                <c:pt idx="761">
                  <c:v>424.66824999999989</c:v>
                </c:pt>
                <c:pt idx="762">
                  <c:v>424.84079999999994</c:v>
                </c:pt>
                <c:pt idx="763">
                  <c:v>425.08149999999989</c:v>
                </c:pt>
                <c:pt idx="764">
                  <c:v>425.29749999999984</c:v>
                </c:pt>
                <c:pt idx="765">
                  <c:v>425.49464999999987</c:v>
                </c:pt>
                <c:pt idx="766">
                  <c:v>425.66469999999987</c:v>
                </c:pt>
                <c:pt idx="767">
                  <c:v>425.8742499999999</c:v>
                </c:pt>
                <c:pt idx="768">
                  <c:v>426.0914499999999</c:v>
                </c:pt>
                <c:pt idx="769">
                  <c:v>426.29059999999993</c:v>
                </c:pt>
                <c:pt idx="770">
                  <c:v>426.51384999999993</c:v>
                </c:pt>
                <c:pt idx="771">
                  <c:v>426.75079999999986</c:v>
                </c:pt>
                <c:pt idx="772">
                  <c:v>426.98524999999978</c:v>
                </c:pt>
                <c:pt idx="773">
                  <c:v>427.19414999999981</c:v>
                </c:pt>
                <c:pt idx="774">
                  <c:v>427.41294999999974</c:v>
                </c:pt>
                <c:pt idx="775">
                  <c:v>427.63854999999973</c:v>
                </c:pt>
                <c:pt idx="776">
                  <c:v>427.88059999999973</c:v>
                </c:pt>
                <c:pt idx="777">
                  <c:v>428.12729999999982</c:v>
                </c:pt>
                <c:pt idx="778">
                  <c:v>428.40564999999981</c:v>
                </c:pt>
                <c:pt idx="779">
                  <c:v>428.70409999999976</c:v>
                </c:pt>
                <c:pt idx="780">
                  <c:v>429.00179999999972</c:v>
                </c:pt>
                <c:pt idx="781">
                  <c:v>429.32984999999979</c:v>
                </c:pt>
                <c:pt idx="782">
                  <c:v>429.66169999999977</c:v>
                </c:pt>
                <c:pt idx="783">
                  <c:v>430.03289999999981</c:v>
                </c:pt>
                <c:pt idx="784">
                  <c:v>430.41924999999981</c:v>
                </c:pt>
                <c:pt idx="785">
                  <c:v>430.77684999999985</c:v>
                </c:pt>
                <c:pt idx="786">
                  <c:v>431.11574999999976</c:v>
                </c:pt>
                <c:pt idx="787">
                  <c:v>431.46759999999978</c:v>
                </c:pt>
                <c:pt idx="788">
                  <c:v>431.81754999999976</c:v>
                </c:pt>
                <c:pt idx="789">
                  <c:v>432.18644999999975</c:v>
                </c:pt>
                <c:pt idx="790">
                  <c:v>432.59689999999966</c:v>
                </c:pt>
                <c:pt idx="791">
                  <c:v>433.04559999999964</c:v>
                </c:pt>
                <c:pt idx="792">
                  <c:v>433.50134999999966</c:v>
                </c:pt>
                <c:pt idx="793">
                  <c:v>433.92614999999961</c:v>
                </c:pt>
                <c:pt idx="794">
                  <c:v>434.35629999999964</c:v>
                </c:pt>
                <c:pt idx="795">
                  <c:v>434.73899999999952</c:v>
                </c:pt>
                <c:pt idx="796">
                  <c:v>435.13299999999947</c:v>
                </c:pt>
                <c:pt idx="797">
                  <c:v>435.50069999999948</c:v>
                </c:pt>
                <c:pt idx="798">
                  <c:v>435.84574999999955</c:v>
                </c:pt>
                <c:pt idx="799">
                  <c:v>436.25819999999965</c:v>
                </c:pt>
                <c:pt idx="800">
                  <c:v>436.66174999999959</c:v>
                </c:pt>
                <c:pt idx="801">
                  <c:v>437.06579999999957</c:v>
                </c:pt>
                <c:pt idx="802">
                  <c:v>437.46509999999967</c:v>
                </c:pt>
                <c:pt idx="803">
                  <c:v>437.87049999999959</c:v>
                </c:pt>
                <c:pt idx="804">
                  <c:v>438.23839999999961</c:v>
                </c:pt>
                <c:pt idx="805">
                  <c:v>438.58134999999953</c:v>
                </c:pt>
                <c:pt idx="806">
                  <c:v>438.91684999999961</c:v>
                </c:pt>
                <c:pt idx="807">
                  <c:v>439.2742499999996</c:v>
                </c:pt>
                <c:pt idx="808">
                  <c:v>439.64814999999959</c:v>
                </c:pt>
                <c:pt idx="809">
                  <c:v>440.03444999999954</c:v>
                </c:pt>
                <c:pt idx="810">
                  <c:v>440.41544999999962</c:v>
                </c:pt>
                <c:pt idx="811">
                  <c:v>440.80754999999959</c:v>
                </c:pt>
                <c:pt idx="812">
                  <c:v>441.19599999999969</c:v>
                </c:pt>
                <c:pt idx="813">
                  <c:v>441.61209999999971</c:v>
                </c:pt>
                <c:pt idx="814">
                  <c:v>441.99919999999975</c:v>
                </c:pt>
                <c:pt idx="815">
                  <c:v>442.35129999999981</c:v>
                </c:pt>
                <c:pt idx="816">
                  <c:v>442.72759999999988</c:v>
                </c:pt>
                <c:pt idx="817">
                  <c:v>443.1282999999998</c:v>
                </c:pt>
                <c:pt idx="818">
                  <c:v>443.52034999999984</c:v>
                </c:pt>
                <c:pt idx="819">
                  <c:v>443.93084999999985</c:v>
                </c:pt>
                <c:pt idx="820">
                  <c:v>444.36034999999981</c:v>
                </c:pt>
                <c:pt idx="821">
                  <c:v>444.78879999999992</c:v>
                </c:pt>
                <c:pt idx="822">
                  <c:v>445.26439999999985</c:v>
                </c:pt>
                <c:pt idx="823">
                  <c:v>445.74749999999995</c:v>
                </c:pt>
                <c:pt idx="824">
                  <c:v>446.15584999999993</c:v>
                </c:pt>
                <c:pt idx="825">
                  <c:v>446.56904999999989</c:v>
                </c:pt>
                <c:pt idx="826">
                  <c:v>447.0015499999999</c:v>
                </c:pt>
                <c:pt idx="827">
                  <c:v>447.4448999999999</c:v>
                </c:pt>
                <c:pt idx="828">
                  <c:v>447.88859999999988</c:v>
                </c:pt>
                <c:pt idx="829">
                  <c:v>448.34899999999993</c:v>
                </c:pt>
                <c:pt idx="830">
                  <c:v>448.82335</c:v>
                </c:pt>
                <c:pt idx="831">
                  <c:v>449.2989</c:v>
                </c:pt>
                <c:pt idx="832">
                  <c:v>449.77420000000001</c:v>
                </c:pt>
                <c:pt idx="833">
                  <c:v>450.24459999999993</c:v>
                </c:pt>
                <c:pt idx="834">
                  <c:v>450.71524999999986</c:v>
                </c:pt>
                <c:pt idx="835">
                  <c:v>451.19769999999988</c:v>
                </c:pt>
                <c:pt idx="836">
                  <c:v>451.69689999999997</c:v>
                </c:pt>
                <c:pt idx="837">
                  <c:v>452.2071499999999</c:v>
                </c:pt>
                <c:pt idx="838">
                  <c:v>452.66689999999988</c:v>
                </c:pt>
                <c:pt idx="839">
                  <c:v>453.1194999999999</c:v>
                </c:pt>
                <c:pt idx="840">
                  <c:v>453.60044999999997</c:v>
                </c:pt>
                <c:pt idx="841">
                  <c:v>454.06509999999997</c:v>
                </c:pt>
                <c:pt idx="842">
                  <c:v>454.55105000000003</c:v>
                </c:pt>
                <c:pt idx="843">
                  <c:v>455.07950000000005</c:v>
                </c:pt>
                <c:pt idx="844">
                  <c:v>455.5861000000001</c:v>
                </c:pt>
                <c:pt idx="845">
                  <c:v>456.06075000000004</c:v>
                </c:pt>
                <c:pt idx="846">
                  <c:v>456.50900000000007</c:v>
                </c:pt>
                <c:pt idx="847">
                  <c:v>456.98405000000014</c:v>
                </c:pt>
                <c:pt idx="848">
                  <c:v>457.45350000000019</c:v>
                </c:pt>
                <c:pt idx="849">
                  <c:v>457.91630000000021</c:v>
                </c:pt>
                <c:pt idx="850">
                  <c:v>458.39180000000016</c:v>
                </c:pt>
                <c:pt idx="851">
                  <c:v>458.85770000000019</c:v>
                </c:pt>
                <c:pt idx="852">
                  <c:v>459.32380000000018</c:v>
                </c:pt>
                <c:pt idx="853">
                  <c:v>459.77220000000017</c:v>
                </c:pt>
                <c:pt idx="854">
                  <c:v>460.23855000000009</c:v>
                </c:pt>
                <c:pt idx="855">
                  <c:v>460.68490000000014</c:v>
                </c:pt>
                <c:pt idx="856">
                  <c:v>461.11240000000015</c:v>
                </c:pt>
                <c:pt idx="857">
                  <c:v>461.52070000000015</c:v>
                </c:pt>
                <c:pt idx="858">
                  <c:v>461.90475000000021</c:v>
                </c:pt>
                <c:pt idx="859">
                  <c:v>462.2728000000003</c:v>
                </c:pt>
                <c:pt idx="860">
                  <c:v>462.67905000000019</c:v>
                </c:pt>
                <c:pt idx="861">
                  <c:v>463.0979500000002</c:v>
                </c:pt>
                <c:pt idx="862">
                  <c:v>463.51200000000028</c:v>
                </c:pt>
                <c:pt idx="863">
                  <c:v>463.91655000000026</c:v>
                </c:pt>
                <c:pt idx="864">
                  <c:v>464.34935000000024</c:v>
                </c:pt>
                <c:pt idx="865">
                  <c:v>464.72275000000025</c:v>
                </c:pt>
                <c:pt idx="866">
                  <c:v>465.0630500000002</c:v>
                </c:pt>
                <c:pt idx="867">
                  <c:v>465.39015000000023</c:v>
                </c:pt>
                <c:pt idx="868">
                  <c:v>465.67650000000026</c:v>
                </c:pt>
                <c:pt idx="869">
                  <c:v>465.95515000000023</c:v>
                </c:pt>
                <c:pt idx="870">
                  <c:v>466.21530000000018</c:v>
                </c:pt>
                <c:pt idx="871">
                  <c:v>466.51560000000018</c:v>
                </c:pt>
                <c:pt idx="872">
                  <c:v>466.85110000000014</c:v>
                </c:pt>
                <c:pt idx="873">
                  <c:v>467.17985000000022</c:v>
                </c:pt>
                <c:pt idx="874">
                  <c:v>467.48500000000024</c:v>
                </c:pt>
                <c:pt idx="875">
                  <c:v>467.79620000000017</c:v>
                </c:pt>
                <c:pt idx="876">
                  <c:v>468.09870000000012</c:v>
                </c:pt>
                <c:pt idx="877">
                  <c:v>468.36220000000014</c:v>
                </c:pt>
                <c:pt idx="878">
                  <c:v>468.60975000000019</c:v>
                </c:pt>
                <c:pt idx="879">
                  <c:v>468.86395000000016</c:v>
                </c:pt>
                <c:pt idx="880">
                  <c:v>469.14440000000008</c:v>
                </c:pt>
                <c:pt idx="881">
                  <c:v>469.46635000000009</c:v>
                </c:pt>
                <c:pt idx="882">
                  <c:v>469.79115000000013</c:v>
                </c:pt>
                <c:pt idx="883">
                  <c:v>470.10610000000014</c:v>
                </c:pt>
                <c:pt idx="884">
                  <c:v>470.42975000000018</c:v>
                </c:pt>
                <c:pt idx="885">
                  <c:v>470.75640000000016</c:v>
                </c:pt>
                <c:pt idx="886">
                  <c:v>471.09850000000012</c:v>
                </c:pt>
                <c:pt idx="887">
                  <c:v>471.43040000000013</c:v>
                </c:pt>
                <c:pt idx="888">
                  <c:v>471.7903500000001</c:v>
                </c:pt>
                <c:pt idx="889">
                  <c:v>472.15140000000014</c:v>
                </c:pt>
                <c:pt idx="890">
                  <c:v>472.54800000000012</c:v>
                </c:pt>
                <c:pt idx="891">
                  <c:v>472.9541000000001</c:v>
                </c:pt>
                <c:pt idx="892">
                  <c:v>473.3768500000001</c:v>
                </c:pt>
                <c:pt idx="893">
                  <c:v>473.77245000000011</c:v>
                </c:pt>
                <c:pt idx="894">
                  <c:v>474.15850000000012</c:v>
                </c:pt>
                <c:pt idx="895">
                  <c:v>474.57695000000012</c:v>
                </c:pt>
                <c:pt idx="896">
                  <c:v>474.9964500000001</c:v>
                </c:pt>
                <c:pt idx="897">
                  <c:v>475.39870000000019</c:v>
                </c:pt>
                <c:pt idx="898">
                  <c:v>475.77120000000008</c:v>
                </c:pt>
                <c:pt idx="899">
                  <c:v>476.19360000000017</c:v>
                </c:pt>
                <c:pt idx="900">
                  <c:v>476.63440000000014</c:v>
                </c:pt>
                <c:pt idx="901">
                  <c:v>477.09490000000011</c:v>
                </c:pt>
                <c:pt idx="902">
                  <c:v>477.58575000000013</c:v>
                </c:pt>
                <c:pt idx="903">
                  <c:v>478.06235000000015</c:v>
                </c:pt>
                <c:pt idx="904">
                  <c:v>478.54165000000006</c:v>
                </c:pt>
                <c:pt idx="905">
                  <c:v>479.0048000000001</c:v>
                </c:pt>
                <c:pt idx="906">
                  <c:v>479.50510000000008</c:v>
                </c:pt>
                <c:pt idx="907">
                  <c:v>480.0120500000001</c:v>
                </c:pt>
                <c:pt idx="908">
                  <c:v>480.51050000000015</c:v>
                </c:pt>
                <c:pt idx="909">
                  <c:v>480.97860000000009</c:v>
                </c:pt>
                <c:pt idx="910">
                  <c:v>481.45905000000016</c:v>
                </c:pt>
                <c:pt idx="911">
                  <c:v>481.94975000000011</c:v>
                </c:pt>
                <c:pt idx="912">
                  <c:v>482.42880000000014</c:v>
                </c:pt>
                <c:pt idx="913">
                  <c:v>482.90515000000005</c:v>
                </c:pt>
                <c:pt idx="914">
                  <c:v>483.3877500000001</c:v>
                </c:pt>
                <c:pt idx="915">
                  <c:v>483.88765000000006</c:v>
                </c:pt>
                <c:pt idx="916">
                  <c:v>484.38760000000002</c:v>
                </c:pt>
                <c:pt idx="917">
                  <c:v>484.87720000000002</c:v>
                </c:pt>
                <c:pt idx="918">
                  <c:v>485.36834999999996</c:v>
                </c:pt>
                <c:pt idx="919">
                  <c:v>485.86250000000001</c:v>
                </c:pt>
                <c:pt idx="920">
                  <c:v>486.35574999999994</c:v>
                </c:pt>
                <c:pt idx="921">
                  <c:v>486.89619999999996</c:v>
                </c:pt>
                <c:pt idx="922">
                  <c:v>487.45125000000002</c:v>
                </c:pt>
                <c:pt idx="923">
                  <c:v>488.01409999999998</c:v>
                </c:pt>
                <c:pt idx="924">
                  <c:v>488.60000000000008</c:v>
                </c:pt>
                <c:pt idx="925">
                  <c:v>489.24965000000009</c:v>
                </c:pt>
                <c:pt idx="926">
                  <c:v>489.87995000000001</c:v>
                </c:pt>
                <c:pt idx="927">
                  <c:v>490.51875000000007</c:v>
                </c:pt>
                <c:pt idx="928">
                  <c:v>491.19700000000012</c:v>
                </c:pt>
                <c:pt idx="929">
                  <c:v>491.89105000000001</c:v>
                </c:pt>
                <c:pt idx="930">
                  <c:v>492.53315000000009</c:v>
                </c:pt>
                <c:pt idx="931">
                  <c:v>493.15905000000015</c:v>
                </c:pt>
                <c:pt idx="932">
                  <c:v>493.76745000000011</c:v>
                </c:pt>
                <c:pt idx="933">
                  <c:v>494.43275000000011</c:v>
                </c:pt>
                <c:pt idx="934">
                  <c:v>495.07835000000011</c:v>
                </c:pt>
                <c:pt idx="935">
                  <c:v>495.66200000000009</c:v>
                </c:pt>
                <c:pt idx="936">
                  <c:v>496.2063500000001</c:v>
                </c:pt>
                <c:pt idx="937">
                  <c:v>496.76710000000014</c:v>
                </c:pt>
                <c:pt idx="938">
                  <c:v>497.31820000000016</c:v>
                </c:pt>
                <c:pt idx="939">
                  <c:v>497.84660000000019</c:v>
                </c:pt>
                <c:pt idx="940">
                  <c:v>498.43235000000016</c:v>
                </c:pt>
                <c:pt idx="941">
                  <c:v>498.98990000000015</c:v>
                </c:pt>
                <c:pt idx="942">
                  <c:v>499.47420000000011</c:v>
                </c:pt>
                <c:pt idx="943">
                  <c:v>499.88100000000014</c:v>
                </c:pt>
                <c:pt idx="944">
                  <c:v>500.34070000000014</c:v>
                </c:pt>
                <c:pt idx="945">
                  <c:v>500.80185000000017</c:v>
                </c:pt>
                <c:pt idx="946">
                  <c:v>501.34915000000007</c:v>
                </c:pt>
                <c:pt idx="947">
                  <c:v>501.91180000000008</c:v>
                </c:pt>
                <c:pt idx="948">
                  <c:v>502.46000000000015</c:v>
                </c:pt>
                <c:pt idx="949">
                  <c:v>503.08245000000011</c:v>
                </c:pt>
                <c:pt idx="950">
                  <c:v>503.73845000000006</c:v>
                </c:pt>
                <c:pt idx="951">
                  <c:v>504.45040000000006</c:v>
                </c:pt>
                <c:pt idx="952">
                  <c:v>505.14400000000006</c:v>
                </c:pt>
                <c:pt idx="953">
                  <c:v>505.8510500000001</c:v>
                </c:pt>
                <c:pt idx="954">
                  <c:v>506.53125000000006</c:v>
                </c:pt>
                <c:pt idx="955">
                  <c:v>507.1805500000001</c:v>
                </c:pt>
                <c:pt idx="956">
                  <c:v>507.78820000000007</c:v>
                </c:pt>
                <c:pt idx="957">
                  <c:v>508.42040000000009</c:v>
                </c:pt>
                <c:pt idx="958">
                  <c:v>509.03970000000004</c:v>
                </c:pt>
                <c:pt idx="959">
                  <c:v>509.66125</c:v>
                </c:pt>
                <c:pt idx="960">
                  <c:v>510.28354999999993</c:v>
                </c:pt>
                <c:pt idx="961">
                  <c:v>510.87225000000001</c:v>
                </c:pt>
                <c:pt idx="962">
                  <c:v>511.48969999999991</c:v>
                </c:pt>
                <c:pt idx="963">
                  <c:v>512.00645000000009</c:v>
                </c:pt>
                <c:pt idx="964">
                  <c:v>512.51279999999997</c:v>
                </c:pt>
                <c:pt idx="965">
                  <c:v>513.00969999999995</c:v>
                </c:pt>
                <c:pt idx="966">
                  <c:v>513.45754999999986</c:v>
                </c:pt>
                <c:pt idx="967">
                  <c:v>513.91829999999993</c:v>
                </c:pt>
                <c:pt idx="968">
                  <c:v>514.39589999999987</c:v>
                </c:pt>
                <c:pt idx="969">
                  <c:v>514.89289999999994</c:v>
                </c:pt>
                <c:pt idx="970">
                  <c:v>515.41184999999996</c:v>
                </c:pt>
                <c:pt idx="971">
                  <c:v>515.94949999999983</c:v>
                </c:pt>
                <c:pt idx="972">
                  <c:v>516.48904999999979</c:v>
                </c:pt>
                <c:pt idx="973">
                  <c:v>517.03134999999997</c:v>
                </c:pt>
                <c:pt idx="974">
                  <c:v>517.55634999999984</c:v>
                </c:pt>
                <c:pt idx="975">
                  <c:v>518.11574999999993</c:v>
                </c:pt>
                <c:pt idx="976">
                  <c:v>518.67354999999986</c:v>
                </c:pt>
                <c:pt idx="977">
                  <c:v>519.23889999999994</c:v>
                </c:pt>
                <c:pt idx="978">
                  <c:v>519.82159999999988</c:v>
                </c:pt>
                <c:pt idx="979">
                  <c:v>520.38064999999983</c:v>
                </c:pt>
                <c:pt idx="980">
                  <c:v>520.94114999999988</c:v>
                </c:pt>
                <c:pt idx="981">
                  <c:v>521.4885499999998</c:v>
                </c:pt>
                <c:pt idx="982">
                  <c:v>522.03684999999984</c:v>
                </c:pt>
                <c:pt idx="983">
                  <c:v>522.52744999999982</c:v>
                </c:pt>
                <c:pt idx="984">
                  <c:v>523.01169999999979</c:v>
                </c:pt>
                <c:pt idx="985">
                  <c:v>523.50414999999975</c:v>
                </c:pt>
                <c:pt idx="986">
                  <c:v>524.00919999999985</c:v>
                </c:pt>
                <c:pt idx="987">
                  <c:v>524.47399999999982</c:v>
                </c:pt>
                <c:pt idx="988">
                  <c:v>524.99854999999991</c:v>
                </c:pt>
                <c:pt idx="989">
                  <c:v>525.52074999999991</c:v>
                </c:pt>
                <c:pt idx="990">
                  <c:v>526.03314999999998</c:v>
                </c:pt>
                <c:pt idx="991">
                  <c:v>526.55279999999993</c:v>
                </c:pt>
                <c:pt idx="992">
                  <c:v>527.09185000000002</c:v>
                </c:pt>
                <c:pt idx="993">
                  <c:v>527.60730000000001</c:v>
                </c:pt>
                <c:pt idx="994">
                  <c:v>528.14224999999999</c:v>
                </c:pt>
                <c:pt idx="995">
                  <c:v>528.69075000000009</c:v>
                </c:pt>
                <c:pt idx="996">
                  <c:v>529.26974999999993</c:v>
                </c:pt>
                <c:pt idx="997">
                  <c:v>529.85149999999999</c:v>
                </c:pt>
                <c:pt idx="998">
                  <c:v>530.42849999999999</c:v>
                </c:pt>
                <c:pt idx="999">
                  <c:v>530.94545000000005</c:v>
                </c:pt>
                <c:pt idx="1000">
                  <c:v>531.47225000000003</c:v>
                </c:pt>
                <c:pt idx="1001">
                  <c:v>531.98464999999999</c:v>
                </c:pt>
                <c:pt idx="1002">
                  <c:v>532.50705000000005</c:v>
                </c:pt>
                <c:pt idx="1003">
                  <c:v>533.03250000000003</c:v>
                </c:pt>
                <c:pt idx="1004">
                  <c:v>533.55790000000002</c:v>
                </c:pt>
                <c:pt idx="1005">
                  <c:v>534.03964999999994</c:v>
                </c:pt>
                <c:pt idx="1006">
                  <c:v>534.51239999999996</c:v>
                </c:pt>
                <c:pt idx="1007">
                  <c:v>534.94929999999988</c:v>
                </c:pt>
                <c:pt idx="1008">
                  <c:v>535.41554999999994</c:v>
                </c:pt>
                <c:pt idx="1009">
                  <c:v>535.94644999999991</c:v>
                </c:pt>
                <c:pt idx="1010">
                  <c:v>536.49754999999993</c:v>
                </c:pt>
                <c:pt idx="1011">
                  <c:v>537.04834999999991</c:v>
                </c:pt>
                <c:pt idx="1012">
                  <c:v>537.60509999999999</c:v>
                </c:pt>
                <c:pt idx="1013">
                  <c:v>538.13324999999998</c:v>
                </c:pt>
                <c:pt idx="1014">
                  <c:v>538.66474999999991</c:v>
                </c:pt>
                <c:pt idx="1015">
                  <c:v>539.21709999999996</c:v>
                </c:pt>
                <c:pt idx="1016">
                  <c:v>539.69984999999997</c:v>
                </c:pt>
                <c:pt idx="1017">
                  <c:v>540.16885000000002</c:v>
                </c:pt>
                <c:pt idx="1018">
                  <c:v>540.6576</c:v>
                </c:pt>
                <c:pt idx="1019">
                  <c:v>541.14019999999994</c:v>
                </c:pt>
                <c:pt idx="1020">
                  <c:v>541.61805000000004</c:v>
                </c:pt>
                <c:pt idx="1021">
                  <c:v>542.10400000000004</c:v>
                </c:pt>
                <c:pt idx="1022">
                  <c:v>542.58564999999999</c:v>
                </c:pt>
                <c:pt idx="1023">
                  <c:v>543.08399999999983</c:v>
                </c:pt>
                <c:pt idx="1024">
                  <c:v>543.6077499999999</c:v>
                </c:pt>
                <c:pt idx="1025">
                  <c:v>544.1276499999999</c:v>
                </c:pt>
                <c:pt idx="1026">
                  <c:v>544.63574999999992</c:v>
                </c:pt>
                <c:pt idx="1027">
                  <c:v>545.15774999999996</c:v>
                </c:pt>
                <c:pt idx="1028">
                  <c:v>545.71224999999993</c:v>
                </c:pt>
                <c:pt idx="1029">
                  <c:v>546.2595</c:v>
                </c:pt>
                <c:pt idx="1030">
                  <c:v>546.76104999999995</c:v>
                </c:pt>
                <c:pt idx="1031">
                  <c:v>547.24519999999995</c:v>
                </c:pt>
                <c:pt idx="1032">
                  <c:v>547.72924999999998</c:v>
                </c:pt>
                <c:pt idx="1033">
                  <c:v>548.2319</c:v>
                </c:pt>
                <c:pt idx="1034">
                  <c:v>548.72225000000003</c:v>
                </c:pt>
                <c:pt idx="1035">
                  <c:v>549.20290000000011</c:v>
                </c:pt>
                <c:pt idx="1036">
                  <c:v>549.67259999999999</c:v>
                </c:pt>
                <c:pt idx="1037">
                  <c:v>550.13254999999992</c:v>
                </c:pt>
                <c:pt idx="1038">
                  <c:v>550.52804999999989</c:v>
                </c:pt>
                <c:pt idx="1039">
                  <c:v>550.9097999999999</c:v>
                </c:pt>
                <c:pt idx="1040">
                  <c:v>551.29149999999993</c:v>
                </c:pt>
                <c:pt idx="1041">
                  <c:v>551.70634999999993</c:v>
                </c:pt>
                <c:pt idx="1042">
                  <c:v>552.15644999999995</c:v>
                </c:pt>
                <c:pt idx="1043">
                  <c:v>552.57924999999989</c:v>
                </c:pt>
                <c:pt idx="1044">
                  <c:v>552.97444999999982</c:v>
                </c:pt>
                <c:pt idx="1045">
                  <c:v>553.34079999999994</c:v>
                </c:pt>
                <c:pt idx="1046">
                  <c:v>553.72204999999997</c:v>
                </c:pt>
                <c:pt idx="1047">
                  <c:v>554.08095000000003</c:v>
                </c:pt>
                <c:pt idx="1048">
                  <c:v>554.46214999999995</c:v>
                </c:pt>
                <c:pt idx="1049">
                  <c:v>554.8365500000001</c:v>
                </c:pt>
                <c:pt idx="1050">
                  <c:v>555.16870000000006</c:v>
                </c:pt>
                <c:pt idx="1051">
                  <c:v>555.51009999999997</c:v>
                </c:pt>
                <c:pt idx="1052">
                  <c:v>555.81370000000015</c:v>
                </c:pt>
                <c:pt idx="1053">
                  <c:v>556.12660000000017</c:v>
                </c:pt>
                <c:pt idx="1054">
                  <c:v>556.4217000000001</c:v>
                </c:pt>
                <c:pt idx="1055">
                  <c:v>556.77025000000003</c:v>
                </c:pt>
                <c:pt idx="1056">
                  <c:v>557.11765000000014</c:v>
                </c:pt>
                <c:pt idx="1057">
                  <c:v>557.51135000000022</c:v>
                </c:pt>
                <c:pt idx="1058">
                  <c:v>557.92955000000018</c:v>
                </c:pt>
                <c:pt idx="1059">
                  <c:v>558.3964000000002</c:v>
                </c:pt>
                <c:pt idx="1060">
                  <c:v>558.85300000000029</c:v>
                </c:pt>
                <c:pt idx="1061">
                  <c:v>559.29925000000026</c:v>
                </c:pt>
                <c:pt idx="1062">
                  <c:v>559.69950000000028</c:v>
                </c:pt>
                <c:pt idx="1063">
                  <c:v>560.15150000000028</c:v>
                </c:pt>
                <c:pt idx="1064">
                  <c:v>560.57055000000025</c:v>
                </c:pt>
                <c:pt idx="1065">
                  <c:v>561.04150000000016</c:v>
                </c:pt>
                <c:pt idx="1066">
                  <c:v>561.52835000000027</c:v>
                </c:pt>
                <c:pt idx="1067">
                  <c:v>561.99955000000034</c:v>
                </c:pt>
                <c:pt idx="1068">
                  <c:v>562.50570000000027</c:v>
                </c:pt>
                <c:pt idx="1069">
                  <c:v>563.02920000000029</c:v>
                </c:pt>
                <c:pt idx="1070">
                  <c:v>563.58500000000026</c:v>
                </c:pt>
                <c:pt idx="1071">
                  <c:v>564.09025000000031</c:v>
                </c:pt>
                <c:pt idx="1072">
                  <c:v>564.5862500000004</c:v>
                </c:pt>
                <c:pt idx="1073">
                  <c:v>565.0857500000003</c:v>
                </c:pt>
                <c:pt idx="1074">
                  <c:v>565.58510000000024</c:v>
                </c:pt>
                <c:pt idx="1075">
                  <c:v>566.09245000000021</c:v>
                </c:pt>
                <c:pt idx="1076">
                  <c:v>566.59065000000021</c:v>
                </c:pt>
                <c:pt idx="1077">
                  <c:v>567.1382000000001</c:v>
                </c:pt>
                <c:pt idx="1078">
                  <c:v>567.70110000000011</c:v>
                </c:pt>
                <c:pt idx="1079">
                  <c:v>568.2278500000001</c:v>
                </c:pt>
                <c:pt idx="1080">
                  <c:v>568.67110000000002</c:v>
                </c:pt>
                <c:pt idx="1081">
                  <c:v>569.07430000000011</c:v>
                </c:pt>
                <c:pt idx="1082">
                  <c:v>569.45980000000009</c:v>
                </c:pt>
                <c:pt idx="1083">
                  <c:v>569.84655000000009</c:v>
                </c:pt>
                <c:pt idx="1084">
                  <c:v>570.17095000000006</c:v>
                </c:pt>
                <c:pt idx="1085">
                  <c:v>570.5376500000001</c:v>
                </c:pt>
                <c:pt idx="1086">
                  <c:v>570.8519500000001</c:v>
                </c:pt>
                <c:pt idx="1087">
                  <c:v>571.11975000000018</c:v>
                </c:pt>
                <c:pt idx="1088">
                  <c:v>571.38615000000016</c:v>
                </c:pt>
                <c:pt idx="1089">
                  <c:v>571.60625000000027</c:v>
                </c:pt>
                <c:pt idx="1090">
                  <c:v>571.83860000000027</c:v>
                </c:pt>
                <c:pt idx="1091">
                  <c:v>571.99120000000028</c:v>
                </c:pt>
                <c:pt idx="1092">
                  <c:v>572.11400000000026</c:v>
                </c:pt>
                <c:pt idx="1093">
                  <c:v>572.25920000000019</c:v>
                </c:pt>
                <c:pt idx="1094">
                  <c:v>572.38650000000018</c:v>
                </c:pt>
                <c:pt idx="1095">
                  <c:v>572.55335000000025</c:v>
                </c:pt>
                <c:pt idx="1096">
                  <c:v>572.74005000000022</c:v>
                </c:pt>
                <c:pt idx="1097">
                  <c:v>572.91465000000028</c:v>
                </c:pt>
                <c:pt idx="1098">
                  <c:v>573.13725000000022</c:v>
                </c:pt>
                <c:pt idx="1099">
                  <c:v>573.32785000000035</c:v>
                </c:pt>
                <c:pt idx="1100">
                  <c:v>573.5087500000003</c:v>
                </c:pt>
                <c:pt idx="1101">
                  <c:v>573.73720000000037</c:v>
                </c:pt>
                <c:pt idx="1102">
                  <c:v>573.94115000000033</c:v>
                </c:pt>
                <c:pt idx="1103">
                  <c:v>574.11080000000027</c:v>
                </c:pt>
                <c:pt idx="1104">
                  <c:v>574.27615000000037</c:v>
                </c:pt>
                <c:pt idx="1105">
                  <c:v>574.37615000000039</c:v>
                </c:pt>
                <c:pt idx="1106">
                  <c:v>574.48835000000042</c:v>
                </c:pt>
                <c:pt idx="1107">
                  <c:v>574.58640000000048</c:v>
                </c:pt>
                <c:pt idx="1108">
                  <c:v>574.69675000000052</c:v>
                </c:pt>
                <c:pt idx="1109">
                  <c:v>574.66635000000042</c:v>
                </c:pt>
                <c:pt idx="1110">
                  <c:v>574.45725000000039</c:v>
                </c:pt>
                <c:pt idx="1111">
                  <c:v>574.23670000000038</c:v>
                </c:pt>
                <c:pt idx="1112">
                  <c:v>573.98410000000035</c:v>
                </c:pt>
                <c:pt idx="1113">
                  <c:v>574.00465000000042</c:v>
                </c:pt>
                <c:pt idx="1114">
                  <c:v>573.91385000000037</c:v>
                </c:pt>
                <c:pt idx="1115">
                  <c:v>573.85940000000039</c:v>
                </c:pt>
                <c:pt idx="1116">
                  <c:v>573.82745000000034</c:v>
                </c:pt>
                <c:pt idx="1117">
                  <c:v>573.78365000000031</c:v>
                </c:pt>
                <c:pt idx="1118">
                  <c:v>573.69085000000041</c:v>
                </c:pt>
                <c:pt idx="1119">
                  <c:v>573.59620000000029</c:v>
                </c:pt>
                <c:pt idx="1120">
                  <c:v>573.42055000000039</c:v>
                </c:pt>
                <c:pt idx="1121">
                  <c:v>573.29950000000042</c:v>
                </c:pt>
                <c:pt idx="1122">
                  <c:v>573.20340000000033</c:v>
                </c:pt>
                <c:pt idx="1123">
                  <c:v>573.16045000000031</c:v>
                </c:pt>
                <c:pt idx="1124">
                  <c:v>573.13455000000033</c:v>
                </c:pt>
                <c:pt idx="1125">
                  <c:v>573.0822000000004</c:v>
                </c:pt>
                <c:pt idx="1126">
                  <c:v>573.07140000000038</c:v>
                </c:pt>
                <c:pt idx="1127">
                  <c:v>573.04415000000029</c:v>
                </c:pt>
                <c:pt idx="1128">
                  <c:v>573.02885000000038</c:v>
                </c:pt>
                <c:pt idx="1129">
                  <c:v>573.03835000000038</c:v>
                </c:pt>
                <c:pt idx="1130">
                  <c:v>573.07120000000032</c:v>
                </c:pt>
                <c:pt idx="1131">
                  <c:v>573.10190000000034</c:v>
                </c:pt>
                <c:pt idx="1132">
                  <c:v>573.16270000000031</c:v>
                </c:pt>
                <c:pt idx="1133">
                  <c:v>573.21475000000032</c:v>
                </c:pt>
                <c:pt idx="1134">
                  <c:v>573.26755000000026</c:v>
                </c:pt>
                <c:pt idx="1135">
                  <c:v>573.47635000000037</c:v>
                </c:pt>
                <c:pt idx="1136">
                  <c:v>573.71850000000029</c:v>
                </c:pt>
                <c:pt idx="1137">
                  <c:v>573.93425000000025</c:v>
                </c:pt>
                <c:pt idx="1138">
                  <c:v>574.16275000000019</c:v>
                </c:pt>
                <c:pt idx="1139">
                  <c:v>574.42375000000027</c:v>
                </c:pt>
                <c:pt idx="1140">
                  <c:v>574.64395000000025</c:v>
                </c:pt>
                <c:pt idx="1141">
                  <c:v>574.89315000000033</c:v>
                </c:pt>
                <c:pt idx="1142">
                  <c:v>575.14295000000038</c:v>
                </c:pt>
                <c:pt idx="1143">
                  <c:v>575.47150000000033</c:v>
                </c:pt>
                <c:pt idx="1144">
                  <c:v>575.75630000000035</c:v>
                </c:pt>
                <c:pt idx="1145">
                  <c:v>576.11875000000032</c:v>
                </c:pt>
                <c:pt idx="1146">
                  <c:v>576.4041500000003</c:v>
                </c:pt>
                <c:pt idx="1147">
                  <c:v>576.68945000000031</c:v>
                </c:pt>
                <c:pt idx="1148">
                  <c:v>576.97005000000024</c:v>
                </c:pt>
                <c:pt idx="1149">
                  <c:v>577.22340000000031</c:v>
                </c:pt>
                <c:pt idx="1150">
                  <c:v>577.48510000000033</c:v>
                </c:pt>
                <c:pt idx="1151">
                  <c:v>577.69940000000031</c:v>
                </c:pt>
                <c:pt idx="1152">
                  <c:v>577.89310000000035</c:v>
                </c:pt>
                <c:pt idx="1153">
                  <c:v>578.0907500000003</c:v>
                </c:pt>
                <c:pt idx="1154">
                  <c:v>578.29565000000025</c:v>
                </c:pt>
                <c:pt idx="1155">
                  <c:v>578.50795000000016</c:v>
                </c:pt>
                <c:pt idx="1156">
                  <c:v>578.73365000000024</c:v>
                </c:pt>
                <c:pt idx="1157">
                  <c:v>578.94175000000018</c:v>
                </c:pt>
                <c:pt idx="1158">
                  <c:v>579.1228000000001</c:v>
                </c:pt>
                <c:pt idx="1159">
                  <c:v>579.32839999999999</c:v>
                </c:pt>
                <c:pt idx="1160">
                  <c:v>579.52455000000009</c:v>
                </c:pt>
                <c:pt idx="1161">
                  <c:v>579.72</c:v>
                </c:pt>
                <c:pt idx="1162">
                  <c:v>579.87300000000005</c:v>
                </c:pt>
                <c:pt idx="1163">
                  <c:v>580.11334999999997</c:v>
                </c:pt>
                <c:pt idx="1164">
                  <c:v>580.39250000000004</c:v>
                </c:pt>
                <c:pt idx="1165">
                  <c:v>580.68004999999994</c:v>
                </c:pt>
                <c:pt idx="1166">
                  <c:v>581.0376</c:v>
                </c:pt>
                <c:pt idx="1167">
                  <c:v>581.38009999999997</c:v>
                </c:pt>
                <c:pt idx="1168">
                  <c:v>581.72539999999992</c:v>
                </c:pt>
                <c:pt idx="1169">
                  <c:v>582.04154999999992</c:v>
                </c:pt>
                <c:pt idx="1170">
                  <c:v>582.34834999999987</c:v>
                </c:pt>
                <c:pt idx="1171">
                  <c:v>582.66499999999985</c:v>
                </c:pt>
                <c:pt idx="1172">
                  <c:v>582.95419999999979</c:v>
                </c:pt>
                <c:pt idx="1173">
                  <c:v>583.24054999999976</c:v>
                </c:pt>
                <c:pt idx="1174">
                  <c:v>583.55384999999978</c:v>
                </c:pt>
                <c:pt idx="1175">
                  <c:v>583.82804999999973</c:v>
                </c:pt>
                <c:pt idx="1176">
                  <c:v>584.10489999999982</c:v>
                </c:pt>
                <c:pt idx="1177">
                  <c:v>584.38059999999973</c:v>
                </c:pt>
                <c:pt idx="1178">
                  <c:v>584.6347999999997</c:v>
                </c:pt>
                <c:pt idx="1179">
                  <c:v>584.90569999999968</c:v>
                </c:pt>
                <c:pt idx="1180">
                  <c:v>585.18439999999964</c:v>
                </c:pt>
                <c:pt idx="1181">
                  <c:v>585.4649499999997</c:v>
                </c:pt>
                <c:pt idx="1182">
                  <c:v>585.73999999999967</c:v>
                </c:pt>
                <c:pt idx="1183">
                  <c:v>586.04119999999978</c:v>
                </c:pt>
                <c:pt idx="1184">
                  <c:v>586.36794999999984</c:v>
                </c:pt>
                <c:pt idx="1185">
                  <c:v>586.70094999999981</c:v>
                </c:pt>
                <c:pt idx="1186">
                  <c:v>587.02154999999982</c:v>
                </c:pt>
                <c:pt idx="1187">
                  <c:v>587.36724999999979</c:v>
                </c:pt>
                <c:pt idx="1188">
                  <c:v>587.67769999999973</c:v>
                </c:pt>
                <c:pt idx="1189">
                  <c:v>587.96429999999975</c:v>
                </c:pt>
                <c:pt idx="1190">
                  <c:v>588.24404999999979</c:v>
                </c:pt>
                <c:pt idx="1191">
                  <c:v>588.45474999999976</c:v>
                </c:pt>
                <c:pt idx="1192">
                  <c:v>588.68899999999985</c:v>
                </c:pt>
                <c:pt idx="1193">
                  <c:v>588.92994999999974</c:v>
                </c:pt>
                <c:pt idx="1194">
                  <c:v>589.18234999999981</c:v>
                </c:pt>
                <c:pt idx="1195">
                  <c:v>589.43184999999971</c:v>
                </c:pt>
                <c:pt idx="1196">
                  <c:v>589.69479999999976</c:v>
                </c:pt>
                <c:pt idx="1197">
                  <c:v>589.95624999999973</c:v>
                </c:pt>
                <c:pt idx="1198">
                  <c:v>590.25309999999979</c:v>
                </c:pt>
                <c:pt idx="1199">
                  <c:v>590.58759999999972</c:v>
                </c:pt>
                <c:pt idx="1200">
                  <c:v>590.91614999999967</c:v>
                </c:pt>
                <c:pt idx="1201">
                  <c:v>591.23814999999968</c:v>
                </c:pt>
                <c:pt idx="1202">
                  <c:v>591.55049999999972</c:v>
                </c:pt>
                <c:pt idx="1203">
                  <c:v>591.84069999999974</c:v>
                </c:pt>
                <c:pt idx="1204">
                  <c:v>592.13119999999969</c:v>
                </c:pt>
                <c:pt idx="1205">
                  <c:v>592.46574999999973</c:v>
                </c:pt>
                <c:pt idx="1206">
                  <c:v>592.83709999999974</c:v>
                </c:pt>
                <c:pt idx="1207">
                  <c:v>593.20039999999972</c:v>
                </c:pt>
                <c:pt idx="1208">
                  <c:v>593.54269999999963</c:v>
                </c:pt>
                <c:pt idx="1209">
                  <c:v>593.82064999999977</c:v>
                </c:pt>
                <c:pt idx="1210">
                  <c:v>594.08719999999971</c:v>
                </c:pt>
                <c:pt idx="1211">
                  <c:v>594.32149999999979</c:v>
                </c:pt>
                <c:pt idx="1212">
                  <c:v>594.52904999999987</c:v>
                </c:pt>
                <c:pt idx="1213">
                  <c:v>594.76324999999986</c:v>
                </c:pt>
                <c:pt idx="1214">
                  <c:v>595.02289999999982</c:v>
                </c:pt>
                <c:pt idx="1215">
                  <c:v>595.29234999999983</c:v>
                </c:pt>
                <c:pt idx="1216">
                  <c:v>595.6077499999999</c:v>
                </c:pt>
                <c:pt idx="1217">
                  <c:v>595.91864999999996</c:v>
                </c:pt>
                <c:pt idx="1218">
                  <c:v>596.22820000000002</c:v>
                </c:pt>
                <c:pt idx="1219">
                  <c:v>596.56385000000012</c:v>
                </c:pt>
                <c:pt idx="1220">
                  <c:v>596.88255000000004</c:v>
                </c:pt>
                <c:pt idx="1221">
                  <c:v>597.20955000000004</c:v>
                </c:pt>
                <c:pt idx="1222">
                  <c:v>597.52190000000007</c:v>
                </c:pt>
                <c:pt idx="1223">
                  <c:v>597.81455000000005</c:v>
                </c:pt>
                <c:pt idx="1224">
                  <c:v>598.13170000000002</c:v>
                </c:pt>
                <c:pt idx="1225">
                  <c:v>598.4374499999999</c:v>
                </c:pt>
                <c:pt idx="1226">
                  <c:v>598.75349999999992</c:v>
                </c:pt>
                <c:pt idx="1227">
                  <c:v>599.04999999999995</c:v>
                </c:pt>
                <c:pt idx="1228">
                  <c:v>599.31719999999984</c:v>
                </c:pt>
                <c:pt idx="1229">
                  <c:v>599.57414999999992</c:v>
                </c:pt>
                <c:pt idx="1230">
                  <c:v>599.84419999999989</c:v>
                </c:pt>
                <c:pt idx="1231">
                  <c:v>600.13919999999996</c:v>
                </c:pt>
                <c:pt idx="1232">
                  <c:v>600.45609999999988</c:v>
                </c:pt>
                <c:pt idx="1233">
                  <c:v>600.76104999999995</c:v>
                </c:pt>
                <c:pt idx="1234">
                  <c:v>601.08550000000002</c:v>
                </c:pt>
                <c:pt idx="1235">
                  <c:v>601.41050000000007</c:v>
                </c:pt>
                <c:pt idx="1236">
                  <c:v>601.7346</c:v>
                </c:pt>
                <c:pt idx="1237">
                  <c:v>602.05875000000003</c:v>
                </c:pt>
                <c:pt idx="1238">
                  <c:v>602.49289999999996</c:v>
                </c:pt>
                <c:pt idx="1239">
                  <c:v>602.91819999999996</c:v>
                </c:pt>
                <c:pt idx="1240">
                  <c:v>603.22755000000006</c:v>
                </c:pt>
                <c:pt idx="1241">
                  <c:v>603.5693</c:v>
                </c:pt>
                <c:pt idx="1242">
                  <c:v>603.87395000000004</c:v>
                </c:pt>
                <c:pt idx="1243">
                  <c:v>604.19310000000007</c:v>
                </c:pt>
                <c:pt idx="1244">
                  <c:v>604.52125000000012</c:v>
                </c:pt>
                <c:pt idx="1245">
                  <c:v>604.90210000000002</c:v>
                </c:pt>
                <c:pt idx="1246">
                  <c:v>605.32820000000015</c:v>
                </c:pt>
                <c:pt idx="1247">
                  <c:v>605.76145000000008</c:v>
                </c:pt>
                <c:pt idx="1248">
                  <c:v>606.14070000000004</c:v>
                </c:pt>
                <c:pt idx="1249">
                  <c:v>606.52269999999999</c:v>
                </c:pt>
                <c:pt idx="1250">
                  <c:v>606.96580000000006</c:v>
                </c:pt>
                <c:pt idx="1251">
                  <c:v>607.44455000000005</c:v>
                </c:pt>
                <c:pt idx="1252">
                  <c:v>607.9774000000001</c:v>
                </c:pt>
                <c:pt idx="1253">
                  <c:v>608.50740000000019</c:v>
                </c:pt>
                <c:pt idx="1254">
                  <c:v>608.99560000000019</c:v>
                </c:pt>
                <c:pt idx="1255">
                  <c:v>609.44200000000023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3E-46AA-94F0-51279CA4A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6796448"/>
        <c:axId val="1246796928"/>
      </c:lineChart>
      <c:lineChart>
        <c:grouping val="standard"/>
        <c:varyColors val="0"/>
        <c:ser>
          <c:idx val="3"/>
          <c:order val="3"/>
          <c:tx>
            <c:strRef>
              <c:f>SPY_close_price!$E$2</c:f>
              <c:strCache>
                <c:ptCount val="1"/>
                <c:pt idx="0">
                  <c:v>Golden Cross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566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383E-46AA-94F0-51279CA4A2AE}"/>
                </c:ext>
              </c:extLst>
            </c:dLbl>
            <c:dLbl>
              <c:idx val="1169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3E-46AA-94F0-51279CA4A2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SPY_close_price!$A$3:$A$1258</c:f>
              <c:numCache>
                <c:formatCode>m/d/yyyy</c:formatCode>
                <c:ptCount val="1256"/>
                <c:pt idx="0">
                  <c:v>44137</c:v>
                </c:pt>
                <c:pt idx="1">
                  <c:v>44138</c:v>
                </c:pt>
                <c:pt idx="2">
                  <c:v>44139</c:v>
                </c:pt>
                <c:pt idx="3">
                  <c:v>44140</c:v>
                </c:pt>
                <c:pt idx="4">
                  <c:v>44141</c:v>
                </c:pt>
                <c:pt idx="5">
                  <c:v>44144</c:v>
                </c:pt>
                <c:pt idx="6">
                  <c:v>44145</c:v>
                </c:pt>
                <c:pt idx="7">
                  <c:v>44146</c:v>
                </c:pt>
                <c:pt idx="8">
                  <c:v>44147</c:v>
                </c:pt>
                <c:pt idx="9">
                  <c:v>44148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44158</c:v>
                </c:pt>
                <c:pt idx="16">
                  <c:v>44159</c:v>
                </c:pt>
                <c:pt idx="17">
                  <c:v>44160</c:v>
                </c:pt>
                <c:pt idx="18">
                  <c:v>44162</c:v>
                </c:pt>
                <c:pt idx="19">
                  <c:v>44165</c:v>
                </c:pt>
                <c:pt idx="20">
                  <c:v>44166</c:v>
                </c:pt>
                <c:pt idx="21">
                  <c:v>44167</c:v>
                </c:pt>
                <c:pt idx="22">
                  <c:v>44168</c:v>
                </c:pt>
                <c:pt idx="23">
                  <c:v>44169</c:v>
                </c:pt>
                <c:pt idx="24">
                  <c:v>44172</c:v>
                </c:pt>
                <c:pt idx="25">
                  <c:v>44173</c:v>
                </c:pt>
                <c:pt idx="26">
                  <c:v>44174</c:v>
                </c:pt>
                <c:pt idx="27">
                  <c:v>44175</c:v>
                </c:pt>
                <c:pt idx="28">
                  <c:v>44176</c:v>
                </c:pt>
                <c:pt idx="29">
                  <c:v>44179</c:v>
                </c:pt>
                <c:pt idx="30">
                  <c:v>44180</c:v>
                </c:pt>
                <c:pt idx="31">
                  <c:v>44181</c:v>
                </c:pt>
                <c:pt idx="32">
                  <c:v>44182</c:v>
                </c:pt>
                <c:pt idx="33">
                  <c:v>44183</c:v>
                </c:pt>
                <c:pt idx="34">
                  <c:v>44186</c:v>
                </c:pt>
                <c:pt idx="35">
                  <c:v>44187</c:v>
                </c:pt>
                <c:pt idx="36">
                  <c:v>44188</c:v>
                </c:pt>
                <c:pt idx="37">
                  <c:v>44189</c:v>
                </c:pt>
                <c:pt idx="38">
                  <c:v>44193</c:v>
                </c:pt>
                <c:pt idx="39">
                  <c:v>44194</c:v>
                </c:pt>
                <c:pt idx="40">
                  <c:v>44195</c:v>
                </c:pt>
                <c:pt idx="41">
                  <c:v>44196</c:v>
                </c:pt>
                <c:pt idx="42">
                  <c:v>44200</c:v>
                </c:pt>
                <c:pt idx="43">
                  <c:v>44201</c:v>
                </c:pt>
                <c:pt idx="44">
                  <c:v>44202</c:v>
                </c:pt>
                <c:pt idx="45">
                  <c:v>44203</c:v>
                </c:pt>
                <c:pt idx="46">
                  <c:v>44204</c:v>
                </c:pt>
                <c:pt idx="47">
                  <c:v>44207</c:v>
                </c:pt>
                <c:pt idx="48">
                  <c:v>44208</c:v>
                </c:pt>
                <c:pt idx="49">
                  <c:v>44209</c:v>
                </c:pt>
                <c:pt idx="50">
                  <c:v>44210</c:v>
                </c:pt>
                <c:pt idx="51">
                  <c:v>44211</c:v>
                </c:pt>
                <c:pt idx="52">
                  <c:v>44215</c:v>
                </c:pt>
                <c:pt idx="53">
                  <c:v>44216</c:v>
                </c:pt>
                <c:pt idx="54">
                  <c:v>44217</c:v>
                </c:pt>
                <c:pt idx="55">
                  <c:v>44218</c:v>
                </c:pt>
                <c:pt idx="56">
                  <c:v>44221</c:v>
                </c:pt>
                <c:pt idx="57">
                  <c:v>44222</c:v>
                </c:pt>
                <c:pt idx="58">
                  <c:v>44223</c:v>
                </c:pt>
                <c:pt idx="59">
                  <c:v>44224</c:v>
                </c:pt>
                <c:pt idx="60">
                  <c:v>44225</c:v>
                </c:pt>
                <c:pt idx="61">
                  <c:v>44228</c:v>
                </c:pt>
                <c:pt idx="62">
                  <c:v>44229</c:v>
                </c:pt>
                <c:pt idx="63">
                  <c:v>44230</c:v>
                </c:pt>
                <c:pt idx="64">
                  <c:v>44231</c:v>
                </c:pt>
                <c:pt idx="65">
                  <c:v>44232</c:v>
                </c:pt>
                <c:pt idx="66">
                  <c:v>44235</c:v>
                </c:pt>
                <c:pt idx="67">
                  <c:v>44236</c:v>
                </c:pt>
                <c:pt idx="68">
                  <c:v>44237</c:v>
                </c:pt>
                <c:pt idx="69">
                  <c:v>44238</c:v>
                </c:pt>
                <c:pt idx="70">
                  <c:v>44239</c:v>
                </c:pt>
                <c:pt idx="71">
                  <c:v>44243</c:v>
                </c:pt>
                <c:pt idx="72">
                  <c:v>44244</c:v>
                </c:pt>
                <c:pt idx="73">
                  <c:v>44245</c:v>
                </c:pt>
                <c:pt idx="74">
                  <c:v>44246</c:v>
                </c:pt>
                <c:pt idx="75">
                  <c:v>44249</c:v>
                </c:pt>
                <c:pt idx="76">
                  <c:v>44250</c:v>
                </c:pt>
                <c:pt idx="77">
                  <c:v>44251</c:v>
                </c:pt>
                <c:pt idx="78">
                  <c:v>44252</c:v>
                </c:pt>
                <c:pt idx="79">
                  <c:v>44253</c:v>
                </c:pt>
                <c:pt idx="80">
                  <c:v>44256</c:v>
                </c:pt>
                <c:pt idx="81">
                  <c:v>44257</c:v>
                </c:pt>
                <c:pt idx="82">
                  <c:v>44258</c:v>
                </c:pt>
                <c:pt idx="83">
                  <c:v>44259</c:v>
                </c:pt>
                <c:pt idx="84">
                  <c:v>44260</c:v>
                </c:pt>
                <c:pt idx="85">
                  <c:v>44263</c:v>
                </c:pt>
                <c:pt idx="86">
                  <c:v>44264</c:v>
                </c:pt>
                <c:pt idx="87">
                  <c:v>44265</c:v>
                </c:pt>
                <c:pt idx="88">
                  <c:v>44266</c:v>
                </c:pt>
                <c:pt idx="89">
                  <c:v>44267</c:v>
                </c:pt>
                <c:pt idx="90">
                  <c:v>44270</c:v>
                </c:pt>
                <c:pt idx="91">
                  <c:v>44271</c:v>
                </c:pt>
                <c:pt idx="92">
                  <c:v>44272</c:v>
                </c:pt>
                <c:pt idx="93">
                  <c:v>44273</c:v>
                </c:pt>
                <c:pt idx="94">
                  <c:v>44274</c:v>
                </c:pt>
                <c:pt idx="95">
                  <c:v>44277</c:v>
                </c:pt>
                <c:pt idx="96">
                  <c:v>44278</c:v>
                </c:pt>
                <c:pt idx="97">
                  <c:v>44279</c:v>
                </c:pt>
                <c:pt idx="98">
                  <c:v>44280</c:v>
                </c:pt>
                <c:pt idx="99">
                  <c:v>44281</c:v>
                </c:pt>
                <c:pt idx="100">
                  <c:v>44284</c:v>
                </c:pt>
                <c:pt idx="101">
                  <c:v>44285</c:v>
                </c:pt>
                <c:pt idx="102">
                  <c:v>44286</c:v>
                </c:pt>
                <c:pt idx="103">
                  <c:v>44287</c:v>
                </c:pt>
                <c:pt idx="104">
                  <c:v>44291</c:v>
                </c:pt>
                <c:pt idx="105">
                  <c:v>44292</c:v>
                </c:pt>
                <c:pt idx="106">
                  <c:v>44293</c:v>
                </c:pt>
                <c:pt idx="107">
                  <c:v>44294</c:v>
                </c:pt>
                <c:pt idx="108">
                  <c:v>44295</c:v>
                </c:pt>
                <c:pt idx="109">
                  <c:v>44298</c:v>
                </c:pt>
                <c:pt idx="110">
                  <c:v>44299</c:v>
                </c:pt>
                <c:pt idx="111">
                  <c:v>44300</c:v>
                </c:pt>
                <c:pt idx="112">
                  <c:v>44301</c:v>
                </c:pt>
                <c:pt idx="113">
                  <c:v>44302</c:v>
                </c:pt>
                <c:pt idx="114">
                  <c:v>44305</c:v>
                </c:pt>
                <c:pt idx="115">
                  <c:v>44306</c:v>
                </c:pt>
                <c:pt idx="116">
                  <c:v>44307</c:v>
                </c:pt>
                <c:pt idx="117">
                  <c:v>44308</c:v>
                </c:pt>
                <c:pt idx="118">
                  <c:v>44309</c:v>
                </c:pt>
                <c:pt idx="119">
                  <c:v>44312</c:v>
                </c:pt>
                <c:pt idx="120">
                  <c:v>44313</c:v>
                </c:pt>
                <c:pt idx="121">
                  <c:v>44314</c:v>
                </c:pt>
                <c:pt idx="122">
                  <c:v>44315</c:v>
                </c:pt>
                <c:pt idx="123">
                  <c:v>44316</c:v>
                </c:pt>
                <c:pt idx="124">
                  <c:v>44319</c:v>
                </c:pt>
                <c:pt idx="125">
                  <c:v>44320</c:v>
                </c:pt>
                <c:pt idx="126">
                  <c:v>44321</c:v>
                </c:pt>
                <c:pt idx="127">
                  <c:v>44322</c:v>
                </c:pt>
                <c:pt idx="128">
                  <c:v>44323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44333</c:v>
                </c:pt>
                <c:pt idx="135">
                  <c:v>44334</c:v>
                </c:pt>
                <c:pt idx="136">
                  <c:v>44335</c:v>
                </c:pt>
                <c:pt idx="137">
                  <c:v>44336</c:v>
                </c:pt>
                <c:pt idx="138">
                  <c:v>44337</c:v>
                </c:pt>
                <c:pt idx="139">
                  <c:v>44340</c:v>
                </c:pt>
                <c:pt idx="140">
                  <c:v>44341</c:v>
                </c:pt>
                <c:pt idx="141">
                  <c:v>44342</c:v>
                </c:pt>
                <c:pt idx="142">
                  <c:v>44343</c:v>
                </c:pt>
                <c:pt idx="143">
                  <c:v>44344</c:v>
                </c:pt>
                <c:pt idx="144">
                  <c:v>44348</c:v>
                </c:pt>
                <c:pt idx="145">
                  <c:v>44349</c:v>
                </c:pt>
                <c:pt idx="146">
                  <c:v>44350</c:v>
                </c:pt>
                <c:pt idx="147">
                  <c:v>44351</c:v>
                </c:pt>
                <c:pt idx="148">
                  <c:v>44354</c:v>
                </c:pt>
                <c:pt idx="149">
                  <c:v>44355</c:v>
                </c:pt>
                <c:pt idx="150">
                  <c:v>44356</c:v>
                </c:pt>
                <c:pt idx="151">
                  <c:v>44357</c:v>
                </c:pt>
                <c:pt idx="152">
                  <c:v>44358</c:v>
                </c:pt>
                <c:pt idx="153">
                  <c:v>44361</c:v>
                </c:pt>
                <c:pt idx="154">
                  <c:v>44362</c:v>
                </c:pt>
                <c:pt idx="155">
                  <c:v>44363</c:v>
                </c:pt>
                <c:pt idx="156">
                  <c:v>44364</c:v>
                </c:pt>
                <c:pt idx="157">
                  <c:v>44365</c:v>
                </c:pt>
                <c:pt idx="158">
                  <c:v>44368</c:v>
                </c:pt>
                <c:pt idx="159">
                  <c:v>44369</c:v>
                </c:pt>
                <c:pt idx="160">
                  <c:v>44370</c:v>
                </c:pt>
                <c:pt idx="161">
                  <c:v>44371</c:v>
                </c:pt>
                <c:pt idx="162">
                  <c:v>44372</c:v>
                </c:pt>
                <c:pt idx="163">
                  <c:v>44375</c:v>
                </c:pt>
                <c:pt idx="164">
                  <c:v>44376</c:v>
                </c:pt>
                <c:pt idx="165">
                  <c:v>44377</c:v>
                </c:pt>
                <c:pt idx="166">
                  <c:v>44378</c:v>
                </c:pt>
                <c:pt idx="167">
                  <c:v>44379</c:v>
                </c:pt>
                <c:pt idx="168">
                  <c:v>44383</c:v>
                </c:pt>
                <c:pt idx="169">
                  <c:v>44384</c:v>
                </c:pt>
                <c:pt idx="170">
                  <c:v>44385</c:v>
                </c:pt>
                <c:pt idx="171">
                  <c:v>44386</c:v>
                </c:pt>
                <c:pt idx="172">
                  <c:v>44389</c:v>
                </c:pt>
                <c:pt idx="173">
                  <c:v>44390</c:v>
                </c:pt>
                <c:pt idx="174">
                  <c:v>44391</c:v>
                </c:pt>
                <c:pt idx="175">
                  <c:v>44392</c:v>
                </c:pt>
                <c:pt idx="176">
                  <c:v>44393</c:v>
                </c:pt>
                <c:pt idx="177">
                  <c:v>44396</c:v>
                </c:pt>
                <c:pt idx="178">
                  <c:v>44397</c:v>
                </c:pt>
                <c:pt idx="179">
                  <c:v>44398</c:v>
                </c:pt>
                <c:pt idx="180">
                  <c:v>44399</c:v>
                </c:pt>
                <c:pt idx="181">
                  <c:v>44400</c:v>
                </c:pt>
                <c:pt idx="182">
                  <c:v>44403</c:v>
                </c:pt>
                <c:pt idx="183">
                  <c:v>44404</c:v>
                </c:pt>
                <c:pt idx="184">
                  <c:v>44405</c:v>
                </c:pt>
                <c:pt idx="185">
                  <c:v>44406</c:v>
                </c:pt>
                <c:pt idx="186">
                  <c:v>44407</c:v>
                </c:pt>
                <c:pt idx="187">
                  <c:v>44410</c:v>
                </c:pt>
                <c:pt idx="188">
                  <c:v>44411</c:v>
                </c:pt>
                <c:pt idx="189">
                  <c:v>44412</c:v>
                </c:pt>
                <c:pt idx="190">
                  <c:v>44413</c:v>
                </c:pt>
                <c:pt idx="191">
                  <c:v>44414</c:v>
                </c:pt>
                <c:pt idx="192">
                  <c:v>44417</c:v>
                </c:pt>
                <c:pt idx="193">
                  <c:v>44418</c:v>
                </c:pt>
                <c:pt idx="194">
                  <c:v>44419</c:v>
                </c:pt>
                <c:pt idx="195">
                  <c:v>44420</c:v>
                </c:pt>
                <c:pt idx="196">
                  <c:v>44421</c:v>
                </c:pt>
                <c:pt idx="197">
                  <c:v>44424</c:v>
                </c:pt>
                <c:pt idx="198">
                  <c:v>44425</c:v>
                </c:pt>
                <c:pt idx="199">
                  <c:v>44426</c:v>
                </c:pt>
                <c:pt idx="200">
                  <c:v>44427</c:v>
                </c:pt>
                <c:pt idx="201">
                  <c:v>44428</c:v>
                </c:pt>
                <c:pt idx="202">
                  <c:v>44431</c:v>
                </c:pt>
                <c:pt idx="203">
                  <c:v>44432</c:v>
                </c:pt>
                <c:pt idx="204">
                  <c:v>44433</c:v>
                </c:pt>
                <c:pt idx="205">
                  <c:v>44434</c:v>
                </c:pt>
                <c:pt idx="206">
                  <c:v>44435</c:v>
                </c:pt>
                <c:pt idx="207">
                  <c:v>44438</c:v>
                </c:pt>
                <c:pt idx="208">
                  <c:v>44439</c:v>
                </c:pt>
                <c:pt idx="209">
                  <c:v>44440</c:v>
                </c:pt>
                <c:pt idx="210">
                  <c:v>44441</c:v>
                </c:pt>
                <c:pt idx="211">
                  <c:v>44442</c:v>
                </c:pt>
                <c:pt idx="212">
                  <c:v>44446</c:v>
                </c:pt>
                <c:pt idx="213">
                  <c:v>44447</c:v>
                </c:pt>
                <c:pt idx="214">
                  <c:v>44448</c:v>
                </c:pt>
                <c:pt idx="215">
                  <c:v>44449</c:v>
                </c:pt>
                <c:pt idx="216">
                  <c:v>44452</c:v>
                </c:pt>
                <c:pt idx="217">
                  <c:v>44453</c:v>
                </c:pt>
                <c:pt idx="218">
                  <c:v>44454</c:v>
                </c:pt>
                <c:pt idx="219">
                  <c:v>44455</c:v>
                </c:pt>
                <c:pt idx="220">
                  <c:v>44456</c:v>
                </c:pt>
                <c:pt idx="221">
                  <c:v>44459</c:v>
                </c:pt>
                <c:pt idx="222">
                  <c:v>44460</c:v>
                </c:pt>
                <c:pt idx="223">
                  <c:v>44461</c:v>
                </c:pt>
                <c:pt idx="224">
                  <c:v>44462</c:v>
                </c:pt>
                <c:pt idx="225">
                  <c:v>44463</c:v>
                </c:pt>
                <c:pt idx="226">
                  <c:v>44466</c:v>
                </c:pt>
                <c:pt idx="227">
                  <c:v>44467</c:v>
                </c:pt>
                <c:pt idx="228">
                  <c:v>44468</c:v>
                </c:pt>
                <c:pt idx="229">
                  <c:v>44469</c:v>
                </c:pt>
                <c:pt idx="230">
                  <c:v>44470</c:v>
                </c:pt>
                <c:pt idx="231">
                  <c:v>44473</c:v>
                </c:pt>
                <c:pt idx="232">
                  <c:v>44474</c:v>
                </c:pt>
                <c:pt idx="233">
                  <c:v>44475</c:v>
                </c:pt>
                <c:pt idx="234">
                  <c:v>44476</c:v>
                </c:pt>
                <c:pt idx="235">
                  <c:v>44477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44487</c:v>
                </c:pt>
                <c:pt idx="242">
                  <c:v>44488</c:v>
                </c:pt>
                <c:pt idx="243">
                  <c:v>44489</c:v>
                </c:pt>
                <c:pt idx="244">
                  <c:v>44490</c:v>
                </c:pt>
                <c:pt idx="245">
                  <c:v>44491</c:v>
                </c:pt>
                <c:pt idx="246">
                  <c:v>44494</c:v>
                </c:pt>
                <c:pt idx="247">
                  <c:v>44495</c:v>
                </c:pt>
                <c:pt idx="248">
                  <c:v>44496</c:v>
                </c:pt>
                <c:pt idx="249">
                  <c:v>44497</c:v>
                </c:pt>
                <c:pt idx="250">
                  <c:v>44498</c:v>
                </c:pt>
                <c:pt idx="251">
                  <c:v>44501</c:v>
                </c:pt>
                <c:pt idx="252">
                  <c:v>44502</c:v>
                </c:pt>
                <c:pt idx="253">
                  <c:v>44503</c:v>
                </c:pt>
                <c:pt idx="254">
                  <c:v>44504</c:v>
                </c:pt>
                <c:pt idx="255">
                  <c:v>44505</c:v>
                </c:pt>
                <c:pt idx="256">
                  <c:v>44508</c:v>
                </c:pt>
                <c:pt idx="257">
                  <c:v>44509</c:v>
                </c:pt>
                <c:pt idx="258">
                  <c:v>44510</c:v>
                </c:pt>
                <c:pt idx="259">
                  <c:v>44511</c:v>
                </c:pt>
                <c:pt idx="260">
                  <c:v>44512</c:v>
                </c:pt>
                <c:pt idx="261">
                  <c:v>44515</c:v>
                </c:pt>
                <c:pt idx="262">
                  <c:v>44516</c:v>
                </c:pt>
                <c:pt idx="263">
                  <c:v>44517</c:v>
                </c:pt>
                <c:pt idx="264">
                  <c:v>44518</c:v>
                </c:pt>
                <c:pt idx="265">
                  <c:v>44519</c:v>
                </c:pt>
                <c:pt idx="266">
                  <c:v>44522</c:v>
                </c:pt>
                <c:pt idx="267">
                  <c:v>44523</c:v>
                </c:pt>
                <c:pt idx="268">
                  <c:v>44524</c:v>
                </c:pt>
                <c:pt idx="269">
                  <c:v>44526</c:v>
                </c:pt>
                <c:pt idx="270">
                  <c:v>44529</c:v>
                </c:pt>
                <c:pt idx="271">
                  <c:v>44530</c:v>
                </c:pt>
                <c:pt idx="272">
                  <c:v>44531</c:v>
                </c:pt>
                <c:pt idx="273">
                  <c:v>44532</c:v>
                </c:pt>
                <c:pt idx="274">
                  <c:v>44533</c:v>
                </c:pt>
                <c:pt idx="275">
                  <c:v>44536</c:v>
                </c:pt>
                <c:pt idx="276">
                  <c:v>44537</c:v>
                </c:pt>
                <c:pt idx="277">
                  <c:v>44538</c:v>
                </c:pt>
                <c:pt idx="278">
                  <c:v>44539</c:v>
                </c:pt>
                <c:pt idx="279">
                  <c:v>44540</c:v>
                </c:pt>
                <c:pt idx="280">
                  <c:v>44543</c:v>
                </c:pt>
                <c:pt idx="281">
                  <c:v>44544</c:v>
                </c:pt>
                <c:pt idx="282">
                  <c:v>44545</c:v>
                </c:pt>
                <c:pt idx="283">
                  <c:v>44546</c:v>
                </c:pt>
                <c:pt idx="284">
                  <c:v>44547</c:v>
                </c:pt>
                <c:pt idx="285">
                  <c:v>44550</c:v>
                </c:pt>
                <c:pt idx="286">
                  <c:v>44551</c:v>
                </c:pt>
                <c:pt idx="287">
                  <c:v>44552</c:v>
                </c:pt>
                <c:pt idx="288">
                  <c:v>44553</c:v>
                </c:pt>
                <c:pt idx="289">
                  <c:v>44557</c:v>
                </c:pt>
                <c:pt idx="290">
                  <c:v>44558</c:v>
                </c:pt>
                <c:pt idx="291">
                  <c:v>44559</c:v>
                </c:pt>
                <c:pt idx="292">
                  <c:v>44560</c:v>
                </c:pt>
                <c:pt idx="293">
                  <c:v>44561</c:v>
                </c:pt>
                <c:pt idx="294">
                  <c:v>44564</c:v>
                </c:pt>
                <c:pt idx="295">
                  <c:v>44565</c:v>
                </c:pt>
                <c:pt idx="296">
                  <c:v>44566</c:v>
                </c:pt>
                <c:pt idx="297">
                  <c:v>44567</c:v>
                </c:pt>
                <c:pt idx="298">
                  <c:v>44568</c:v>
                </c:pt>
                <c:pt idx="299">
                  <c:v>44571</c:v>
                </c:pt>
                <c:pt idx="300">
                  <c:v>44572</c:v>
                </c:pt>
                <c:pt idx="301">
                  <c:v>44573</c:v>
                </c:pt>
                <c:pt idx="302">
                  <c:v>44574</c:v>
                </c:pt>
                <c:pt idx="303">
                  <c:v>44575</c:v>
                </c:pt>
                <c:pt idx="304">
                  <c:v>44579</c:v>
                </c:pt>
                <c:pt idx="305">
                  <c:v>44580</c:v>
                </c:pt>
                <c:pt idx="306">
                  <c:v>44581</c:v>
                </c:pt>
                <c:pt idx="307">
                  <c:v>44582</c:v>
                </c:pt>
                <c:pt idx="308">
                  <c:v>44585</c:v>
                </c:pt>
                <c:pt idx="309">
                  <c:v>44586</c:v>
                </c:pt>
                <c:pt idx="310">
                  <c:v>44587</c:v>
                </c:pt>
                <c:pt idx="311">
                  <c:v>44588</c:v>
                </c:pt>
                <c:pt idx="312">
                  <c:v>44589</c:v>
                </c:pt>
                <c:pt idx="313">
                  <c:v>44592</c:v>
                </c:pt>
                <c:pt idx="314">
                  <c:v>44593</c:v>
                </c:pt>
                <c:pt idx="315">
                  <c:v>44594</c:v>
                </c:pt>
                <c:pt idx="316">
                  <c:v>44595</c:v>
                </c:pt>
                <c:pt idx="317">
                  <c:v>44596</c:v>
                </c:pt>
                <c:pt idx="318">
                  <c:v>44599</c:v>
                </c:pt>
                <c:pt idx="319">
                  <c:v>44600</c:v>
                </c:pt>
                <c:pt idx="320">
                  <c:v>44601</c:v>
                </c:pt>
                <c:pt idx="321">
                  <c:v>44602</c:v>
                </c:pt>
                <c:pt idx="322">
                  <c:v>44603</c:v>
                </c:pt>
                <c:pt idx="323">
                  <c:v>44606</c:v>
                </c:pt>
                <c:pt idx="324">
                  <c:v>44607</c:v>
                </c:pt>
                <c:pt idx="325">
                  <c:v>44608</c:v>
                </c:pt>
                <c:pt idx="326">
                  <c:v>44609</c:v>
                </c:pt>
                <c:pt idx="327">
                  <c:v>44610</c:v>
                </c:pt>
                <c:pt idx="328">
                  <c:v>44614</c:v>
                </c:pt>
                <c:pt idx="329">
                  <c:v>44615</c:v>
                </c:pt>
                <c:pt idx="330">
                  <c:v>44616</c:v>
                </c:pt>
                <c:pt idx="331">
                  <c:v>44617</c:v>
                </c:pt>
                <c:pt idx="332">
                  <c:v>44620</c:v>
                </c:pt>
                <c:pt idx="333">
                  <c:v>44621</c:v>
                </c:pt>
                <c:pt idx="334">
                  <c:v>44622</c:v>
                </c:pt>
                <c:pt idx="335">
                  <c:v>44623</c:v>
                </c:pt>
                <c:pt idx="336">
                  <c:v>44624</c:v>
                </c:pt>
                <c:pt idx="337">
                  <c:v>44627</c:v>
                </c:pt>
                <c:pt idx="338">
                  <c:v>44628</c:v>
                </c:pt>
                <c:pt idx="339">
                  <c:v>44629</c:v>
                </c:pt>
                <c:pt idx="340">
                  <c:v>44630</c:v>
                </c:pt>
                <c:pt idx="341">
                  <c:v>44631</c:v>
                </c:pt>
                <c:pt idx="342">
                  <c:v>44634</c:v>
                </c:pt>
                <c:pt idx="343">
                  <c:v>44635</c:v>
                </c:pt>
                <c:pt idx="344">
                  <c:v>44636</c:v>
                </c:pt>
                <c:pt idx="345">
                  <c:v>44637</c:v>
                </c:pt>
                <c:pt idx="346">
                  <c:v>44638</c:v>
                </c:pt>
                <c:pt idx="347">
                  <c:v>44641</c:v>
                </c:pt>
                <c:pt idx="348">
                  <c:v>44642</c:v>
                </c:pt>
                <c:pt idx="349">
                  <c:v>44643</c:v>
                </c:pt>
                <c:pt idx="350">
                  <c:v>44644</c:v>
                </c:pt>
                <c:pt idx="351">
                  <c:v>44645</c:v>
                </c:pt>
                <c:pt idx="352">
                  <c:v>44648</c:v>
                </c:pt>
                <c:pt idx="353">
                  <c:v>44649</c:v>
                </c:pt>
                <c:pt idx="354">
                  <c:v>44650</c:v>
                </c:pt>
                <c:pt idx="355">
                  <c:v>44651</c:v>
                </c:pt>
                <c:pt idx="356">
                  <c:v>44652</c:v>
                </c:pt>
                <c:pt idx="357">
                  <c:v>44655</c:v>
                </c:pt>
                <c:pt idx="358">
                  <c:v>44656</c:v>
                </c:pt>
                <c:pt idx="359">
                  <c:v>44657</c:v>
                </c:pt>
                <c:pt idx="360">
                  <c:v>44658</c:v>
                </c:pt>
                <c:pt idx="361">
                  <c:v>44659</c:v>
                </c:pt>
                <c:pt idx="362">
                  <c:v>44662</c:v>
                </c:pt>
                <c:pt idx="363">
                  <c:v>44663</c:v>
                </c:pt>
                <c:pt idx="364">
                  <c:v>44664</c:v>
                </c:pt>
                <c:pt idx="365">
                  <c:v>44665</c:v>
                </c:pt>
                <c:pt idx="366">
                  <c:v>44669</c:v>
                </c:pt>
                <c:pt idx="367">
                  <c:v>44670</c:v>
                </c:pt>
                <c:pt idx="368">
                  <c:v>44671</c:v>
                </c:pt>
                <c:pt idx="369">
                  <c:v>44672</c:v>
                </c:pt>
                <c:pt idx="370">
                  <c:v>44673</c:v>
                </c:pt>
                <c:pt idx="371">
                  <c:v>44676</c:v>
                </c:pt>
                <c:pt idx="372">
                  <c:v>44677</c:v>
                </c:pt>
                <c:pt idx="373">
                  <c:v>44678</c:v>
                </c:pt>
                <c:pt idx="374">
                  <c:v>44679</c:v>
                </c:pt>
                <c:pt idx="375">
                  <c:v>44680</c:v>
                </c:pt>
                <c:pt idx="376">
                  <c:v>44683</c:v>
                </c:pt>
                <c:pt idx="377">
                  <c:v>44684</c:v>
                </c:pt>
                <c:pt idx="378">
                  <c:v>44685</c:v>
                </c:pt>
                <c:pt idx="379">
                  <c:v>44686</c:v>
                </c:pt>
                <c:pt idx="380">
                  <c:v>44687</c:v>
                </c:pt>
                <c:pt idx="381">
                  <c:v>44690</c:v>
                </c:pt>
                <c:pt idx="382">
                  <c:v>44691</c:v>
                </c:pt>
                <c:pt idx="383">
                  <c:v>44692</c:v>
                </c:pt>
                <c:pt idx="384">
                  <c:v>44693</c:v>
                </c:pt>
                <c:pt idx="385">
                  <c:v>44694</c:v>
                </c:pt>
                <c:pt idx="386">
                  <c:v>44697</c:v>
                </c:pt>
                <c:pt idx="387">
                  <c:v>44698</c:v>
                </c:pt>
                <c:pt idx="388">
                  <c:v>44699</c:v>
                </c:pt>
                <c:pt idx="389">
                  <c:v>44700</c:v>
                </c:pt>
                <c:pt idx="390">
                  <c:v>44701</c:v>
                </c:pt>
                <c:pt idx="391">
                  <c:v>44704</c:v>
                </c:pt>
                <c:pt idx="392">
                  <c:v>44705</c:v>
                </c:pt>
                <c:pt idx="393">
                  <c:v>44706</c:v>
                </c:pt>
                <c:pt idx="394">
                  <c:v>44707</c:v>
                </c:pt>
                <c:pt idx="395">
                  <c:v>44708</c:v>
                </c:pt>
                <c:pt idx="396">
                  <c:v>44712</c:v>
                </c:pt>
                <c:pt idx="397">
                  <c:v>44713</c:v>
                </c:pt>
                <c:pt idx="398">
                  <c:v>44714</c:v>
                </c:pt>
                <c:pt idx="399">
                  <c:v>44715</c:v>
                </c:pt>
                <c:pt idx="400">
                  <c:v>44718</c:v>
                </c:pt>
                <c:pt idx="401">
                  <c:v>44719</c:v>
                </c:pt>
                <c:pt idx="402">
                  <c:v>44720</c:v>
                </c:pt>
                <c:pt idx="403">
                  <c:v>44721</c:v>
                </c:pt>
                <c:pt idx="404">
                  <c:v>44722</c:v>
                </c:pt>
                <c:pt idx="405">
                  <c:v>44725</c:v>
                </c:pt>
                <c:pt idx="406">
                  <c:v>44726</c:v>
                </c:pt>
                <c:pt idx="407">
                  <c:v>44727</c:v>
                </c:pt>
                <c:pt idx="408">
                  <c:v>44728</c:v>
                </c:pt>
                <c:pt idx="409">
                  <c:v>44729</c:v>
                </c:pt>
                <c:pt idx="410">
                  <c:v>44733</c:v>
                </c:pt>
                <c:pt idx="411">
                  <c:v>44734</c:v>
                </c:pt>
                <c:pt idx="412">
                  <c:v>44735</c:v>
                </c:pt>
                <c:pt idx="413">
                  <c:v>44736</c:v>
                </c:pt>
                <c:pt idx="414">
                  <c:v>44739</c:v>
                </c:pt>
                <c:pt idx="415">
                  <c:v>44740</c:v>
                </c:pt>
                <c:pt idx="416">
                  <c:v>44741</c:v>
                </c:pt>
                <c:pt idx="417">
                  <c:v>44742</c:v>
                </c:pt>
                <c:pt idx="418">
                  <c:v>44743</c:v>
                </c:pt>
                <c:pt idx="419">
                  <c:v>44747</c:v>
                </c:pt>
                <c:pt idx="420">
                  <c:v>44748</c:v>
                </c:pt>
                <c:pt idx="421">
                  <c:v>44749</c:v>
                </c:pt>
                <c:pt idx="422">
                  <c:v>44750</c:v>
                </c:pt>
                <c:pt idx="423">
                  <c:v>44753</c:v>
                </c:pt>
                <c:pt idx="424">
                  <c:v>44754</c:v>
                </c:pt>
                <c:pt idx="425">
                  <c:v>44755</c:v>
                </c:pt>
                <c:pt idx="426">
                  <c:v>44756</c:v>
                </c:pt>
                <c:pt idx="427">
                  <c:v>44757</c:v>
                </c:pt>
                <c:pt idx="428">
                  <c:v>44760</c:v>
                </c:pt>
                <c:pt idx="429">
                  <c:v>44761</c:v>
                </c:pt>
                <c:pt idx="430">
                  <c:v>44762</c:v>
                </c:pt>
                <c:pt idx="431">
                  <c:v>44763</c:v>
                </c:pt>
                <c:pt idx="432">
                  <c:v>44764</c:v>
                </c:pt>
                <c:pt idx="433">
                  <c:v>44767</c:v>
                </c:pt>
                <c:pt idx="434">
                  <c:v>44768</c:v>
                </c:pt>
                <c:pt idx="435">
                  <c:v>44769</c:v>
                </c:pt>
                <c:pt idx="436">
                  <c:v>44770</c:v>
                </c:pt>
                <c:pt idx="437">
                  <c:v>44771</c:v>
                </c:pt>
                <c:pt idx="438">
                  <c:v>44774</c:v>
                </c:pt>
                <c:pt idx="439">
                  <c:v>44775</c:v>
                </c:pt>
                <c:pt idx="440">
                  <c:v>44776</c:v>
                </c:pt>
                <c:pt idx="441">
                  <c:v>44777</c:v>
                </c:pt>
                <c:pt idx="442">
                  <c:v>44778</c:v>
                </c:pt>
                <c:pt idx="443">
                  <c:v>44781</c:v>
                </c:pt>
                <c:pt idx="444">
                  <c:v>44782</c:v>
                </c:pt>
                <c:pt idx="445">
                  <c:v>44783</c:v>
                </c:pt>
                <c:pt idx="446">
                  <c:v>44784</c:v>
                </c:pt>
                <c:pt idx="447">
                  <c:v>44785</c:v>
                </c:pt>
                <c:pt idx="448">
                  <c:v>44788</c:v>
                </c:pt>
                <c:pt idx="449">
                  <c:v>44789</c:v>
                </c:pt>
                <c:pt idx="450">
                  <c:v>44790</c:v>
                </c:pt>
                <c:pt idx="451">
                  <c:v>44791</c:v>
                </c:pt>
                <c:pt idx="452">
                  <c:v>44792</c:v>
                </c:pt>
                <c:pt idx="453">
                  <c:v>44795</c:v>
                </c:pt>
                <c:pt idx="454">
                  <c:v>44796</c:v>
                </c:pt>
                <c:pt idx="455">
                  <c:v>44797</c:v>
                </c:pt>
                <c:pt idx="456">
                  <c:v>44798</c:v>
                </c:pt>
                <c:pt idx="457">
                  <c:v>44799</c:v>
                </c:pt>
                <c:pt idx="458">
                  <c:v>44802</c:v>
                </c:pt>
                <c:pt idx="459">
                  <c:v>44803</c:v>
                </c:pt>
                <c:pt idx="460">
                  <c:v>44804</c:v>
                </c:pt>
                <c:pt idx="461">
                  <c:v>44805</c:v>
                </c:pt>
                <c:pt idx="462">
                  <c:v>44806</c:v>
                </c:pt>
                <c:pt idx="463">
                  <c:v>44810</c:v>
                </c:pt>
                <c:pt idx="464">
                  <c:v>44811</c:v>
                </c:pt>
                <c:pt idx="465">
                  <c:v>44812</c:v>
                </c:pt>
                <c:pt idx="466">
                  <c:v>44813</c:v>
                </c:pt>
                <c:pt idx="467">
                  <c:v>44816</c:v>
                </c:pt>
                <c:pt idx="468">
                  <c:v>44817</c:v>
                </c:pt>
                <c:pt idx="469">
                  <c:v>44818</c:v>
                </c:pt>
                <c:pt idx="470">
                  <c:v>44819</c:v>
                </c:pt>
                <c:pt idx="471">
                  <c:v>44820</c:v>
                </c:pt>
                <c:pt idx="472">
                  <c:v>44823</c:v>
                </c:pt>
                <c:pt idx="473">
                  <c:v>44824</c:v>
                </c:pt>
                <c:pt idx="474">
                  <c:v>44825</c:v>
                </c:pt>
                <c:pt idx="475">
                  <c:v>44826</c:v>
                </c:pt>
                <c:pt idx="476">
                  <c:v>44827</c:v>
                </c:pt>
                <c:pt idx="477">
                  <c:v>44830</c:v>
                </c:pt>
                <c:pt idx="478">
                  <c:v>44831</c:v>
                </c:pt>
                <c:pt idx="479">
                  <c:v>44832</c:v>
                </c:pt>
                <c:pt idx="480">
                  <c:v>44833</c:v>
                </c:pt>
                <c:pt idx="481">
                  <c:v>44834</c:v>
                </c:pt>
                <c:pt idx="482">
                  <c:v>44837</c:v>
                </c:pt>
                <c:pt idx="483">
                  <c:v>44838</c:v>
                </c:pt>
                <c:pt idx="484">
                  <c:v>44839</c:v>
                </c:pt>
                <c:pt idx="485">
                  <c:v>44840</c:v>
                </c:pt>
                <c:pt idx="486">
                  <c:v>44841</c:v>
                </c:pt>
                <c:pt idx="487">
                  <c:v>44844</c:v>
                </c:pt>
                <c:pt idx="488">
                  <c:v>44845</c:v>
                </c:pt>
                <c:pt idx="489">
                  <c:v>44846</c:v>
                </c:pt>
                <c:pt idx="490">
                  <c:v>44847</c:v>
                </c:pt>
                <c:pt idx="491">
                  <c:v>44848</c:v>
                </c:pt>
                <c:pt idx="492">
                  <c:v>44851</c:v>
                </c:pt>
                <c:pt idx="493">
                  <c:v>44852</c:v>
                </c:pt>
                <c:pt idx="494">
                  <c:v>44853</c:v>
                </c:pt>
                <c:pt idx="495">
                  <c:v>44854</c:v>
                </c:pt>
                <c:pt idx="496">
                  <c:v>44855</c:v>
                </c:pt>
                <c:pt idx="497">
                  <c:v>44858</c:v>
                </c:pt>
                <c:pt idx="498">
                  <c:v>44859</c:v>
                </c:pt>
                <c:pt idx="499">
                  <c:v>44860</c:v>
                </c:pt>
                <c:pt idx="500">
                  <c:v>44861</c:v>
                </c:pt>
                <c:pt idx="501">
                  <c:v>44862</c:v>
                </c:pt>
                <c:pt idx="502">
                  <c:v>44865</c:v>
                </c:pt>
                <c:pt idx="503">
                  <c:v>44866</c:v>
                </c:pt>
                <c:pt idx="504">
                  <c:v>44867</c:v>
                </c:pt>
                <c:pt idx="505">
                  <c:v>44868</c:v>
                </c:pt>
                <c:pt idx="506">
                  <c:v>44869</c:v>
                </c:pt>
                <c:pt idx="507">
                  <c:v>44872</c:v>
                </c:pt>
                <c:pt idx="508">
                  <c:v>44873</c:v>
                </c:pt>
                <c:pt idx="509">
                  <c:v>44874</c:v>
                </c:pt>
                <c:pt idx="510">
                  <c:v>44875</c:v>
                </c:pt>
                <c:pt idx="511">
                  <c:v>44876</c:v>
                </c:pt>
                <c:pt idx="512">
                  <c:v>44879</c:v>
                </c:pt>
                <c:pt idx="513">
                  <c:v>44880</c:v>
                </c:pt>
                <c:pt idx="514">
                  <c:v>44881</c:v>
                </c:pt>
                <c:pt idx="515">
                  <c:v>44882</c:v>
                </c:pt>
                <c:pt idx="516">
                  <c:v>44883</c:v>
                </c:pt>
                <c:pt idx="517">
                  <c:v>44886</c:v>
                </c:pt>
                <c:pt idx="518">
                  <c:v>44887</c:v>
                </c:pt>
                <c:pt idx="519">
                  <c:v>44888</c:v>
                </c:pt>
                <c:pt idx="520">
                  <c:v>44890</c:v>
                </c:pt>
                <c:pt idx="521">
                  <c:v>44893</c:v>
                </c:pt>
                <c:pt idx="522">
                  <c:v>44894</c:v>
                </c:pt>
                <c:pt idx="523">
                  <c:v>44895</c:v>
                </c:pt>
                <c:pt idx="524">
                  <c:v>44896</c:v>
                </c:pt>
                <c:pt idx="525">
                  <c:v>44897</c:v>
                </c:pt>
                <c:pt idx="526">
                  <c:v>44900</c:v>
                </c:pt>
                <c:pt idx="527">
                  <c:v>44901</c:v>
                </c:pt>
                <c:pt idx="528">
                  <c:v>44902</c:v>
                </c:pt>
                <c:pt idx="529">
                  <c:v>44903</c:v>
                </c:pt>
                <c:pt idx="530">
                  <c:v>44904</c:v>
                </c:pt>
                <c:pt idx="531">
                  <c:v>44907</c:v>
                </c:pt>
                <c:pt idx="532">
                  <c:v>44908</c:v>
                </c:pt>
                <c:pt idx="533">
                  <c:v>44909</c:v>
                </c:pt>
                <c:pt idx="534">
                  <c:v>44910</c:v>
                </c:pt>
                <c:pt idx="535">
                  <c:v>44911</c:v>
                </c:pt>
                <c:pt idx="536">
                  <c:v>44914</c:v>
                </c:pt>
                <c:pt idx="537">
                  <c:v>44915</c:v>
                </c:pt>
                <c:pt idx="538">
                  <c:v>44916</c:v>
                </c:pt>
                <c:pt idx="539">
                  <c:v>44917</c:v>
                </c:pt>
                <c:pt idx="540">
                  <c:v>44918</c:v>
                </c:pt>
                <c:pt idx="541">
                  <c:v>44922</c:v>
                </c:pt>
                <c:pt idx="542">
                  <c:v>44923</c:v>
                </c:pt>
                <c:pt idx="543">
                  <c:v>44924</c:v>
                </c:pt>
                <c:pt idx="544">
                  <c:v>44925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44943</c:v>
                </c:pt>
                <c:pt idx="555">
                  <c:v>44944</c:v>
                </c:pt>
                <c:pt idx="556">
                  <c:v>44945</c:v>
                </c:pt>
                <c:pt idx="557">
                  <c:v>44946</c:v>
                </c:pt>
                <c:pt idx="558">
                  <c:v>44949</c:v>
                </c:pt>
                <c:pt idx="559">
                  <c:v>44950</c:v>
                </c:pt>
                <c:pt idx="560">
                  <c:v>44951</c:v>
                </c:pt>
                <c:pt idx="561">
                  <c:v>44952</c:v>
                </c:pt>
                <c:pt idx="562">
                  <c:v>44953</c:v>
                </c:pt>
                <c:pt idx="563">
                  <c:v>44956</c:v>
                </c:pt>
                <c:pt idx="564">
                  <c:v>44957</c:v>
                </c:pt>
                <c:pt idx="565">
                  <c:v>44958</c:v>
                </c:pt>
                <c:pt idx="566">
                  <c:v>44959</c:v>
                </c:pt>
                <c:pt idx="567">
                  <c:v>44960</c:v>
                </c:pt>
                <c:pt idx="568">
                  <c:v>44963</c:v>
                </c:pt>
                <c:pt idx="569">
                  <c:v>44964</c:v>
                </c:pt>
                <c:pt idx="570">
                  <c:v>44965</c:v>
                </c:pt>
                <c:pt idx="571">
                  <c:v>44966</c:v>
                </c:pt>
                <c:pt idx="572">
                  <c:v>44967</c:v>
                </c:pt>
                <c:pt idx="573">
                  <c:v>44970</c:v>
                </c:pt>
                <c:pt idx="574">
                  <c:v>44971</c:v>
                </c:pt>
                <c:pt idx="575">
                  <c:v>44972</c:v>
                </c:pt>
                <c:pt idx="576">
                  <c:v>44973</c:v>
                </c:pt>
                <c:pt idx="577">
                  <c:v>44974</c:v>
                </c:pt>
                <c:pt idx="578">
                  <c:v>44978</c:v>
                </c:pt>
                <c:pt idx="579">
                  <c:v>44979</c:v>
                </c:pt>
                <c:pt idx="580">
                  <c:v>44980</c:v>
                </c:pt>
                <c:pt idx="581">
                  <c:v>44981</c:v>
                </c:pt>
                <c:pt idx="582">
                  <c:v>44984</c:v>
                </c:pt>
                <c:pt idx="583">
                  <c:v>44985</c:v>
                </c:pt>
                <c:pt idx="584">
                  <c:v>44986</c:v>
                </c:pt>
                <c:pt idx="585">
                  <c:v>44987</c:v>
                </c:pt>
                <c:pt idx="586">
                  <c:v>44988</c:v>
                </c:pt>
                <c:pt idx="587">
                  <c:v>44991</c:v>
                </c:pt>
                <c:pt idx="588">
                  <c:v>44992</c:v>
                </c:pt>
                <c:pt idx="589">
                  <c:v>44993</c:v>
                </c:pt>
                <c:pt idx="590">
                  <c:v>44994</c:v>
                </c:pt>
                <c:pt idx="591">
                  <c:v>44995</c:v>
                </c:pt>
                <c:pt idx="592">
                  <c:v>44998</c:v>
                </c:pt>
                <c:pt idx="593">
                  <c:v>44999</c:v>
                </c:pt>
                <c:pt idx="594">
                  <c:v>45000</c:v>
                </c:pt>
                <c:pt idx="595">
                  <c:v>45001</c:v>
                </c:pt>
                <c:pt idx="596">
                  <c:v>45002</c:v>
                </c:pt>
                <c:pt idx="597">
                  <c:v>45005</c:v>
                </c:pt>
                <c:pt idx="598">
                  <c:v>45006</c:v>
                </c:pt>
                <c:pt idx="599">
                  <c:v>45007</c:v>
                </c:pt>
                <c:pt idx="600">
                  <c:v>45008</c:v>
                </c:pt>
                <c:pt idx="601">
                  <c:v>45009</c:v>
                </c:pt>
                <c:pt idx="602">
                  <c:v>45012</c:v>
                </c:pt>
                <c:pt idx="603">
                  <c:v>45013</c:v>
                </c:pt>
                <c:pt idx="604">
                  <c:v>45014</c:v>
                </c:pt>
                <c:pt idx="605">
                  <c:v>45015</c:v>
                </c:pt>
                <c:pt idx="606">
                  <c:v>45016</c:v>
                </c:pt>
                <c:pt idx="607">
                  <c:v>45019</c:v>
                </c:pt>
                <c:pt idx="608">
                  <c:v>45020</c:v>
                </c:pt>
                <c:pt idx="609">
                  <c:v>45021</c:v>
                </c:pt>
                <c:pt idx="610">
                  <c:v>45022</c:v>
                </c:pt>
                <c:pt idx="611">
                  <c:v>45026</c:v>
                </c:pt>
                <c:pt idx="612">
                  <c:v>45027</c:v>
                </c:pt>
                <c:pt idx="613">
                  <c:v>45028</c:v>
                </c:pt>
                <c:pt idx="614">
                  <c:v>45029</c:v>
                </c:pt>
                <c:pt idx="615">
                  <c:v>45030</c:v>
                </c:pt>
                <c:pt idx="616">
                  <c:v>45033</c:v>
                </c:pt>
                <c:pt idx="617">
                  <c:v>45034</c:v>
                </c:pt>
                <c:pt idx="618">
                  <c:v>45035</c:v>
                </c:pt>
                <c:pt idx="619">
                  <c:v>45036</c:v>
                </c:pt>
                <c:pt idx="620">
                  <c:v>45037</c:v>
                </c:pt>
                <c:pt idx="621">
                  <c:v>45040</c:v>
                </c:pt>
                <c:pt idx="622">
                  <c:v>45041</c:v>
                </c:pt>
                <c:pt idx="623">
                  <c:v>45042</c:v>
                </c:pt>
                <c:pt idx="624">
                  <c:v>45043</c:v>
                </c:pt>
                <c:pt idx="625">
                  <c:v>45044</c:v>
                </c:pt>
                <c:pt idx="626">
                  <c:v>45047</c:v>
                </c:pt>
                <c:pt idx="627">
                  <c:v>45048</c:v>
                </c:pt>
                <c:pt idx="628">
                  <c:v>45049</c:v>
                </c:pt>
                <c:pt idx="629">
                  <c:v>45050</c:v>
                </c:pt>
                <c:pt idx="630">
                  <c:v>45051</c:v>
                </c:pt>
                <c:pt idx="631">
                  <c:v>45054</c:v>
                </c:pt>
                <c:pt idx="632">
                  <c:v>45055</c:v>
                </c:pt>
                <c:pt idx="633">
                  <c:v>45056</c:v>
                </c:pt>
                <c:pt idx="634">
                  <c:v>45057</c:v>
                </c:pt>
                <c:pt idx="635">
                  <c:v>45058</c:v>
                </c:pt>
                <c:pt idx="636">
                  <c:v>45061</c:v>
                </c:pt>
                <c:pt idx="637">
                  <c:v>45062</c:v>
                </c:pt>
                <c:pt idx="638">
                  <c:v>45063</c:v>
                </c:pt>
                <c:pt idx="639">
                  <c:v>45064</c:v>
                </c:pt>
                <c:pt idx="640">
                  <c:v>45065</c:v>
                </c:pt>
                <c:pt idx="641">
                  <c:v>45068</c:v>
                </c:pt>
                <c:pt idx="642">
                  <c:v>45069</c:v>
                </c:pt>
                <c:pt idx="643">
                  <c:v>45070</c:v>
                </c:pt>
                <c:pt idx="644">
                  <c:v>45071</c:v>
                </c:pt>
                <c:pt idx="645">
                  <c:v>45072</c:v>
                </c:pt>
                <c:pt idx="646">
                  <c:v>45076</c:v>
                </c:pt>
                <c:pt idx="647">
                  <c:v>45077</c:v>
                </c:pt>
                <c:pt idx="648">
                  <c:v>45078</c:v>
                </c:pt>
                <c:pt idx="649">
                  <c:v>45079</c:v>
                </c:pt>
                <c:pt idx="650">
                  <c:v>45082</c:v>
                </c:pt>
                <c:pt idx="651">
                  <c:v>45083</c:v>
                </c:pt>
                <c:pt idx="652">
                  <c:v>45084</c:v>
                </c:pt>
                <c:pt idx="653">
                  <c:v>45085</c:v>
                </c:pt>
                <c:pt idx="654">
                  <c:v>45086</c:v>
                </c:pt>
                <c:pt idx="655">
                  <c:v>45089</c:v>
                </c:pt>
                <c:pt idx="656">
                  <c:v>45090</c:v>
                </c:pt>
                <c:pt idx="657">
                  <c:v>45091</c:v>
                </c:pt>
                <c:pt idx="658">
                  <c:v>45092</c:v>
                </c:pt>
                <c:pt idx="659">
                  <c:v>45093</c:v>
                </c:pt>
                <c:pt idx="660">
                  <c:v>45097</c:v>
                </c:pt>
                <c:pt idx="661">
                  <c:v>45098</c:v>
                </c:pt>
                <c:pt idx="662">
                  <c:v>45099</c:v>
                </c:pt>
                <c:pt idx="663">
                  <c:v>45100</c:v>
                </c:pt>
                <c:pt idx="664">
                  <c:v>45103</c:v>
                </c:pt>
                <c:pt idx="665">
                  <c:v>45104</c:v>
                </c:pt>
                <c:pt idx="666">
                  <c:v>45105</c:v>
                </c:pt>
                <c:pt idx="667">
                  <c:v>45106</c:v>
                </c:pt>
                <c:pt idx="668">
                  <c:v>45107</c:v>
                </c:pt>
                <c:pt idx="669">
                  <c:v>45110</c:v>
                </c:pt>
                <c:pt idx="670">
                  <c:v>45112</c:v>
                </c:pt>
                <c:pt idx="671">
                  <c:v>45113</c:v>
                </c:pt>
                <c:pt idx="672">
                  <c:v>45114</c:v>
                </c:pt>
                <c:pt idx="673">
                  <c:v>45117</c:v>
                </c:pt>
                <c:pt idx="674">
                  <c:v>45118</c:v>
                </c:pt>
                <c:pt idx="675">
                  <c:v>45119</c:v>
                </c:pt>
                <c:pt idx="676">
                  <c:v>45120</c:v>
                </c:pt>
                <c:pt idx="677">
                  <c:v>45121</c:v>
                </c:pt>
                <c:pt idx="678">
                  <c:v>45124</c:v>
                </c:pt>
                <c:pt idx="679">
                  <c:v>45125</c:v>
                </c:pt>
                <c:pt idx="680">
                  <c:v>45126</c:v>
                </c:pt>
                <c:pt idx="681">
                  <c:v>45127</c:v>
                </c:pt>
                <c:pt idx="682">
                  <c:v>45128</c:v>
                </c:pt>
                <c:pt idx="683">
                  <c:v>45131</c:v>
                </c:pt>
                <c:pt idx="684">
                  <c:v>45132</c:v>
                </c:pt>
                <c:pt idx="685">
                  <c:v>45133</c:v>
                </c:pt>
                <c:pt idx="686">
                  <c:v>45134</c:v>
                </c:pt>
                <c:pt idx="687">
                  <c:v>45135</c:v>
                </c:pt>
                <c:pt idx="688">
                  <c:v>45138</c:v>
                </c:pt>
                <c:pt idx="689">
                  <c:v>45139</c:v>
                </c:pt>
                <c:pt idx="690">
                  <c:v>45140</c:v>
                </c:pt>
                <c:pt idx="691">
                  <c:v>45141</c:v>
                </c:pt>
                <c:pt idx="692">
                  <c:v>45142</c:v>
                </c:pt>
                <c:pt idx="693">
                  <c:v>45145</c:v>
                </c:pt>
                <c:pt idx="694">
                  <c:v>45146</c:v>
                </c:pt>
                <c:pt idx="695">
                  <c:v>45147</c:v>
                </c:pt>
                <c:pt idx="696">
                  <c:v>45148</c:v>
                </c:pt>
                <c:pt idx="697">
                  <c:v>45149</c:v>
                </c:pt>
                <c:pt idx="698">
                  <c:v>45152</c:v>
                </c:pt>
                <c:pt idx="699">
                  <c:v>45153</c:v>
                </c:pt>
                <c:pt idx="700">
                  <c:v>45154</c:v>
                </c:pt>
                <c:pt idx="701">
                  <c:v>45155</c:v>
                </c:pt>
                <c:pt idx="702">
                  <c:v>45156</c:v>
                </c:pt>
                <c:pt idx="703">
                  <c:v>45159</c:v>
                </c:pt>
                <c:pt idx="704">
                  <c:v>45160</c:v>
                </c:pt>
                <c:pt idx="705">
                  <c:v>45161</c:v>
                </c:pt>
                <c:pt idx="706">
                  <c:v>45162</c:v>
                </c:pt>
                <c:pt idx="707">
                  <c:v>45163</c:v>
                </c:pt>
                <c:pt idx="708">
                  <c:v>45166</c:v>
                </c:pt>
                <c:pt idx="709">
                  <c:v>45167</c:v>
                </c:pt>
                <c:pt idx="710">
                  <c:v>45168</c:v>
                </c:pt>
                <c:pt idx="711">
                  <c:v>45169</c:v>
                </c:pt>
                <c:pt idx="712">
                  <c:v>45170</c:v>
                </c:pt>
                <c:pt idx="713">
                  <c:v>45174</c:v>
                </c:pt>
                <c:pt idx="714">
                  <c:v>45175</c:v>
                </c:pt>
                <c:pt idx="715">
                  <c:v>45176</c:v>
                </c:pt>
                <c:pt idx="716">
                  <c:v>45177</c:v>
                </c:pt>
                <c:pt idx="717">
                  <c:v>45180</c:v>
                </c:pt>
                <c:pt idx="718">
                  <c:v>45181</c:v>
                </c:pt>
                <c:pt idx="719">
                  <c:v>45182</c:v>
                </c:pt>
                <c:pt idx="720">
                  <c:v>45183</c:v>
                </c:pt>
                <c:pt idx="721">
                  <c:v>45184</c:v>
                </c:pt>
                <c:pt idx="722">
                  <c:v>45187</c:v>
                </c:pt>
                <c:pt idx="723">
                  <c:v>45188</c:v>
                </c:pt>
                <c:pt idx="724">
                  <c:v>45189</c:v>
                </c:pt>
                <c:pt idx="725">
                  <c:v>45190</c:v>
                </c:pt>
                <c:pt idx="726">
                  <c:v>45191</c:v>
                </c:pt>
                <c:pt idx="727">
                  <c:v>45194</c:v>
                </c:pt>
                <c:pt idx="728">
                  <c:v>45195</c:v>
                </c:pt>
                <c:pt idx="729">
                  <c:v>45196</c:v>
                </c:pt>
                <c:pt idx="730">
                  <c:v>45197</c:v>
                </c:pt>
                <c:pt idx="731">
                  <c:v>45198</c:v>
                </c:pt>
                <c:pt idx="732">
                  <c:v>45201</c:v>
                </c:pt>
                <c:pt idx="733">
                  <c:v>45202</c:v>
                </c:pt>
                <c:pt idx="734">
                  <c:v>45203</c:v>
                </c:pt>
                <c:pt idx="735">
                  <c:v>45204</c:v>
                </c:pt>
                <c:pt idx="736">
                  <c:v>45205</c:v>
                </c:pt>
                <c:pt idx="737">
                  <c:v>45208</c:v>
                </c:pt>
                <c:pt idx="738">
                  <c:v>45209</c:v>
                </c:pt>
                <c:pt idx="739">
                  <c:v>45210</c:v>
                </c:pt>
                <c:pt idx="740">
                  <c:v>45211</c:v>
                </c:pt>
                <c:pt idx="741">
                  <c:v>45212</c:v>
                </c:pt>
                <c:pt idx="742">
                  <c:v>45215</c:v>
                </c:pt>
                <c:pt idx="743">
                  <c:v>45216</c:v>
                </c:pt>
                <c:pt idx="744">
                  <c:v>45217</c:v>
                </c:pt>
                <c:pt idx="745">
                  <c:v>45218</c:v>
                </c:pt>
                <c:pt idx="746">
                  <c:v>45219</c:v>
                </c:pt>
                <c:pt idx="747">
                  <c:v>45222</c:v>
                </c:pt>
                <c:pt idx="748">
                  <c:v>45223</c:v>
                </c:pt>
                <c:pt idx="749">
                  <c:v>45224</c:v>
                </c:pt>
                <c:pt idx="750">
                  <c:v>45225</c:v>
                </c:pt>
                <c:pt idx="751">
                  <c:v>45226</c:v>
                </c:pt>
                <c:pt idx="752">
                  <c:v>45229</c:v>
                </c:pt>
                <c:pt idx="753">
                  <c:v>45230</c:v>
                </c:pt>
                <c:pt idx="754">
                  <c:v>45231</c:v>
                </c:pt>
                <c:pt idx="755">
                  <c:v>45232</c:v>
                </c:pt>
                <c:pt idx="756">
                  <c:v>45233</c:v>
                </c:pt>
                <c:pt idx="757">
                  <c:v>45236</c:v>
                </c:pt>
                <c:pt idx="758">
                  <c:v>45237</c:v>
                </c:pt>
                <c:pt idx="759">
                  <c:v>45238</c:v>
                </c:pt>
                <c:pt idx="760">
                  <c:v>45239</c:v>
                </c:pt>
                <c:pt idx="761">
                  <c:v>45240</c:v>
                </c:pt>
                <c:pt idx="762">
                  <c:v>45243</c:v>
                </c:pt>
                <c:pt idx="763">
                  <c:v>45244</c:v>
                </c:pt>
                <c:pt idx="764">
                  <c:v>45245</c:v>
                </c:pt>
                <c:pt idx="765">
                  <c:v>45246</c:v>
                </c:pt>
                <c:pt idx="766">
                  <c:v>45247</c:v>
                </c:pt>
                <c:pt idx="767">
                  <c:v>45250</c:v>
                </c:pt>
                <c:pt idx="768">
                  <c:v>45251</c:v>
                </c:pt>
                <c:pt idx="769">
                  <c:v>45252</c:v>
                </c:pt>
                <c:pt idx="770">
                  <c:v>45254</c:v>
                </c:pt>
                <c:pt idx="771">
                  <c:v>45257</c:v>
                </c:pt>
                <c:pt idx="772">
                  <c:v>45258</c:v>
                </c:pt>
                <c:pt idx="773">
                  <c:v>45259</c:v>
                </c:pt>
                <c:pt idx="774">
                  <c:v>45260</c:v>
                </c:pt>
                <c:pt idx="775">
                  <c:v>45261</c:v>
                </c:pt>
                <c:pt idx="776">
                  <c:v>45264</c:v>
                </c:pt>
                <c:pt idx="777">
                  <c:v>45265</c:v>
                </c:pt>
                <c:pt idx="778">
                  <c:v>45266</c:v>
                </c:pt>
                <c:pt idx="779">
                  <c:v>45267</c:v>
                </c:pt>
                <c:pt idx="780">
                  <c:v>45268</c:v>
                </c:pt>
                <c:pt idx="781">
                  <c:v>45271</c:v>
                </c:pt>
                <c:pt idx="782">
                  <c:v>45272</c:v>
                </c:pt>
                <c:pt idx="783">
                  <c:v>45273</c:v>
                </c:pt>
                <c:pt idx="784">
                  <c:v>45274</c:v>
                </c:pt>
                <c:pt idx="785">
                  <c:v>45275</c:v>
                </c:pt>
                <c:pt idx="786">
                  <c:v>45278</c:v>
                </c:pt>
                <c:pt idx="787">
                  <c:v>45279</c:v>
                </c:pt>
                <c:pt idx="788">
                  <c:v>45280</c:v>
                </c:pt>
                <c:pt idx="789">
                  <c:v>45281</c:v>
                </c:pt>
                <c:pt idx="790">
                  <c:v>45282</c:v>
                </c:pt>
                <c:pt idx="791">
                  <c:v>45286</c:v>
                </c:pt>
                <c:pt idx="792">
                  <c:v>45287</c:v>
                </c:pt>
                <c:pt idx="793">
                  <c:v>45288</c:v>
                </c:pt>
                <c:pt idx="794">
                  <c:v>45289</c:v>
                </c:pt>
                <c:pt idx="795">
                  <c:v>45293</c:v>
                </c:pt>
                <c:pt idx="796">
                  <c:v>45294</c:v>
                </c:pt>
                <c:pt idx="797">
                  <c:v>45295</c:v>
                </c:pt>
                <c:pt idx="798">
                  <c:v>45296</c:v>
                </c:pt>
                <c:pt idx="799">
                  <c:v>45299</c:v>
                </c:pt>
                <c:pt idx="800">
                  <c:v>45300</c:v>
                </c:pt>
                <c:pt idx="801">
                  <c:v>45301</c:v>
                </c:pt>
                <c:pt idx="802">
                  <c:v>45302</c:v>
                </c:pt>
                <c:pt idx="803">
                  <c:v>45303</c:v>
                </c:pt>
                <c:pt idx="804">
                  <c:v>45307</c:v>
                </c:pt>
                <c:pt idx="805">
                  <c:v>45308</c:v>
                </c:pt>
                <c:pt idx="806">
                  <c:v>45309</c:v>
                </c:pt>
                <c:pt idx="807">
                  <c:v>45310</c:v>
                </c:pt>
                <c:pt idx="808">
                  <c:v>45313</c:v>
                </c:pt>
                <c:pt idx="809">
                  <c:v>45314</c:v>
                </c:pt>
                <c:pt idx="810">
                  <c:v>45315</c:v>
                </c:pt>
                <c:pt idx="811">
                  <c:v>45316</c:v>
                </c:pt>
                <c:pt idx="812">
                  <c:v>45317</c:v>
                </c:pt>
                <c:pt idx="813">
                  <c:v>45320</c:v>
                </c:pt>
                <c:pt idx="814">
                  <c:v>45321</c:v>
                </c:pt>
                <c:pt idx="815">
                  <c:v>45322</c:v>
                </c:pt>
                <c:pt idx="816">
                  <c:v>45323</c:v>
                </c:pt>
                <c:pt idx="817">
                  <c:v>45324</c:v>
                </c:pt>
                <c:pt idx="818">
                  <c:v>45327</c:v>
                </c:pt>
                <c:pt idx="819">
                  <c:v>45328</c:v>
                </c:pt>
                <c:pt idx="820">
                  <c:v>45329</c:v>
                </c:pt>
                <c:pt idx="821">
                  <c:v>45330</c:v>
                </c:pt>
                <c:pt idx="822">
                  <c:v>45331</c:v>
                </c:pt>
                <c:pt idx="823">
                  <c:v>45334</c:v>
                </c:pt>
                <c:pt idx="824">
                  <c:v>45335</c:v>
                </c:pt>
                <c:pt idx="825">
                  <c:v>45336</c:v>
                </c:pt>
                <c:pt idx="826">
                  <c:v>45337</c:v>
                </c:pt>
                <c:pt idx="827">
                  <c:v>45338</c:v>
                </c:pt>
                <c:pt idx="828">
                  <c:v>45342</c:v>
                </c:pt>
                <c:pt idx="829">
                  <c:v>45343</c:v>
                </c:pt>
                <c:pt idx="830">
                  <c:v>45344</c:v>
                </c:pt>
                <c:pt idx="831">
                  <c:v>45345</c:v>
                </c:pt>
                <c:pt idx="832">
                  <c:v>45348</c:v>
                </c:pt>
                <c:pt idx="833">
                  <c:v>45349</c:v>
                </c:pt>
                <c:pt idx="834">
                  <c:v>45350</c:v>
                </c:pt>
                <c:pt idx="835">
                  <c:v>45351</c:v>
                </c:pt>
                <c:pt idx="836">
                  <c:v>45352</c:v>
                </c:pt>
                <c:pt idx="837">
                  <c:v>45355</c:v>
                </c:pt>
                <c:pt idx="838">
                  <c:v>45356</c:v>
                </c:pt>
                <c:pt idx="839">
                  <c:v>45357</c:v>
                </c:pt>
                <c:pt idx="840">
                  <c:v>45358</c:v>
                </c:pt>
                <c:pt idx="841">
                  <c:v>45359</c:v>
                </c:pt>
                <c:pt idx="842">
                  <c:v>45362</c:v>
                </c:pt>
                <c:pt idx="843">
                  <c:v>45363</c:v>
                </c:pt>
                <c:pt idx="844">
                  <c:v>45364</c:v>
                </c:pt>
                <c:pt idx="845">
                  <c:v>45365</c:v>
                </c:pt>
                <c:pt idx="846">
                  <c:v>45366</c:v>
                </c:pt>
                <c:pt idx="847">
                  <c:v>45369</c:v>
                </c:pt>
                <c:pt idx="848">
                  <c:v>45370</c:v>
                </c:pt>
                <c:pt idx="849">
                  <c:v>45371</c:v>
                </c:pt>
                <c:pt idx="850">
                  <c:v>45372</c:v>
                </c:pt>
                <c:pt idx="851">
                  <c:v>45373</c:v>
                </c:pt>
                <c:pt idx="852">
                  <c:v>45376</c:v>
                </c:pt>
                <c:pt idx="853">
                  <c:v>45377</c:v>
                </c:pt>
                <c:pt idx="854">
                  <c:v>45378</c:v>
                </c:pt>
                <c:pt idx="855">
                  <c:v>45379</c:v>
                </c:pt>
                <c:pt idx="856">
                  <c:v>45383</c:v>
                </c:pt>
                <c:pt idx="857">
                  <c:v>45384</c:v>
                </c:pt>
                <c:pt idx="858">
                  <c:v>45385</c:v>
                </c:pt>
                <c:pt idx="859">
                  <c:v>45386</c:v>
                </c:pt>
                <c:pt idx="860">
                  <c:v>45387</c:v>
                </c:pt>
                <c:pt idx="861">
                  <c:v>45390</c:v>
                </c:pt>
                <c:pt idx="862">
                  <c:v>45391</c:v>
                </c:pt>
                <c:pt idx="863">
                  <c:v>45392</c:v>
                </c:pt>
                <c:pt idx="864">
                  <c:v>45393</c:v>
                </c:pt>
                <c:pt idx="865">
                  <c:v>45394</c:v>
                </c:pt>
                <c:pt idx="866">
                  <c:v>45397</c:v>
                </c:pt>
                <c:pt idx="867">
                  <c:v>45398</c:v>
                </c:pt>
                <c:pt idx="868">
                  <c:v>45399</c:v>
                </c:pt>
                <c:pt idx="869">
                  <c:v>45400</c:v>
                </c:pt>
                <c:pt idx="870">
                  <c:v>45401</c:v>
                </c:pt>
                <c:pt idx="871">
                  <c:v>45404</c:v>
                </c:pt>
                <c:pt idx="872">
                  <c:v>45405</c:v>
                </c:pt>
                <c:pt idx="873">
                  <c:v>45406</c:v>
                </c:pt>
                <c:pt idx="874">
                  <c:v>45407</c:v>
                </c:pt>
                <c:pt idx="875">
                  <c:v>45408</c:v>
                </c:pt>
                <c:pt idx="876">
                  <c:v>45411</c:v>
                </c:pt>
                <c:pt idx="877">
                  <c:v>45412</c:v>
                </c:pt>
                <c:pt idx="878">
                  <c:v>45413</c:v>
                </c:pt>
                <c:pt idx="879">
                  <c:v>45414</c:v>
                </c:pt>
                <c:pt idx="880">
                  <c:v>45415</c:v>
                </c:pt>
                <c:pt idx="881">
                  <c:v>45418</c:v>
                </c:pt>
                <c:pt idx="882">
                  <c:v>45419</c:v>
                </c:pt>
                <c:pt idx="883">
                  <c:v>45420</c:v>
                </c:pt>
                <c:pt idx="884">
                  <c:v>45421</c:v>
                </c:pt>
                <c:pt idx="885">
                  <c:v>45422</c:v>
                </c:pt>
                <c:pt idx="886">
                  <c:v>45425</c:v>
                </c:pt>
                <c:pt idx="887">
                  <c:v>45426</c:v>
                </c:pt>
                <c:pt idx="888">
                  <c:v>45427</c:v>
                </c:pt>
                <c:pt idx="889">
                  <c:v>45428</c:v>
                </c:pt>
                <c:pt idx="890">
                  <c:v>45429</c:v>
                </c:pt>
                <c:pt idx="891">
                  <c:v>45432</c:v>
                </c:pt>
                <c:pt idx="892">
                  <c:v>45433</c:v>
                </c:pt>
                <c:pt idx="893">
                  <c:v>45434</c:v>
                </c:pt>
                <c:pt idx="894">
                  <c:v>45435</c:v>
                </c:pt>
                <c:pt idx="895">
                  <c:v>45436</c:v>
                </c:pt>
                <c:pt idx="896">
                  <c:v>45440</c:v>
                </c:pt>
                <c:pt idx="897">
                  <c:v>45441</c:v>
                </c:pt>
                <c:pt idx="898">
                  <c:v>45442</c:v>
                </c:pt>
                <c:pt idx="899">
                  <c:v>45443</c:v>
                </c:pt>
                <c:pt idx="900">
                  <c:v>45446</c:v>
                </c:pt>
                <c:pt idx="901">
                  <c:v>45447</c:v>
                </c:pt>
                <c:pt idx="902">
                  <c:v>45448</c:v>
                </c:pt>
                <c:pt idx="903">
                  <c:v>45449</c:v>
                </c:pt>
                <c:pt idx="904">
                  <c:v>45450</c:v>
                </c:pt>
                <c:pt idx="905">
                  <c:v>45453</c:v>
                </c:pt>
                <c:pt idx="906">
                  <c:v>45454</c:v>
                </c:pt>
                <c:pt idx="907">
                  <c:v>45455</c:v>
                </c:pt>
                <c:pt idx="908">
                  <c:v>45456</c:v>
                </c:pt>
                <c:pt idx="909">
                  <c:v>45457</c:v>
                </c:pt>
                <c:pt idx="910">
                  <c:v>45460</c:v>
                </c:pt>
                <c:pt idx="911">
                  <c:v>45461</c:v>
                </c:pt>
                <c:pt idx="912">
                  <c:v>45463</c:v>
                </c:pt>
                <c:pt idx="913">
                  <c:v>45464</c:v>
                </c:pt>
                <c:pt idx="914">
                  <c:v>45467</c:v>
                </c:pt>
                <c:pt idx="915">
                  <c:v>45468</c:v>
                </c:pt>
                <c:pt idx="916">
                  <c:v>45469</c:v>
                </c:pt>
                <c:pt idx="917">
                  <c:v>45470</c:v>
                </c:pt>
                <c:pt idx="918">
                  <c:v>45471</c:v>
                </c:pt>
                <c:pt idx="919">
                  <c:v>45474</c:v>
                </c:pt>
                <c:pt idx="920">
                  <c:v>45475</c:v>
                </c:pt>
                <c:pt idx="921">
                  <c:v>45476</c:v>
                </c:pt>
                <c:pt idx="922">
                  <c:v>45478</c:v>
                </c:pt>
                <c:pt idx="923">
                  <c:v>45481</c:v>
                </c:pt>
                <c:pt idx="924">
                  <c:v>45482</c:v>
                </c:pt>
                <c:pt idx="925">
                  <c:v>45483</c:v>
                </c:pt>
                <c:pt idx="926">
                  <c:v>45484</c:v>
                </c:pt>
                <c:pt idx="927">
                  <c:v>45485</c:v>
                </c:pt>
                <c:pt idx="928">
                  <c:v>45488</c:v>
                </c:pt>
                <c:pt idx="929">
                  <c:v>45489</c:v>
                </c:pt>
                <c:pt idx="930">
                  <c:v>45490</c:v>
                </c:pt>
                <c:pt idx="931">
                  <c:v>45491</c:v>
                </c:pt>
                <c:pt idx="932">
                  <c:v>45492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45502</c:v>
                </c:pt>
                <c:pt idx="939">
                  <c:v>45503</c:v>
                </c:pt>
                <c:pt idx="940">
                  <c:v>45504</c:v>
                </c:pt>
                <c:pt idx="941">
                  <c:v>45505</c:v>
                </c:pt>
                <c:pt idx="942">
                  <c:v>45506</c:v>
                </c:pt>
                <c:pt idx="943">
                  <c:v>45509</c:v>
                </c:pt>
                <c:pt idx="944">
                  <c:v>45510</c:v>
                </c:pt>
                <c:pt idx="945">
                  <c:v>45511</c:v>
                </c:pt>
                <c:pt idx="946">
                  <c:v>45512</c:v>
                </c:pt>
                <c:pt idx="947">
                  <c:v>45513</c:v>
                </c:pt>
                <c:pt idx="948">
                  <c:v>45516</c:v>
                </c:pt>
                <c:pt idx="949">
                  <c:v>45517</c:v>
                </c:pt>
                <c:pt idx="950">
                  <c:v>45518</c:v>
                </c:pt>
                <c:pt idx="951">
                  <c:v>45519</c:v>
                </c:pt>
                <c:pt idx="952">
                  <c:v>45520</c:v>
                </c:pt>
                <c:pt idx="953">
                  <c:v>45523</c:v>
                </c:pt>
                <c:pt idx="954">
                  <c:v>45524</c:v>
                </c:pt>
                <c:pt idx="955">
                  <c:v>45525</c:v>
                </c:pt>
                <c:pt idx="956">
                  <c:v>45526</c:v>
                </c:pt>
                <c:pt idx="957">
                  <c:v>45527</c:v>
                </c:pt>
                <c:pt idx="958">
                  <c:v>45530</c:v>
                </c:pt>
                <c:pt idx="959">
                  <c:v>45531</c:v>
                </c:pt>
                <c:pt idx="960">
                  <c:v>45532</c:v>
                </c:pt>
                <c:pt idx="961">
                  <c:v>45533</c:v>
                </c:pt>
                <c:pt idx="962">
                  <c:v>45534</c:v>
                </c:pt>
                <c:pt idx="963">
                  <c:v>45538</c:v>
                </c:pt>
                <c:pt idx="964">
                  <c:v>45539</c:v>
                </c:pt>
                <c:pt idx="965">
                  <c:v>45540</c:v>
                </c:pt>
                <c:pt idx="966">
                  <c:v>45541</c:v>
                </c:pt>
                <c:pt idx="967">
                  <c:v>45544</c:v>
                </c:pt>
                <c:pt idx="968">
                  <c:v>45545</c:v>
                </c:pt>
                <c:pt idx="969">
                  <c:v>45546</c:v>
                </c:pt>
                <c:pt idx="970">
                  <c:v>45547</c:v>
                </c:pt>
                <c:pt idx="971">
                  <c:v>45548</c:v>
                </c:pt>
                <c:pt idx="972">
                  <c:v>45551</c:v>
                </c:pt>
                <c:pt idx="973">
                  <c:v>45552</c:v>
                </c:pt>
                <c:pt idx="974">
                  <c:v>45553</c:v>
                </c:pt>
                <c:pt idx="975">
                  <c:v>45554</c:v>
                </c:pt>
                <c:pt idx="976">
                  <c:v>45555</c:v>
                </c:pt>
                <c:pt idx="977">
                  <c:v>45558</c:v>
                </c:pt>
                <c:pt idx="978">
                  <c:v>45559</c:v>
                </c:pt>
                <c:pt idx="979">
                  <c:v>45560</c:v>
                </c:pt>
                <c:pt idx="980">
                  <c:v>45561</c:v>
                </c:pt>
                <c:pt idx="981">
                  <c:v>45562</c:v>
                </c:pt>
                <c:pt idx="982">
                  <c:v>45565</c:v>
                </c:pt>
                <c:pt idx="983">
                  <c:v>45566</c:v>
                </c:pt>
                <c:pt idx="984">
                  <c:v>45567</c:v>
                </c:pt>
                <c:pt idx="985">
                  <c:v>45568</c:v>
                </c:pt>
                <c:pt idx="986">
                  <c:v>45569</c:v>
                </c:pt>
                <c:pt idx="987">
                  <c:v>45572</c:v>
                </c:pt>
                <c:pt idx="988">
                  <c:v>45573</c:v>
                </c:pt>
                <c:pt idx="989">
                  <c:v>45574</c:v>
                </c:pt>
                <c:pt idx="990">
                  <c:v>45575</c:v>
                </c:pt>
                <c:pt idx="991">
                  <c:v>45576</c:v>
                </c:pt>
                <c:pt idx="992">
                  <c:v>45579</c:v>
                </c:pt>
                <c:pt idx="993">
                  <c:v>45580</c:v>
                </c:pt>
                <c:pt idx="994">
                  <c:v>45581</c:v>
                </c:pt>
                <c:pt idx="995">
                  <c:v>45582</c:v>
                </c:pt>
                <c:pt idx="996">
                  <c:v>45583</c:v>
                </c:pt>
                <c:pt idx="997">
                  <c:v>45586</c:v>
                </c:pt>
                <c:pt idx="998">
                  <c:v>45587</c:v>
                </c:pt>
                <c:pt idx="999">
                  <c:v>45588</c:v>
                </c:pt>
                <c:pt idx="1000">
                  <c:v>45589</c:v>
                </c:pt>
                <c:pt idx="1001">
                  <c:v>45590</c:v>
                </c:pt>
                <c:pt idx="1002">
                  <c:v>45593</c:v>
                </c:pt>
                <c:pt idx="1003">
                  <c:v>45594</c:v>
                </c:pt>
                <c:pt idx="1004">
                  <c:v>45595</c:v>
                </c:pt>
                <c:pt idx="1005">
                  <c:v>45596</c:v>
                </c:pt>
                <c:pt idx="1006">
                  <c:v>45597</c:v>
                </c:pt>
                <c:pt idx="1007">
                  <c:v>45600</c:v>
                </c:pt>
                <c:pt idx="1008">
                  <c:v>45601</c:v>
                </c:pt>
                <c:pt idx="1009">
                  <c:v>45602</c:v>
                </c:pt>
                <c:pt idx="1010">
                  <c:v>45603</c:v>
                </c:pt>
                <c:pt idx="1011">
                  <c:v>45604</c:v>
                </c:pt>
                <c:pt idx="1012">
                  <c:v>45607</c:v>
                </c:pt>
                <c:pt idx="1013">
                  <c:v>45608</c:v>
                </c:pt>
                <c:pt idx="1014">
                  <c:v>45609</c:v>
                </c:pt>
                <c:pt idx="1015">
                  <c:v>45610</c:v>
                </c:pt>
                <c:pt idx="1016">
                  <c:v>45611</c:v>
                </c:pt>
                <c:pt idx="1017">
                  <c:v>45614</c:v>
                </c:pt>
                <c:pt idx="1018">
                  <c:v>45615</c:v>
                </c:pt>
                <c:pt idx="1019">
                  <c:v>45616</c:v>
                </c:pt>
                <c:pt idx="1020">
                  <c:v>45617</c:v>
                </c:pt>
                <c:pt idx="1021">
                  <c:v>45618</c:v>
                </c:pt>
                <c:pt idx="1022">
                  <c:v>45621</c:v>
                </c:pt>
                <c:pt idx="1023">
                  <c:v>45622</c:v>
                </c:pt>
                <c:pt idx="1024">
                  <c:v>45623</c:v>
                </c:pt>
                <c:pt idx="1025">
                  <c:v>45625</c:v>
                </c:pt>
                <c:pt idx="1026">
                  <c:v>45628</c:v>
                </c:pt>
                <c:pt idx="1027">
                  <c:v>45629</c:v>
                </c:pt>
                <c:pt idx="1028">
                  <c:v>45630</c:v>
                </c:pt>
                <c:pt idx="1029">
                  <c:v>45631</c:v>
                </c:pt>
                <c:pt idx="1030">
                  <c:v>45632</c:v>
                </c:pt>
                <c:pt idx="1031">
                  <c:v>45635</c:v>
                </c:pt>
                <c:pt idx="1032">
                  <c:v>45636</c:v>
                </c:pt>
                <c:pt idx="1033">
                  <c:v>45637</c:v>
                </c:pt>
                <c:pt idx="1034">
                  <c:v>45638</c:v>
                </c:pt>
                <c:pt idx="1035">
                  <c:v>45639</c:v>
                </c:pt>
                <c:pt idx="1036">
                  <c:v>45642</c:v>
                </c:pt>
                <c:pt idx="1037">
                  <c:v>45643</c:v>
                </c:pt>
                <c:pt idx="1038">
                  <c:v>45644</c:v>
                </c:pt>
                <c:pt idx="1039">
                  <c:v>45645</c:v>
                </c:pt>
                <c:pt idx="1040">
                  <c:v>45646</c:v>
                </c:pt>
                <c:pt idx="1041">
                  <c:v>45649</c:v>
                </c:pt>
                <c:pt idx="1042">
                  <c:v>45650</c:v>
                </c:pt>
                <c:pt idx="1043">
                  <c:v>45652</c:v>
                </c:pt>
                <c:pt idx="1044">
                  <c:v>45653</c:v>
                </c:pt>
                <c:pt idx="1045">
                  <c:v>45656</c:v>
                </c:pt>
                <c:pt idx="1046">
                  <c:v>45657</c:v>
                </c:pt>
                <c:pt idx="1047">
                  <c:v>45659</c:v>
                </c:pt>
                <c:pt idx="1048">
                  <c:v>45660</c:v>
                </c:pt>
                <c:pt idx="1049">
                  <c:v>45663</c:v>
                </c:pt>
                <c:pt idx="1050">
                  <c:v>45664</c:v>
                </c:pt>
                <c:pt idx="1051">
                  <c:v>45665</c:v>
                </c:pt>
                <c:pt idx="1052">
                  <c:v>45667</c:v>
                </c:pt>
                <c:pt idx="1053">
                  <c:v>45670</c:v>
                </c:pt>
                <c:pt idx="1054">
                  <c:v>45671</c:v>
                </c:pt>
                <c:pt idx="1055">
                  <c:v>45672</c:v>
                </c:pt>
                <c:pt idx="1056">
                  <c:v>45673</c:v>
                </c:pt>
                <c:pt idx="1057">
                  <c:v>45674</c:v>
                </c:pt>
                <c:pt idx="1058">
                  <c:v>45678</c:v>
                </c:pt>
                <c:pt idx="1059">
                  <c:v>45679</c:v>
                </c:pt>
                <c:pt idx="1060">
                  <c:v>45680</c:v>
                </c:pt>
                <c:pt idx="1061">
                  <c:v>45681</c:v>
                </c:pt>
                <c:pt idx="1062">
                  <c:v>45684</c:v>
                </c:pt>
                <c:pt idx="1063">
                  <c:v>45685</c:v>
                </c:pt>
                <c:pt idx="1064">
                  <c:v>45686</c:v>
                </c:pt>
                <c:pt idx="1065">
                  <c:v>45687</c:v>
                </c:pt>
                <c:pt idx="1066">
                  <c:v>45688</c:v>
                </c:pt>
                <c:pt idx="1067">
                  <c:v>45691</c:v>
                </c:pt>
                <c:pt idx="1068">
                  <c:v>45692</c:v>
                </c:pt>
                <c:pt idx="1069">
                  <c:v>45693</c:v>
                </c:pt>
                <c:pt idx="1070">
                  <c:v>45694</c:v>
                </c:pt>
                <c:pt idx="1071">
                  <c:v>45695</c:v>
                </c:pt>
                <c:pt idx="1072">
                  <c:v>45698</c:v>
                </c:pt>
                <c:pt idx="1073">
                  <c:v>45699</c:v>
                </c:pt>
                <c:pt idx="1074">
                  <c:v>45700</c:v>
                </c:pt>
                <c:pt idx="1075">
                  <c:v>45701</c:v>
                </c:pt>
                <c:pt idx="1076">
                  <c:v>45702</c:v>
                </c:pt>
                <c:pt idx="1077">
                  <c:v>45706</c:v>
                </c:pt>
                <c:pt idx="1078">
                  <c:v>45707</c:v>
                </c:pt>
                <c:pt idx="1079">
                  <c:v>45708</c:v>
                </c:pt>
                <c:pt idx="1080">
                  <c:v>45709</c:v>
                </c:pt>
                <c:pt idx="1081">
                  <c:v>45712</c:v>
                </c:pt>
                <c:pt idx="1082">
                  <c:v>45713</c:v>
                </c:pt>
                <c:pt idx="1083">
                  <c:v>45714</c:v>
                </c:pt>
                <c:pt idx="1084">
                  <c:v>45715</c:v>
                </c:pt>
                <c:pt idx="1085">
                  <c:v>45716</c:v>
                </c:pt>
                <c:pt idx="1086">
                  <c:v>45719</c:v>
                </c:pt>
                <c:pt idx="1087">
                  <c:v>45720</c:v>
                </c:pt>
                <c:pt idx="1088">
                  <c:v>45721</c:v>
                </c:pt>
                <c:pt idx="1089">
                  <c:v>45722</c:v>
                </c:pt>
                <c:pt idx="1090">
                  <c:v>45723</c:v>
                </c:pt>
                <c:pt idx="1091">
                  <c:v>45726</c:v>
                </c:pt>
                <c:pt idx="1092">
                  <c:v>45727</c:v>
                </c:pt>
                <c:pt idx="1093">
                  <c:v>45728</c:v>
                </c:pt>
                <c:pt idx="1094">
                  <c:v>45729</c:v>
                </c:pt>
                <c:pt idx="1095">
                  <c:v>45730</c:v>
                </c:pt>
                <c:pt idx="1096">
                  <c:v>45733</c:v>
                </c:pt>
                <c:pt idx="1097">
                  <c:v>45734</c:v>
                </c:pt>
                <c:pt idx="1098">
                  <c:v>45735</c:v>
                </c:pt>
                <c:pt idx="1099">
                  <c:v>45736</c:v>
                </c:pt>
                <c:pt idx="1100">
                  <c:v>45737</c:v>
                </c:pt>
                <c:pt idx="1101">
                  <c:v>45740</c:v>
                </c:pt>
                <c:pt idx="1102">
                  <c:v>45741</c:v>
                </c:pt>
                <c:pt idx="1103">
                  <c:v>45742</c:v>
                </c:pt>
                <c:pt idx="1104">
                  <c:v>45743</c:v>
                </c:pt>
                <c:pt idx="1105">
                  <c:v>45744</c:v>
                </c:pt>
                <c:pt idx="1106">
                  <c:v>45747</c:v>
                </c:pt>
                <c:pt idx="1107">
                  <c:v>45748</c:v>
                </c:pt>
                <c:pt idx="1108">
                  <c:v>45749</c:v>
                </c:pt>
                <c:pt idx="1109">
                  <c:v>45750</c:v>
                </c:pt>
                <c:pt idx="1110">
                  <c:v>45751</c:v>
                </c:pt>
                <c:pt idx="1111">
                  <c:v>45754</c:v>
                </c:pt>
                <c:pt idx="1112">
                  <c:v>45755</c:v>
                </c:pt>
                <c:pt idx="1113">
                  <c:v>45756</c:v>
                </c:pt>
                <c:pt idx="1114">
                  <c:v>45757</c:v>
                </c:pt>
                <c:pt idx="1115">
                  <c:v>45758</c:v>
                </c:pt>
                <c:pt idx="1116">
                  <c:v>45761</c:v>
                </c:pt>
                <c:pt idx="1117">
                  <c:v>45762</c:v>
                </c:pt>
                <c:pt idx="1118">
                  <c:v>45763</c:v>
                </c:pt>
                <c:pt idx="1119">
                  <c:v>45764</c:v>
                </c:pt>
                <c:pt idx="1120">
                  <c:v>45768</c:v>
                </c:pt>
                <c:pt idx="1121">
                  <c:v>45769</c:v>
                </c:pt>
                <c:pt idx="1122">
                  <c:v>45770</c:v>
                </c:pt>
                <c:pt idx="1123">
                  <c:v>45771</c:v>
                </c:pt>
                <c:pt idx="1124">
                  <c:v>45772</c:v>
                </c:pt>
                <c:pt idx="1125">
                  <c:v>45775</c:v>
                </c:pt>
                <c:pt idx="1126">
                  <c:v>45776</c:v>
                </c:pt>
                <c:pt idx="1127">
                  <c:v>45777</c:v>
                </c:pt>
                <c:pt idx="1128">
                  <c:v>45778</c:v>
                </c:pt>
                <c:pt idx="1129">
                  <c:v>45779</c:v>
                </c:pt>
                <c:pt idx="1130">
                  <c:v>45782</c:v>
                </c:pt>
                <c:pt idx="1131">
                  <c:v>45783</c:v>
                </c:pt>
                <c:pt idx="1132">
                  <c:v>45784</c:v>
                </c:pt>
                <c:pt idx="1133">
                  <c:v>45785</c:v>
                </c:pt>
                <c:pt idx="1134">
                  <c:v>45786</c:v>
                </c:pt>
                <c:pt idx="1135">
                  <c:v>45789</c:v>
                </c:pt>
                <c:pt idx="1136">
                  <c:v>45790</c:v>
                </c:pt>
                <c:pt idx="1137">
                  <c:v>45791</c:v>
                </c:pt>
                <c:pt idx="1138">
                  <c:v>45792</c:v>
                </c:pt>
                <c:pt idx="1139">
                  <c:v>45793</c:v>
                </c:pt>
                <c:pt idx="1140">
                  <c:v>45796</c:v>
                </c:pt>
                <c:pt idx="1141">
                  <c:v>45797</c:v>
                </c:pt>
                <c:pt idx="1142">
                  <c:v>45798</c:v>
                </c:pt>
                <c:pt idx="1143">
                  <c:v>45799</c:v>
                </c:pt>
                <c:pt idx="1144">
                  <c:v>45800</c:v>
                </c:pt>
                <c:pt idx="1145">
                  <c:v>45804</c:v>
                </c:pt>
                <c:pt idx="1146">
                  <c:v>45805</c:v>
                </c:pt>
                <c:pt idx="1147">
                  <c:v>45806</c:v>
                </c:pt>
                <c:pt idx="1148">
                  <c:v>45807</c:v>
                </c:pt>
                <c:pt idx="1149">
                  <c:v>45810</c:v>
                </c:pt>
                <c:pt idx="1150">
                  <c:v>45811</c:v>
                </c:pt>
                <c:pt idx="1151">
                  <c:v>45812</c:v>
                </c:pt>
                <c:pt idx="1152">
                  <c:v>45813</c:v>
                </c:pt>
                <c:pt idx="1153">
                  <c:v>45814</c:v>
                </c:pt>
                <c:pt idx="1154">
                  <c:v>45817</c:v>
                </c:pt>
                <c:pt idx="1155">
                  <c:v>45818</c:v>
                </c:pt>
                <c:pt idx="1156">
                  <c:v>45819</c:v>
                </c:pt>
                <c:pt idx="1157">
                  <c:v>45820</c:v>
                </c:pt>
                <c:pt idx="1158">
                  <c:v>45821</c:v>
                </c:pt>
                <c:pt idx="1159">
                  <c:v>45824</c:v>
                </c:pt>
                <c:pt idx="1160">
                  <c:v>45825</c:v>
                </c:pt>
                <c:pt idx="1161">
                  <c:v>45826</c:v>
                </c:pt>
                <c:pt idx="1162">
                  <c:v>45828</c:v>
                </c:pt>
                <c:pt idx="1163">
                  <c:v>45831</c:v>
                </c:pt>
                <c:pt idx="1164">
                  <c:v>45832</c:v>
                </c:pt>
                <c:pt idx="1165">
                  <c:v>45833</c:v>
                </c:pt>
                <c:pt idx="1166">
                  <c:v>45834</c:v>
                </c:pt>
                <c:pt idx="1167">
                  <c:v>45835</c:v>
                </c:pt>
                <c:pt idx="1168">
                  <c:v>45838</c:v>
                </c:pt>
                <c:pt idx="1169">
                  <c:v>45839</c:v>
                </c:pt>
                <c:pt idx="1170">
                  <c:v>45840</c:v>
                </c:pt>
                <c:pt idx="1171">
                  <c:v>45841</c:v>
                </c:pt>
                <c:pt idx="1172">
                  <c:v>45845</c:v>
                </c:pt>
                <c:pt idx="1173">
                  <c:v>45846</c:v>
                </c:pt>
                <c:pt idx="1174">
                  <c:v>45847</c:v>
                </c:pt>
                <c:pt idx="1175">
                  <c:v>45848</c:v>
                </c:pt>
                <c:pt idx="1176">
                  <c:v>45849</c:v>
                </c:pt>
                <c:pt idx="1177">
                  <c:v>45852</c:v>
                </c:pt>
                <c:pt idx="1178">
                  <c:v>45853</c:v>
                </c:pt>
                <c:pt idx="1179">
                  <c:v>45854</c:v>
                </c:pt>
                <c:pt idx="1180">
                  <c:v>45855</c:v>
                </c:pt>
                <c:pt idx="1181">
                  <c:v>45856</c:v>
                </c:pt>
                <c:pt idx="1182">
                  <c:v>45859</c:v>
                </c:pt>
                <c:pt idx="1183">
                  <c:v>45860</c:v>
                </c:pt>
                <c:pt idx="1184">
                  <c:v>45861</c:v>
                </c:pt>
                <c:pt idx="1185">
                  <c:v>45862</c:v>
                </c:pt>
                <c:pt idx="1186">
                  <c:v>45863</c:v>
                </c:pt>
                <c:pt idx="1187">
                  <c:v>45866</c:v>
                </c:pt>
                <c:pt idx="1188">
                  <c:v>45867</c:v>
                </c:pt>
                <c:pt idx="1189">
                  <c:v>45868</c:v>
                </c:pt>
                <c:pt idx="1190">
                  <c:v>45869</c:v>
                </c:pt>
                <c:pt idx="1191">
                  <c:v>45870</c:v>
                </c:pt>
                <c:pt idx="1192">
                  <c:v>45873</c:v>
                </c:pt>
                <c:pt idx="1193">
                  <c:v>45874</c:v>
                </c:pt>
                <c:pt idx="1194">
                  <c:v>45875</c:v>
                </c:pt>
                <c:pt idx="1195">
                  <c:v>45876</c:v>
                </c:pt>
                <c:pt idx="1196">
                  <c:v>45877</c:v>
                </c:pt>
                <c:pt idx="1197">
                  <c:v>45880</c:v>
                </c:pt>
                <c:pt idx="1198">
                  <c:v>45881</c:v>
                </c:pt>
                <c:pt idx="1199">
                  <c:v>45882</c:v>
                </c:pt>
                <c:pt idx="1200">
                  <c:v>45883</c:v>
                </c:pt>
                <c:pt idx="1201">
                  <c:v>45884</c:v>
                </c:pt>
                <c:pt idx="1202">
                  <c:v>45887</c:v>
                </c:pt>
                <c:pt idx="1203">
                  <c:v>45888</c:v>
                </c:pt>
                <c:pt idx="1204">
                  <c:v>45889</c:v>
                </c:pt>
                <c:pt idx="1205">
                  <c:v>45890</c:v>
                </c:pt>
                <c:pt idx="1206">
                  <c:v>45891</c:v>
                </c:pt>
                <c:pt idx="1207">
                  <c:v>45894</c:v>
                </c:pt>
                <c:pt idx="1208">
                  <c:v>45895</c:v>
                </c:pt>
                <c:pt idx="1209">
                  <c:v>45896</c:v>
                </c:pt>
                <c:pt idx="1210">
                  <c:v>45897</c:v>
                </c:pt>
                <c:pt idx="1211">
                  <c:v>45898</c:v>
                </c:pt>
                <c:pt idx="1212">
                  <c:v>45902</c:v>
                </c:pt>
                <c:pt idx="1213">
                  <c:v>45903</c:v>
                </c:pt>
                <c:pt idx="1214">
                  <c:v>45904</c:v>
                </c:pt>
                <c:pt idx="1215">
                  <c:v>45905</c:v>
                </c:pt>
                <c:pt idx="1216">
                  <c:v>45908</c:v>
                </c:pt>
                <c:pt idx="1217">
                  <c:v>45909</c:v>
                </c:pt>
                <c:pt idx="1218">
                  <c:v>45910</c:v>
                </c:pt>
                <c:pt idx="1219">
                  <c:v>45911</c:v>
                </c:pt>
                <c:pt idx="1220">
                  <c:v>45912</c:v>
                </c:pt>
                <c:pt idx="1221">
                  <c:v>45915</c:v>
                </c:pt>
                <c:pt idx="1222">
                  <c:v>45916</c:v>
                </c:pt>
                <c:pt idx="1223">
                  <c:v>45917</c:v>
                </c:pt>
                <c:pt idx="1224">
                  <c:v>45918</c:v>
                </c:pt>
                <c:pt idx="1225">
                  <c:v>45919</c:v>
                </c:pt>
                <c:pt idx="1226">
                  <c:v>45922</c:v>
                </c:pt>
                <c:pt idx="1227">
                  <c:v>45923</c:v>
                </c:pt>
                <c:pt idx="1228">
                  <c:v>45924</c:v>
                </c:pt>
                <c:pt idx="1229">
                  <c:v>45925</c:v>
                </c:pt>
                <c:pt idx="1230">
                  <c:v>45926</c:v>
                </c:pt>
                <c:pt idx="1231">
                  <c:v>45929</c:v>
                </c:pt>
                <c:pt idx="1232">
                  <c:v>45930</c:v>
                </c:pt>
                <c:pt idx="1233">
                  <c:v>45931</c:v>
                </c:pt>
                <c:pt idx="1234">
                  <c:v>45932</c:v>
                </c:pt>
                <c:pt idx="1235">
                  <c:v>45933</c:v>
                </c:pt>
                <c:pt idx="1236">
                  <c:v>45936</c:v>
                </c:pt>
                <c:pt idx="1237">
                  <c:v>45937</c:v>
                </c:pt>
                <c:pt idx="1238">
                  <c:v>45938</c:v>
                </c:pt>
                <c:pt idx="1239">
                  <c:v>45939</c:v>
                </c:pt>
                <c:pt idx="1240">
                  <c:v>45940</c:v>
                </c:pt>
                <c:pt idx="1241">
                  <c:v>45943</c:v>
                </c:pt>
                <c:pt idx="1242">
                  <c:v>45944</c:v>
                </c:pt>
                <c:pt idx="1243">
                  <c:v>45945</c:v>
                </c:pt>
                <c:pt idx="1244">
                  <c:v>45946</c:v>
                </c:pt>
                <c:pt idx="1245">
                  <c:v>45947</c:v>
                </c:pt>
                <c:pt idx="1246">
                  <c:v>45950</c:v>
                </c:pt>
                <c:pt idx="1247">
                  <c:v>45951</c:v>
                </c:pt>
                <c:pt idx="1248">
                  <c:v>45952</c:v>
                </c:pt>
                <c:pt idx="1249">
                  <c:v>45953</c:v>
                </c:pt>
                <c:pt idx="1250">
                  <c:v>45954</c:v>
                </c:pt>
                <c:pt idx="1251">
                  <c:v>45957</c:v>
                </c:pt>
                <c:pt idx="1252">
                  <c:v>45958</c:v>
                </c:pt>
                <c:pt idx="1253">
                  <c:v>45959</c:v>
                </c:pt>
                <c:pt idx="1254">
                  <c:v>45960</c:v>
                </c:pt>
                <c:pt idx="1255">
                  <c:v>45961</c:v>
                </c:pt>
              </c:numCache>
            </c:numRef>
          </c:cat>
          <c:val>
            <c:numRef>
              <c:f>SPY_close_price!$E$3:$E$1258</c:f>
              <c:numCache>
                <c:formatCode>General</c:formatCode>
                <c:ptCount val="1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3E-46AA-94F0-51279CA4A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975072"/>
        <c:axId val="257962112"/>
      </c:lineChart>
      <c:dateAx>
        <c:axId val="12467964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796928"/>
        <c:crosses val="autoZero"/>
        <c:auto val="1"/>
        <c:lblOffset val="100"/>
        <c:baseTimeUnit val="days"/>
      </c:dateAx>
      <c:valAx>
        <c:axId val="124679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796448"/>
        <c:crosses val="autoZero"/>
        <c:crossBetween val="between"/>
      </c:valAx>
      <c:valAx>
        <c:axId val="257962112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975072"/>
        <c:crosses val="max"/>
        <c:crossBetween val="between"/>
        <c:majorUnit val="1"/>
      </c:valAx>
      <c:dateAx>
        <c:axId val="2579750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5796211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Analysis Addin'!$B$2</c:f>
              <c:strCache>
                <c:ptCount val="1"/>
                <c:pt idx="0">
                  <c:v>Close</c:v>
                </c:pt>
              </c:strCache>
            </c:strRef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'Data Analysis Addin'!$A$3:$A$1258</c:f>
              <c:numCache>
                <c:formatCode>m/d/yyyy</c:formatCode>
                <c:ptCount val="1256"/>
                <c:pt idx="0">
                  <c:v>44137</c:v>
                </c:pt>
                <c:pt idx="1">
                  <c:v>44138</c:v>
                </c:pt>
                <c:pt idx="2">
                  <c:v>44139</c:v>
                </c:pt>
                <c:pt idx="3">
                  <c:v>44140</c:v>
                </c:pt>
                <c:pt idx="4">
                  <c:v>44141</c:v>
                </c:pt>
                <c:pt idx="5">
                  <c:v>44144</c:v>
                </c:pt>
                <c:pt idx="6">
                  <c:v>44145</c:v>
                </c:pt>
                <c:pt idx="7">
                  <c:v>44146</c:v>
                </c:pt>
                <c:pt idx="8">
                  <c:v>44147</c:v>
                </c:pt>
                <c:pt idx="9">
                  <c:v>44148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44158</c:v>
                </c:pt>
                <c:pt idx="16">
                  <c:v>44159</c:v>
                </c:pt>
                <c:pt idx="17">
                  <c:v>44160</c:v>
                </c:pt>
                <c:pt idx="18">
                  <c:v>44162</c:v>
                </c:pt>
                <c:pt idx="19">
                  <c:v>44165</c:v>
                </c:pt>
                <c:pt idx="20">
                  <c:v>44166</c:v>
                </c:pt>
                <c:pt idx="21">
                  <c:v>44167</c:v>
                </c:pt>
                <c:pt idx="22">
                  <c:v>44168</c:v>
                </c:pt>
                <c:pt idx="23">
                  <c:v>44169</c:v>
                </c:pt>
                <c:pt idx="24">
                  <c:v>44172</c:v>
                </c:pt>
                <c:pt idx="25">
                  <c:v>44173</c:v>
                </c:pt>
                <c:pt idx="26">
                  <c:v>44174</c:v>
                </c:pt>
                <c:pt idx="27">
                  <c:v>44175</c:v>
                </c:pt>
                <c:pt idx="28">
                  <c:v>44176</c:v>
                </c:pt>
                <c:pt idx="29">
                  <c:v>44179</c:v>
                </c:pt>
                <c:pt idx="30">
                  <c:v>44180</c:v>
                </c:pt>
                <c:pt idx="31">
                  <c:v>44181</c:v>
                </c:pt>
                <c:pt idx="32">
                  <c:v>44182</c:v>
                </c:pt>
                <c:pt idx="33">
                  <c:v>44183</c:v>
                </c:pt>
                <c:pt idx="34">
                  <c:v>44186</c:v>
                </c:pt>
                <c:pt idx="35">
                  <c:v>44187</c:v>
                </c:pt>
                <c:pt idx="36">
                  <c:v>44188</c:v>
                </c:pt>
                <c:pt idx="37">
                  <c:v>44189</c:v>
                </c:pt>
                <c:pt idx="38">
                  <c:v>44193</c:v>
                </c:pt>
                <c:pt idx="39">
                  <c:v>44194</c:v>
                </c:pt>
                <c:pt idx="40">
                  <c:v>44195</c:v>
                </c:pt>
                <c:pt idx="41">
                  <c:v>44196</c:v>
                </c:pt>
                <c:pt idx="42">
                  <c:v>44200</c:v>
                </c:pt>
                <c:pt idx="43">
                  <c:v>44201</c:v>
                </c:pt>
                <c:pt idx="44">
                  <c:v>44202</c:v>
                </c:pt>
                <c:pt idx="45">
                  <c:v>44203</c:v>
                </c:pt>
                <c:pt idx="46">
                  <c:v>44204</c:v>
                </c:pt>
                <c:pt idx="47">
                  <c:v>44207</c:v>
                </c:pt>
                <c:pt idx="48">
                  <c:v>44208</c:v>
                </c:pt>
                <c:pt idx="49">
                  <c:v>44209</c:v>
                </c:pt>
                <c:pt idx="50">
                  <c:v>44210</c:v>
                </c:pt>
                <c:pt idx="51">
                  <c:v>44211</c:v>
                </c:pt>
                <c:pt idx="52">
                  <c:v>44215</c:v>
                </c:pt>
                <c:pt idx="53">
                  <c:v>44216</c:v>
                </c:pt>
                <c:pt idx="54">
                  <c:v>44217</c:v>
                </c:pt>
                <c:pt idx="55">
                  <c:v>44218</c:v>
                </c:pt>
                <c:pt idx="56">
                  <c:v>44221</c:v>
                </c:pt>
                <c:pt idx="57">
                  <c:v>44222</c:v>
                </c:pt>
                <c:pt idx="58">
                  <c:v>44223</c:v>
                </c:pt>
                <c:pt idx="59">
                  <c:v>44224</c:v>
                </c:pt>
                <c:pt idx="60">
                  <c:v>44225</c:v>
                </c:pt>
                <c:pt idx="61">
                  <c:v>44228</c:v>
                </c:pt>
                <c:pt idx="62">
                  <c:v>44229</c:v>
                </c:pt>
                <c:pt idx="63">
                  <c:v>44230</c:v>
                </c:pt>
                <c:pt idx="64">
                  <c:v>44231</c:v>
                </c:pt>
                <c:pt idx="65">
                  <c:v>44232</c:v>
                </c:pt>
                <c:pt idx="66">
                  <c:v>44235</c:v>
                </c:pt>
                <c:pt idx="67">
                  <c:v>44236</c:v>
                </c:pt>
                <c:pt idx="68">
                  <c:v>44237</c:v>
                </c:pt>
                <c:pt idx="69">
                  <c:v>44238</c:v>
                </c:pt>
                <c:pt idx="70">
                  <c:v>44239</c:v>
                </c:pt>
                <c:pt idx="71">
                  <c:v>44243</c:v>
                </c:pt>
                <c:pt idx="72">
                  <c:v>44244</c:v>
                </c:pt>
                <c:pt idx="73">
                  <c:v>44245</c:v>
                </c:pt>
                <c:pt idx="74">
                  <c:v>44246</c:v>
                </c:pt>
                <c:pt idx="75">
                  <c:v>44249</c:v>
                </c:pt>
                <c:pt idx="76">
                  <c:v>44250</c:v>
                </c:pt>
                <c:pt idx="77">
                  <c:v>44251</c:v>
                </c:pt>
                <c:pt idx="78">
                  <c:v>44252</c:v>
                </c:pt>
                <c:pt idx="79">
                  <c:v>44253</c:v>
                </c:pt>
                <c:pt idx="80">
                  <c:v>44256</c:v>
                </c:pt>
                <c:pt idx="81">
                  <c:v>44257</c:v>
                </c:pt>
                <c:pt idx="82">
                  <c:v>44258</c:v>
                </c:pt>
                <c:pt idx="83">
                  <c:v>44259</c:v>
                </c:pt>
                <c:pt idx="84">
                  <c:v>44260</c:v>
                </c:pt>
                <c:pt idx="85">
                  <c:v>44263</c:v>
                </c:pt>
                <c:pt idx="86">
                  <c:v>44264</c:v>
                </c:pt>
                <c:pt idx="87">
                  <c:v>44265</c:v>
                </c:pt>
                <c:pt idx="88">
                  <c:v>44266</c:v>
                </c:pt>
                <c:pt idx="89">
                  <c:v>44267</c:v>
                </c:pt>
                <c:pt idx="90">
                  <c:v>44270</c:v>
                </c:pt>
                <c:pt idx="91">
                  <c:v>44271</c:v>
                </c:pt>
                <c:pt idx="92">
                  <c:v>44272</c:v>
                </c:pt>
                <c:pt idx="93">
                  <c:v>44273</c:v>
                </c:pt>
                <c:pt idx="94">
                  <c:v>44274</c:v>
                </c:pt>
                <c:pt idx="95">
                  <c:v>44277</c:v>
                </c:pt>
                <c:pt idx="96">
                  <c:v>44278</c:v>
                </c:pt>
                <c:pt idx="97">
                  <c:v>44279</c:v>
                </c:pt>
                <c:pt idx="98">
                  <c:v>44280</c:v>
                </c:pt>
                <c:pt idx="99">
                  <c:v>44281</c:v>
                </c:pt>
                <c:pt idx="100">
                  <c:v>44284</c:v>
                </c:pt>
                <c:pt idx="101">
                  <c:v>44285</c:v>
                </c:pt>
                <c:pt idx="102">
                  <c:v>44286</c:v>
                </c:pt>
                <c:pt idx="103">
                  <c:v>44287</c:v>
                </c:pt>
                <c:pt idx="104">
                  <c:v>44291</c:v>
                </c:pt>
                <c:pt idx="105">
                  <c:v>44292</c:v>
                </c:pt>
                <c:pt idx="106">
                  <c:v>44293</c:v>
                </c:pt>
                <c:pt idx="107">
                  <c:v>44294</c:v>
                </c:pt>
                <c:pt idx="108">
                  <c:v>44295</c:v>
                </c:pt>
                <c:pt idx="109">
                  <c:v>44298</c:v>
                </c:pt>
                <c:pt idx="110">
                  <c:v>44299</c:v>
                </c:pt>
                <c:pt idx="111">
                  <c:v>44300</c:v>
                </c:pt>
                <c:pt idx="112">
                  <c:v>44301</c:v>
                </c:pt>
                <c:pt idx="113">
                  <c:v>44302</c:v>
                </c:pt>
                <c:pt idx="114">
                  <c:v>44305</c:v>
                </c:pt>
                <c:pt idx="115">
                  <c:v>44306</c:v>
                </c:pt>
                <c:pt idx="116">
                  <c:v>44307</c:v>
                </c:pt>
                <c:pt idx="117">
                  <c:v>44308</c:v>
                </c:pt>
                <c:pt idx="118">
                  <c:v>44309</c:v>
                </c:pt>
                <c:pt idx="119">
                  <c:v>44312</c:v>
                </c:pt>
                <c:pt idx="120">
                  <c:v>44313</c:v>
                </c:pt>
                <c:pt idx="121">
                  <c:v>44314</c:v>
                </c:pt>
                <c:pt idx="122">
                  <c:v>44315</c:v>
                </c:pt>
                <c:pt idx="123">
                  <c:v>44316</c:v>
                </c:pt>
                <c:pt idx="124">
                  <c:v>44319</c:v>
                </c:pt>
                <c:pt idx="125">
                  <c:v>44320</c:v>
                </c:pt>
                <c:pt idx="126">
                  <c:v>44321</c:v>
                </c:pt>
                <c:pt idx="127">
                  <c:v>44322</c:v>
                </c:pt>
                <c:pt idx="128">
                  <c:v>44323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44333</c:v>
                </c:pt>
                <c:pt idx="135">
                  <c:v>44334</c:v>
                </c:pt>
                <c:pt idx="136">
                  <c:v>44335</c:v>
                </c:pt>
                <c:pt idx="137">
                  <c:v>44336</c:v>
                </c:pt>
                <c:pt idx="138">
                  <c:v>44337</c:v>
                </c:pt>
                <c:pt idx="139">
                  <c:v>44340</c:v>
                </c:pt>
                <c:pt idx="140">
                  <c:v>44341</c:v>
                </c:pt>
                <c:pt idx="141">
                  <c:v>44342</c:v>
                </c:pt>
                <c:pt idx="142">
                  <c:v>44343</c:v>
                </c:pt>
                <c:pt idx="143">
                  <c:v>44344</c:v>
                </c:pt>
                <c:pt idx="144">
                  <c:v>44348</c:v>
                </c:pt>
                <c:pt idx="145">
                  <c:v>44349</c:v>
                </c:pt>
                <c:pt idx="146">
                  <c:v>44350</c:v>
                </c:pt>
                <c:pt idx="147">
                  <c:v>44351</c:v>
                </c:pt>
                <c:pt idx="148">
                  <c:v>44354</c:v>
                </c:pt>
                <c:pt idx="149">
                  <c:v>44355</c:v>
                </c:pt>
                <c:pt idx="150">
                  <c:v>44356</c:v>
                </c:pt>
                <c:pt idx="151">
                  <c:v>44357</c:v>
                </c:pt>
                <c:pt idx="152">
                  <c:v>44358</c:v>
                </c:pt>
                <c:pt idx="153">
                  <c:v>44361</c:v>
                </c:pt>
                <c:pt idx="154">
                  <c:v>44362</c:v>
                </c:pt>
                <c:pt idx="155">
                  <c:v>44363</c:v>
                </c:pt>
                <c:pt idx="156">
                  <c:v>44364</c:v>
                </c:pt>
                <c:pt idx="157">
                  <c:v>44365</c:v>
                </c:pt>
                <c:pt idx="158">
                  <c:v>44368</c:v>
                </c:pt>
                <c:pt idx="159">
                  <c:v>44369</c:v>
                </c:pt>
                <c:pt idx="160">
                  <c:v>44370</c:v>
                </c:pt>
                <c:pt idx="161">
                  <c:v>44371</c:v>
                </c:pt>
                <c:pt idx="162">
                  <c:v>44372</c:v>
                </c:pt>
                <c:pt idx="163">
                  <c:v>44375</c:v>
                </c:pt>
                <c:pt idx="164">
                  <c:v>44376</c:v>
                </c:pt>
                <c:pt idx="165">
                  <c:v>44377</c:v>
                </c:pt>
                <c:pt idx="166">
                  <c:v>44378</c:v>
                </c:pt>
                <c:pt idx="167">
                  <c:v>44379</c:v>
                </c:pt>
                <c:pt idx="168">
                  <c:v>44383</c:v>
                </c:pt>
                <c:pt idx="169">
                  <c:v>44384</c:v>
                </c:pt>
                <c:pt idx="170">
                  <c:v>44385</c:v>
                </c:pt>
                <c:pt idx="171">
                  <c:v>44386</c:v>
                </c:pt>
                <c:pt idx="172">
                  <c:v>44389</c:v>
                </c:pt>
                <c:pt idx="173">
                  <c:v>44390</c:v>
                </c:pt>
                <c:pt idx="174">
                  <c:v>44391</c:v>
                </c:pt>
                <c:pt idx="175">
                  <c:v>44392</c:v>
                </c:pt>
                <c:pt idx="176">
                  <c:v>44393</c:v>
                </c:pt>
                <c:pt idx="177">
                  <c:v>44396</c:v>
                </c:pt>
                <c:pt idx="178">
                  <c:v>44397</c:v>
                </c:pt>
                <c:pt idx="179">
                  <c:v>44398</c:v>
                </c:pt>
                <c:pt idx="180">
                  <c:v>44399</c:v>
                </c:pt>
                <c:pt idx="181">
                  <c:v>44400</c:v>
                </c:pt>
                <c:pt idx="182">
                  <c:v>44403</c:v>
                </c:pt>
                <c:pt idx="183">
                  <c:v>44404</c:v>
                </c:pt>
                <c:pt idx="184">
                  <c:v>44405</c:v>
                </c:pt>
                <c:pt idx="185">
                  <c:v>44406</c:v>
                </c:pt>
                <c:pt idx="186">
                  <c:v>44407</c:v>
                </c:pt>
                <c:pt idx="187">
                  <c:v>44410</c:v>
                </c:pt>
                <c:pt idx="188">
                  <c:v>44411</c:v>
                </c:pt>
                <c:pt idx="189">
                  <c:v>44412</c:v>
                </c:pt>
                <c:pt idx="190">
                  <c:v>44413</c:v>
                </c:pt>
                <c:pt idx="191">
                  <c:v>44414</c:v>
                </c:pt>
                <c:pt idx="192">
                  <c:v>44417</c:v>
                </c:pt>
                <c:pt idx="193">
                  <c:v>44418</c:v>
                </c:pt>
                <c:pt idx="194">
                  <c:v>44419</c:v>
                </c:pt>
                <c:pt idx="195">
                  <c:v>44420</c:v>
                </c:pt>
                <c:pt idx="196">
                  <c:v>44421</c:v>
                </c:pt>
                <c:pt idx="197">
                  <c:v>44424</c:v>
                </c:pt>
                <c:pt idx="198">
                  <c:v>44425</c:v>
                </c:pt>
                <c:pt idx="199">
                  <c:v>44426</c:v>
                </c:pt>
                <c:pt idx="200">
                  <c:v>44427</c:v>
                </c:pt>
                <c:pt idx="201">
                  <c:v>44428</c:v>
                </c:pt>
                <c:pt idx="202">
                  <c:v>44431</c:v>
                </c:pt>
                <c:pt idx="203">
                  <c:v>44432</c:v>
                </c:pt>
                <c:pt idx="204">
                  <c:v>44433</c:v>
                </c:pt>
                <c:pt idx="205">
                  <c:v>44434</c:v>
                </c:pt>
                <c:pt idx="206">
                  <c:v>44435</c:v>
                </c:pt>
                <c:pt idx="207">
                  <c:v>44438</c:v>
                </c:pt>
                <c:pt idx="208">
                  <c:v>44439</c:v>
                </c:pt>
                <c:pt idx="209">
                  <c:v>44440</c:v>
                </c:pt>
                <c:pt idx="210">
                  <c:v>44441</c:v>
                </c:pt>
                <c:pt idx="211">
                  <c:v>44442</c:v>
                </c:pt>
                <c:pt idx="212">
                  <c:v>44446</c:v>
                </c:pt>
                <c:pt idx="213">
                  <c:v>44447</c:v>
                </c:pt>
                <c:pt idx="214">
                  <c:v>44448</c:v>
                </c:pt>
                <c:pt idx="215">
                  <c:v>44449</c:v>
                </c:pt>
                <c:pt idx="216">
                  <c:v>44452</c:v>
                </c:pt>
                <c:pt idx="217">
                  <c:v>44453</c:v>
                </c:pt>
                <c:pt idx="218">
                  <c:v>44454</c:v>
                </c:pt>
                <c:pt idx="219">
                  <c:v>44455</c:v>
                </c:pt>
                <c:pt idx="220">
                  <c:v>44456</c:v>
                </c:pt>
                <c:pt idx="221">
                  <c:v>44459</c:v>
                </c:pt>
                <c:pt idx="222">
                  <c:v>44460</c:v>
                </c:pt>
                <c:pt idx="223">
                  <c:v>44461</c:v>
                </c:pt>
                <c:pt idx="224">
                  <c:v>44462</c:v>
                </c:pt>
                <c:pt idx="225">
                  <c:v>44463</c:v>
                </c:pt>
                <c:pt idx="226">
                  <c:v>44466</c:v>
                </c:pt>
                <c:pt idx="227">
                  <c:v>44467</c:v>
                </c:pt>
                <c:pt idx="228">
                  <c:v>44468</c:v>
                </c:pt>
                <c:pt idx="229">
                  <c:v>44469</c:v>
                </c:pt>
                <c:pt idx="230">
                  <c:v>44470</c:v>
                </c:pt>
                <c:pt idx="231">
                  <c:v>44473</c:v>
                </c:pt>
                <c:pt idx="232">
                  <c:v>44474</c:v>
                </c:pt>
                <c:pt idx="233">
                  <c:v>44475</c:v>
                </c:pt>
                <c:pt idx="234">
                  <c:v>44476</c:v>
                </c:pt>
                <c:pt idx="235">
                  <c:v>44477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44487</c:v>
                </c:pt>
                <c:pt idx="242">
                  <c:v>44488</c:v>
                </c:pt>
                <c:pt idx="243">
                  <c:v>44489</c:v>
                </c:pt>
                <c:pt idx="244">
                  <c:v>44490</c:v>
                </c:pt>
                <c:pt idx="245">
                  <c:v>44491</c:v>
                </c:pt>
                <c:pt idx="246">
                  <c:v>44494</c:v>
                </c:pt>
                <c:pt idx="247">
                  <c:v>44495</c:v>
                </c:pt>
                <c:pt idx="248">
                  <c:v>44496</c:v>
                </c:pt>
                <c:pt idx="249">
                  <c:v>44497</c:v>
                </c:pt>
                <c:pt idx="250">
                  <c:v>44498</c:v>
                </c:pt>
                <c:pt idx="251">
                  <c:v>44501</c:v>
                </c:pt>
                <c:pt idx="252">
                  <c:v>44502</c:v>
                </c:pt>
                <c:pt idx="253">
                  <c:v>44503</c:v>
                </c:pt>
                <c:pt idx="254">
                  <c:v>44504</c:v>
                </c:pt>
                <c:pt idx="255">
                  <c:v>44505</c:v>
                </c:pt>
                <c:pt idx="256">
                  <c:v>44508</c:v>
                </c:pt>
                <c:pt idx="257">
                  <c:v>44509</c:v>
                </c:pt>
                <c:pt idx="258">
                  <c:v>44510</c:v>
                </c:pt>
                <c:pt idx="259">
                  <c:v>44511</c:v>
                </c:pt>
                <c:pt idx="260">
                  <c:v>44512</c:v>
                </c:pt>
                <c:pt idx="261">
                  <c:v>44515</c:v>
                </c:pt>
                <c:pt idx="262">
                  <c:v>44516</c:v>
                </c:pt>
                <c:pt idx="263">
                  <c:v>44517</c:v>
                </c:pt>
                <c:pt idx="264">
                  <c:v>44518</c:v>
                </c:pt>
                <c:pt idx="265">
                  <c:v>44519</c:v>
                </c:pt>
                <c:pt idx="266">
                  <c:v>44522</c:v>
                </c:pt>
                <c:pt idx="267">
                  <c:v>44523</c:v>
                </c:pt>
                <c:pt idx="268">
                  <c:v>44524</c:v>
                </c:pt>
                <c:pt idx="269">
                  <c:v>44526</c:v>
                </c:pt>
                <c:pt idx="270">
                  <c:v>44529</c:v>
                </c:pt>
                <c:pt idx="271">
                  <c:v>44530</c:v>
                </c:pt>
                <c:pt idx="272">
                  <c:v>44531</c:v>
                </c:pt>
                <c:pt idx="273">
                  <c:v>44532</c:v>
                </c:pt>
                <c:pt idx="274">
                  <c:v>44533</c:v>
                </c:pt>
                <c:pt idx="275">
                  <c:v>44536</c:v>
                </c:pt>
                <c:pt idx="276">
                  <c:v>44537</c:v>
                </c:pt>
                <c:pt idx="277">
                  <c:v>44538</c:v>
                </c:pt>
                <c:pt idx="278">
                  <c:v>44539</c:v>
                </c:pt>
                <c:pt idx="279">
                  <c:v>44540</c:v>
                </c:pt>
                <c:pt idx="280">
                  <c:v>44543</c:v>
                </c:pt>
                <c:pt idx="281">
                  <c:v>44544</c:v>
                </c:pt>
                <c:pt idx="282">
                  <c:v>44545</c:v>
                </c:pt>
                <c:pt idx="283">
                  <c:v>44546</c:v>
                </c:pt>
                <c:pt idx="284">
                  <c:v>44547</c:v>
                </c:pt>
                <c:pt idx="285">
                  <c:v>44550</c:v>
                </c:pt>
                <c:pt idx="286">
                  <c:v>44551</c:v>
                </c:pt>
                <c:pt idx="287">
                  <c:v>44552</c:v>
                </c:pt>
                <c:pt idx="288">
                  <c:v>44553</c:v>
                </c:pt>
                <c:pt idx="289">
                  <c:v>44557</c:v>
                </c:pt>
                <c:pt idx="290">
                  <c:v>44558</c:v>
                </c:pt>
                <c:pt idx="291">
                  <c:v>44559</c:v>
                </c:pt>
                <c:pt idx="292">
                  <c:v>44560</c:v>
                </c:pt>
                <c:pt idx="293">
                  <c:v>44561</c:v>
                </c:pt>
                <c:pt idx="294">
                  <c:v>44564</c:v>
                </c:pt>
                <c:pt idx="295">
                  <c:v>44565</c:v>
                </c:pt>
                <c:pt idx="296">
                  <c:v>44566</c:v>
                </c:pt>
                <c:pt idx="297">
                  <c:v>44567</c:v>
                </c:pt>
                <c:pt idx="298">
                  <c:v>44568</c:v>
                </c:pt>
                <c:pt idx="299">
                  <c:v>44571</c:v>
                </c:pt>
                <c:pt idx="300">
                  <c:v>44572</c:v>
                </c:pt>
                <c:pt idx="301">
                  <c:v>44573</c:v>
                </c:pt>
                <c:pt idx="302">
                  <c:v>44574</c:v>
                </c:pt>
                <c:pt idx="303">
                  <c:v>44575</c:v>
                </c:pt>
                <c:pt idx="304">
                  <c:v>44579</c:v>
                </c:pt>
                <c:pt idx="305">
                  <c:v>44580</c:v>
                </c:pt>
                <c:pt idx="306">
                  <c:v>44581</c:v>
                </c:pt>
                <c:pt idx="307">
                  <c:v>44582</c:v>
                </c:pt>
                <c:pt idx="308">
                  <c:v>44585</c:v>
                </c:pt>
                <c:pt idx="309">
                  <c:v>44586</c:v>
                </c:pt>
                <c:pt idx="310">
                  <c:v>44587</c:v>
                </c:pt>
                <c:pt idx="311">
                  <c:v>44588</c:v>
                </c:pt>
                <c:pt idx="312">
                  <c:v>44589</c:v>
                </c:pt>
                <c:pt idx="313">
                  <c:v>44592</c:v>
                </c:pt>
                <c:pt idx="314">
                  <c:v>44593</c:v>
                </c:pt>
                <c:pt idx="315">
                  <c:v>44594</c:v>
                </c:pt>
                <c:pt idx="316">
                  <c:v>44595</c:v>
                </c:pt>
                <c:pt idx="317">
                  <c:v>44596</c:v>
                </c:pt>
                <c:pt idx="318">
                  <c:v>44599</c:v>
                </c:pt>
                <c:pt idx="319">
                  <c:v>44600</c:v>
                </c:pt>
                <c:pt idx="320">
                  <c:v>44601</c:v>
                </c:pt>
                <c:pt idx="321">
                  <c:v>44602</c:v>
                </c:pt>
                <c:pt idx="322">
                  <c:v>44603</c:v>
                </c:pt>
                <c:pt idx="323">
                  <c:v>44606</c:v>
                </c:pt>
                <c:pt idx="324">
                  <c:v>44607</c:v>
                </c:pt>
                <c:pt idx="325">
                  <c:v>44608</c:v>
                </c:pt>
                <c:pt idx="326">
                  <c:v>44609</c:v>
                </c:pt>
                <c:pt idx="327">
                  <c:v>44610</c:v>
                </c:pt>
                <c:pt idx="328">
                  <c:v>44614</c:v>
                </c:pt>
                <c:pt idx="329">
                  <c:v>44615</c:v>
                </c:pt>
                <c:pt idx="330">
                  <c:v>44616</c:v>
                </c:pt>
                <c:pt idx="331">
                  <c:v>44617</c:v>
                </c:pt>
                <c:pt idx="332">
                  <c:v>44620</c:v>
                </c:pt>
                <c:pt idx="333">
                  <c:v>44621</c:v>
                </c:pt>
                <c:pt idx="334">
                  <c:v>44622</c:v>
                </c:pt>
                <c:pt idx="335">
                  <c:v>44623</c:v>
                </c:pt>
                <c:pt idx="336">
                  <c:v>44624</c:v>
                </c:pt>
                <c:pt idx="337">
                  <c:v>44627</c:v>
                </c:pt>
                <c:pt idx="338">
                  <c:v>44628</c:v>
                </c:pt>
                <c:pt idx="339">
                  <c:v>44629</c:v>
                </c:pt>
                <c:pt idx="340">
                  <c:v>44630</c:v>
                </c:pt>
                <c:pt idx="341">
                  <c:v>44631</c:v>
                </c:pt>
                <c:pt idx="342">
                  <c:v>44634</c:v>
                </c:pt>
                <c:pt idx="343">
                  <c:v>44635</c:v>
                </c:pt>
                <c:pt idx="344">
                  <c:v>44636</c:v>
                </c:pt>
                <c:pt idx="345">
                  <c:v>44637</c:v>
                </c:pt>
                <c:pt idx="346">
                  <c:v>44638</c:v>
                </c:pt>
                <c:pt idx="347">
                  <c:v>44641</c:v>
                </c:pt>
                <c:pt idx="348">
                  <c:v>44642</c:v>
                </c:pt>
                <c:pt idx="349">
                  <c:v>44643</c:v>
                </c:pt>
                <c:pt idx="350">
                  <c:v>44644</c:v>
                </c:pt>
                <c:pt idx="351">
                  <c:v>44645</c:v>
                </c:pt>
                <c:pt idx="352">
                  <c:v>44648</c:v>
                </c:pt>
                <c:pt idx="353">
                  <c:v>44649</c:v>
                </c:pt>
                <c:pt idx="354">
                  <c:v>44650</c:v>
                </c:pt>
                <c:pt idx="355">
                  <c:v>44651</c:v>
                </c:pt>
                <c:pt idx="356">
                  <c:v>44652</c:v>
                </c:pt>
                <c:pt idx="357">
                  <c:v>44655</c:v>
                </c:pt>
                <c:pt idx="358">
                  <c:v>44656</c:v>
                </c:pt>
                <c:pt idx="359">
                  <c:v>44657</c:v>
                </c:pt>
                <c:pt idx="360">
                  <c:v>44658</c:v>
                </c:pt>
                <c:pt idx="361">
                  <c:v>44659</c:v>
                </c:pt>
                <c:pt idx="362">
                  <c:v>44662</c:v>
                </c:pt>
                <c:pt idx="363">
                  <c:v>44663</c:v>
                </c:pt>
                <c:pt idx="364">
                  <c:v>44664</c:v>
                </c:pt>
                <c:pt idx="365">
                  <c:v>44665</c:v>
                </c:pt>
                <c:pt idx="366">
                  <c:v>44669</c:v>
                </c:pt>
                <c:pt idx="367">
                  <c:v>44670</c:v>
                </c:pt>
                <c:pt idx="368">
                  <c:v>44671</c:v>
                </c:pt>
                <c:pt idx="369">
                  <c:v>44672</c:v>
                </c:pt>
                <c:pt idx="370">
                  <c:v>44673</c:v>
                </c:pt>
                <c:pt idx="371">
                  <c:v>44676</c:v>
                </c:pt>
                <c:pt idx="372">
                  <c:v>44677</c:v>
                </c:pt>
                <c:pt idx="373">
                  <c:v>44678</c:v>
                </c:pt>
                <c:pt idx="374">
                  <c:v>44679</c:v>
                </c:pt>
                <c:pt idx="375">
                  <c:v>44680</c:v>
                </c:pt>
                <c:pt idx="376">
                  <c:v>44683</c:v>
                </c:pt>
                <c:pt idx="377">
                  <c:v>44684</c:v>
                </c:pt>
                <c:pt idx="378">
                  <c:v>44685</c:v>
                </c:pt>
                <c:pt idx="379">
                  <c:v>44686</c:v>
                </c:pt>
                <c:pt idx="380">
                  <c:v>44687</c:v>
                </c:pt>
                <c:pt idx="381">
                  <c:v>44690</c:v>
                </c:pt>
                <c:pt idx="382">
                  <c:v>44691</c:v>
                </c:pt>
                <c:pt idx="383">
                  <c:v>44692</c:v>
                </c:pt>
                <c:pt idx="384">
                  <c:v>44693</c:v>
                </c:pt>
                <c:pt idx="385">
                  <c:v>44694</c:v>
                </c:pt>
                <c:pt idx="386">
                  <c:v>44697</c:v>
                </c:pt>
                <c:pt idx="387">
                  <c:v>44698</c:v>
                </c:pt>
                <c:pt idx="388">
                  <c:v>44699</c:v>
                </c:pt>
                <c:pt idx="389">
                  <c:v>44700</c:v>
                </c:pt>
                <c:pt idx="390">
                  <c:v>44701</c:v>
                </c:pt>
                <c:pt idx="391">
                  <c:v>44704</c:v>
                </c:pt>
                <c:pt idx="392">
                  <c:v>44705</c:v>
                </c:pt>
                <c:pt idx="393">
                  <c:v>44706</c:v>
                </c:pt>
                <c:pt idx="394">
                  <c:v>44707</c:v>
                </c:pt>
                <c:pt idx="395">
                  <c:v>44708</c:v>
                </c:pt>
                <c:pt idx="396">
                  <c:v>44712</c:v>
                </c:pt>
                <c:pt idx="397">
                  <c:v>44713</c:v>
                </c:pt>
                <c:pt idx="398">
                  <c:v>44714</c:v>
                </c:pt>
                <c:pt idx="399">
                  <c:v>44715</c:v>
                </c:pt>
                <c:pt idx="400">
                  <c:v>44718</c:v>
                </c:pt>
                <c:pt idx="401">
                  <c:v>44719</c:v>
                </c:pt>
                <c:pt idx="402">
                  <c:v>44720</c:v>
                </c:pt>
                <c:pt idx="403">
                  <c:v>44721</c:v>
                </c:pt>
                <c:pt idx="404">
                  <c:v>44722</c:v>
                </c:pt>
                <c:pt idx="405">
                  <c:v>44725</c:v>
                </c:pt>
                <c:pt idx="406">
                  <c:v>44726</c:v>
                </c:pt>
                <c:pt idx="407">
                  <c:v>44727</c:v>
                </c:pt>
                <c:pt idx="408">
                  <c:v>44728</c:v>
                </c:pt>
                <c:pt idx="409">
                  <c:v>44729</c:v>
                </c:pt>
                <c:pt idx="410">
                  <c:v>44733</c:v>
                </c:pt>
                <c:pt idx="411">
                  <c:v>44734</c:v>
                </c:pt>
                <c:pt idx="412">
                  <c:v>44735</c:v>
                </c:pt>
                <c:pt idx="413">
                  <c:v>44736</c:v>
                </c:pt>
                <c:pt idx="414">
                  <c:v>44739</c:v>
                </c:pt>
                <c:pt idx="415">
                  <c:v>44740</c:v>
                </c:pt>
                <c:pt idx="416">
                  <c:v>44741</c:v>
                </c:pt>
                <c:pt idx="417">
                  <c:v>44742</c:v>
                </c:pt>
                <c:pt idx="418">
                  <c:v>44743</c:v>
                </c:pt>
                <c:pt idx="419">
                  <c:v>44747</c:v>
                </c:pt>
                <c:pt idx="420">
                  <c:v>44748</c:v>
                </c:pt>
                <c:pt idx="421">
                  <c:v>44749</c:v>
                </c:pt>
                <c:pt idx="422">
                  <c:v>44750</c:v>
                </c:pt>
                <c:pt idx="423">
                  <c:v>44753</c:v>
                </c:pt>
                <c:pt idx="424">
                  <c:v>44754</c:v>
                </c:pt>
                <c:pt idx="425">
                  <c:v>44755</c:v>
                </c:pt>
                <c:pt idx="426">
                  <c:v>44756</c:v>
                </c:pt>
                <c:pt idx="427">
                  <c:v>44757</c:v>
                </c:pt>
                <c:pt idx="428">
                  <c:v>44760</c:v>
                </c:pt>
                <c:pt idx="429">
                  <c:v>44761</c:v>
                </c:pt>
                <c:pt idx="430">
                  <c:v>44762</c:v>
                </c:pt>
                <c:pt idx="431">
                  <c:v>44763</c:v>
                </c:pt>
                <c:pt idx="432">
                  <c:v>44764</c:v>
                </c:pt>
                <c:pt idx="433">
                  <c:v>44767</c:v>
                </c:pt>
                <c:pt idx="434">
                  <c:v>44768</c:v>
                </c:pt>
                <c:pt idx="435">
                  <c:v>44769</c:v>
                </c:pt>
                <c:pt idx="436">
                  <c:v>44770</c:v>
                </c:pt>
                <c:pt idx="437">
                  <c:v>44771</c:v>
                </c:pt>
                <c:pt idx="438">
                  <c:v>44774</c:v>
                </c:pt>
                <c:pt idx="439">
                  <c:v>44775</c:v>
                </c:pt>
                <c:pt idx="440">
                  <c:v>44776</c:v>
                </c:pt>
                <c:pt idx="441">
                  <c:v>44777</c:v>
                </c:pt>
                <c:pt idx="442">
                  <c:v>44778</c:v>
                </c:pt>
                <c:pt idx="443">
                  <c:v>44781</c:v>
                </c:pt>
                <c:pt idx="444">
                  <c:v>44782</c:v>
                </c:pt>
                <c:pt idx="445">
                  <c:v>44783</c:v>
                </c:pt>
                <c:pt idx="446">
                  <c:v>44784</c:v>
                </c:pt>
                <c:pt idx="447">
                  <c:v>44785</c:v>
                </c:pt>
                <c:pt idx="448">
                  <c:v>44788</c:v>
                </c:pt>
                <c:pt idx="449">
                  <c:v>44789</c:v>
                </c:pt>
                <c:pt idx="450">
                  <c:v>44790</c:v>
                </c:pt>
                <c:pt idx="451">
                  <c:v>44791</c:v>
                </c:pt>
                <c:pt idx="452">
                  <c:v>44792</c:v>
                </c:pt>
                <c:pt idx="453">
                  <c:v>44795</c:v>
                </c:pt>
                <c:pt idx="454">
                  <c:v>44796</c:v>
                </c:pt>
                <c:pt idx="455">
                  <c:v>44797</c:v>
                </c:pt>
                <c:pt idx="456">
                  <c:v>44798</c:v>
                </c:pt>
                <c:pt idx="457">
                  <c:v>44799</c:v>
                </c:pt>
                <c:pt idx="458">
                  <c:v>44802</c:v>
                </c:pt>
                <c:pt idx="459">
                  <c:v>44803</c:v>
                </c:pt>
                <c:pt idx="460">
                  <c:v>44804</c:v>
                </c:pt>
                <c:pt idx="461">
                  <c:v>44805</c:v>
                </c:pt>
                <c:pt idx="462">
                  <c:v>44806</c:v>
                </c:pt>
                <c:pt idx="463">
                  <c:v>44810</c:v>
                </c:pt>
                <c:pt idx="464">
                  <c:v>44811</c:v>
                </c:pt>
                <c:pt idx="465">
                  <c:v>44812</c:v>
                </c:pt>
                <c:pt idx="466">
                  <c:v>44813</c:v>
                </c:pt>
                <c:pt idx="467">
                  <c:v>44816</c:v>
                </c:pt>
                <c:pt idx="468">
                  <c:v>44817</c:v>
                </c:pt>
                <c:pt idx="469">
                  <c:v>44818</c:v>
                </c:pt>
                <c:pt idx="470">
                  <c:v>44819</c:v>
                </c:pt>
                <c:pt idx="471">
                  <c:v>44820</c:v>
                </c:pt>
                <c:pt idx="472">
                  <c:v>44823</c:v>
                </c:pt>
                <c:pt idx="473">
                  <c:v>44824</c:v>
                </c:pt>
                <c:pt idx="474">
                  <c:v>44825</c:v>
                </c:pt>
                <c:pt idx="475">
                  <c:v>44826</c:v>
                </c:pt>
                <c:pt idx="476">
                  <c:v>44827</c:v>
                </c:pt>
                <c:pt idx="477">
                  <c:v>44830</c:v>
                </c:pt>
                <c:pt idx="478">
                  <c:v>44831</c:v>
                </c:pt>
                <c:pt idx="479">
                  <c:v>44832</c:v>
                </c:pt>
                <c:pt idx="480">
                  <c:v>44833</c:v>
                </c:pt>
                <c:pt idx="481">
                  <c:v>44834</c:v>
                </c:pt>
                <c:pt idx="482">
                  <c:v>44837</c:v>
                </c:pt>
                <c:pt idx="483">
                  <c:v>44838</c:v>
                </c:pt>
                <c:pt idx="484">
                  <c:v>44839</c:v>
                </c:pt>
                <c:pt idx="485">
                  <c:v>44840</c:v>
                </c:pt>
                <c:pt idx="486">
                  <c:v>44841</c:v>
                </c:pt>
                <c:pt idx="487">
                  <c:v>44844</c:v>
                </c:pt>
                <c:pt idx="488">
                  <c:v>44845</c:v>
                </c:pt>
                <c:pt idx="489">
                  <c:v>44846</c:v>
                </c:pt>
                <c:pt idx="490">
                  <c:v>44847</c:v>
                </c:pt>
                <c:pt idx="491">
                  <c:v>44848</c:v>
                </c:pt>
                <c:pt idx="492">
                  <c:v>44851</c:v>
                </c:pt>
                <c:pt idx="493">
                  <c:v>44852</c:v>
                </c:pt>
                <c:pt idx="494">
                  <c:v>44853</c:v>
                </c:pt>
                <c:pt idx="495">
                  <c:v>44854</c:v>
                </c:pt>
                <c:pt idx="496">
                  <c:v>44855</c:v>
                </c:pt>
                <c:pt idx="497">
                  <c:v>44858</c:v>
                </c:pt>
                <c:pt idx="498">
                  <c:v>44859</c:v>
                </c:pt>
                <c:pt idx="499">
                  <c:v>44860</c:v>
                </c:pt>
                <c:pt idx="500">
                  <c:v>44861</c:v>
                </c:pt>
                <c:pt idx="501">
                  <c:v>44862</c:v>
                </c:pt>
                <c:pt idx="502">
                  <c:v>44865</c:v>
                </c:pt>
                <c:pt idx="503">
                  <c:v>44866</c:v>
                </c:pt>
                <c:pt idx="504">
                  <c:v>44867</c:v>
                </c:pt>
                <c:pt idx="505">
                  <c:v>44868</c:v>
                </c:pt>
                <c:pt idx="506">
                  <c:v>44869</c:v>
                </c:pt>
                <c:pt idx="507">
                  <c:v>44872</c:v>
                </c:pt>
                <c:pt idx="508">
                  <c:v>44873</c:v>
                </c:pt>
                <c:pt idx="509">
                  <c:v>44874</c:v>
                </c:pt>
                <c:pt idx="510">
                  <c:v>44875</c:v>
                </c:pt>
                <c:pt idx="511">
                  <c:v>44876</c:v>
                </c:pt>
                <c:pt idx="512">
                  <c:v>44879</c:v>
                </c:pt>
                <c:pt idx="513">
                  <c:v>44880</c:v>
                </c:pt>
                <c:pt idx="514">
                  <c:v>44881</c:v>
                </c:pt>
                <c:pt idx="515">
                  <c:v>44882</c:v>
                </c:pt>
                <c:pt idx="516">
                  <c:v>44883</c:v>
                </c:pt>
                <c:pt idx="517">
                  <c:v>44886</c:v>
                </c:pt>
                <c:pt idx="518">
                  <c:v>44887</c:v>
                </c:pt>
                <c:pt idx="519">
                  <c:v>44888</c:v>
                </c:pt>
                <c:pt idx="520">
                  <c:v>44890</c:v>
                </c:pt>
                <c:pt idx="521">
                  <c:v>44893</c:v>
                </c:pt>
                <c:pt idx="522">
                  <c:v>44894</c:v>
                </c:pt>
                <c:pt idx="523">
                  <c:v>44895</c:v>
                </c:pt>
                <c:pt idx="524">
                  <c:v>44896</c:v>
                </c:pt>
                <c:pt idx="525">
                  <c:v>44897</c:v>
                </c:pt>
                <c:pt idx="526">
                  <c:v>44900</c:v>
                </c:pt>
                <c:pt idx="527">
                  <c:v>44901</c:v>
                </c:pt>
                <c:pt idx="528">
                  <c:v>44902</c:v>
                </c:pt>
                <c:pt idx="529">
                  <c:v>44903</c:v>
                </c:pt>
                <c:pt idx="530">
                  <c:v>44904</c:v>
                </c:pt>
                <c:pt idx="531">
                  <c:v>44907</c:v>
                </c:pt>
                <c:pt idx="532">
                  <c:v>44908</c:v>
                </c:pt>
                <c:pt idx="533">
                  <c:v>44909</c:v>
                </c:pt>
                <c:pt idx="534">
                  <c:v>44910</c:v>
                </c:pt>
                <c:pt idx="535">
                  <c:v>44911</c:v>
                </c:pt>
                <c:pt idx="536">
                  <c:v>44914</c:v>
                </c:pt>
                <c:pt idx="537">
                  <c:v>44915</c:v>
                </c:pt>
                <c:pt idx="538">
                  <c:v>44916</c:v>
                </c:pt>
                <c:pt idx="539">
                  <c:v>44917</c:v>
                </c:pt>
                <c:pt idx="540">
                  <c:v>44918</c:v>
                </c:pt>
                <c:pt idx="541">
                  <c:v>44922</c:v>
                </c:pt>
                <c:pt idx="542">
                  <c:v>44923</c:v>
                </c:pt>
                <c:pt idx="543">
                  <c:v>44924</c:v>
                </c:pt>
                <c:pt idx="544">
                  <c:v>44925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44943</c:v>
                </c:pt>
                <c:pt idx="555">
                  <c:v>44944</c:v>
                </c:pt>
                <c:pt idx="556">
                  <c:v>44945</c:v>
                </c:pt>
                <c:pt idx="557">
                  <c:v>44946</c:v>
                </c:pt>
                <c:pt idx="558">
                  <c:v>44949</c:v>
                </c:pt>
                <c:pt idx="559">
                  <c:v>44950</c:v>
                </c:pt>
                <c:pt idx="560">
                  <c:v>44951</c:v>
                </c:pt>
                <c:pt idx="561">
                  <c:v>44952</c:v>
                </c:pt>
                <c:pt idx="562">
                  <c:v>44953</c:v>
                </c:pt>
                <c:pt idx="563">
                  <c:v>44956</c:v>
                </c:pt>
                <c:pt idx="564">
                  <c:v>44957</c:v>
                </c:pt>
                <c:pt idx="565">
                  <c:v>44958</c:v>
                </c:pt>
                <c:pt idx="566">
                  <c:v>44959</c:v>
                </c:pt>
                <c:pt idx="567">
                  <c:v>44960</c:v>
                </c:pt>
                <c:pt idx="568">
                  <c:v>44963</c:v>
                </c:pt>
                <c:pt idx="569">
                  <c:v>44964</c:v>
                </c:pt>
                <c:pt idx="570">
                  <c:v>44965</c:v>
                </c:pt>
                <c:pt idx="571">
                  <c:v>44966</c:v>
                </c:pt>
                <c:pt idx="572">
                  <c:v>44967</c:v>
                </c:pt>
                <c:pt idx="573">
                  <c:v>44970</c:v>
                </c:pt>
                <c:pt idx="574">
                  <c:v>44971</c:v>
                </c:pt>
                <c:pt idx="575">
                  <c:v>44972</c:v>
                </c:pt>
                <c:pt idx="576">
                  <c:v>44973</c:v>
                </c:pt>
                <c:pt idx="577">
                  <c:v>44974</c:v>
                </c:pt>
                <c:pt idx="578">
                  <c:v>44978</c:v>
                </c:pt>
                <c:pt idx="579">
                  <c:v>44979</c:v>
                </c:pt>
                <c:pt idx="580">
                  <c:v>44980</c:v>
                </c:pt>
                <c:pt idx="581">
                  <c:v>44981</c:v>
                </c:pt>
                <c:pt idx="582">
                  <c:v>44984</c:v>
                </c:pt>
                <c:pt idx="583">
                  <c:v>44985</c:v>
                </c:pt>
                <c:pt idx="584">
                  <c:v>44986</c:v>
                </c:pt>
                <c:pt idx="585">
                  <c:v>44987</c:v>
                </c:pt>
                <c:pt idx="586">
                  <c:v>44988</c:v>
                </c:pt>
                <c:pt idx="587">
                  <c:v>44991</c:v>
                </c:pt>
                <c:pt idx="588">
                  <c:v>44992</c:v>
                </c:pt>
                <c:pt idx="589">
                  <c:v>44993</c:v>
                </c:pt>
                <c:pt idx="590">
                  <c:v>44994</c:v>
                </c:pt>
                <c:pt idx="591">
                  <c:v>44995</c:v>
                </c:pt>
                <c:pt idx="592">
                  <c:v>44998</c:v>
                </c:pt>
                <c:pt idx="593">
                  <c:v>44999</c:v>
                </c:pt>
                <c:pt idx="594">
                  <c:v>45000</c:v>
                </c:pt>
                <c:pt idx="595">
                  <c:v>45001</c:v>
                </c:pt>
                <c:pt idx="596">
                  <c:v>45002</c:v>
                </c:pt>
                <c:pt idx="597">
                  <c:v>45005</c:v>
                </c:pt>
                <c:pt idx="598">
                  <c:v>45006</c:v>
                </c:pt>
                <c:pt idx="599">
                  <c:v>45007</c:v>
                </c:pt>
                <c:pt idx="600">
                  <c:v>45008</c:v>
                </c:pt>
                <c:pt idx="601">
                  <c:v>45009</c:v>
                </c:pt>
                <c:pt idx="602">
                  <c:v>45012</c:v>
                </c:pt>
                <c:pt idx="603">
                  <c:v>45013</c:v>
                </c:pt>
                <c:pt idx="604">
                  <c:v>45014</c:v>
                </c:pt>
                <c:pt idx="605">
                  <c:v>45015</c:v>
                </c:pt>
                <c:pt idx="606">
                  <c:v>45016</c:v>
                </c:pt>
                <c:pt idx="607">
                  <c:v>45019</c:v>
                </c:pt>
                <c:pt idx="608">
                  <c:v>45020</c:v>
                </c:pt>
                <c:pt idx="609">
                  <c:v>45021</c:v>
                </c:pt>
                <c:pt idx="610">
                  <c:v>45022</c:v>
                </c:pt>
                <c:pt idx="611">
                  <c:v>45026</c:v>
                </c:pt>
                <c:pt idx="612">
                  <c:v>45027</c:v>
                </c:pt>
                <c:pt idx="613">
                  <c:v>45028</c:v>
                </c:pt>
                <c:pt idx="614">
                  <c:v>45029</c:v>
                </c:pt>
                <c:pt idx="615">
                  <c:v>45030</c:v>
                </c:pt>
                <c:pt idx="616">
                  <c:v>45033</c:v>
                </c:pt>
                <c:pt idx="617">
                  <c:v>45034</c:v>
                </c:pt>
                <c:pt idx="618">
                  <c:v>45035</c:v>
                </c:pt>
                <c:pt idx="619">
                  <c:v>45036</c:v>
                </c:pt>
                <c:pt idx="620">
                  <c:v>45037</c:v>
                </c:pt>
                <c:pt idx="621">
                  <c:v>45040</c:v>
                </c:pt>
                <c:pt idx="622">
                  <c:v>45041</c:v>
                </c:pt>
                <c:pt idx="623">
                  <c:v>45042</c:v>
                </c:pt>
                <c:pt idx="624">
                  <c:v>45043</c:v>
                </c:pt>
                <c:pt idx="625">
                  <c:v>45044</c:v>
                </c:pt>
                <c:pt idx="626">
                  <c:v>45047</c:v>
                </c:pt>
                <c:pt idx="627">
                  <c:v>45048</c:v>
                </c:pt>
                <c:pt idx="628">
                  <c:v>45049</c:v>
                </c:pt>
                <c:pt idx="629">
                  <c:v>45050</c:v>
                </c:pt>
                <c:pt idx="630">
                  <c:v>45051</c:v>
                </c:pt>
                <c:pt idx="631">
                  <c:v>45054</c:v>
                </c:pt>
                <c:pt idx="632">
                  <c:v>45055</c:v>
                </c:pt>
                <c:pt idx="633">
                  <c:v>45056</c:v>
                </c:pt>
                <c:pt idx="634">
                  <c:v>45057</c:v>
                </c:pt>
                <c:pt idx="635">
                  <c:v>45058</c:v>
                </c:pt>
                <c:pt idx="636">
                  <c:v>45061</c:v>
                </c:pt>
                <c:pt idx="637">
                  <c:v>45062</c:v>
                </c:pt>
                <c:pt idx="638">
                  <c:v>45063</c:v>
                </c:pt>
                <c:pt idx="639">
                  <c:v>45064</c:v>
                </c:pt>
                <c:pt idx="640">
                  <c:v>45065</c:v>
                </c:pt>
                <c:pt idx="641">
                  <c:v>45068</c:v>
                </c:pt>
                <c:pt idx="642">
                  <c:v>45069</c:v>
                </c:pt>
                <c:pt idx="643">
                  <c:v>45070</c:v>
                </c:pt>
                <c:pt idx="644">
                  <c:v>45071</c:v>
                </c:pt>
                <c:pt idx="645">
                  <c:v>45072</c:v>
                </c:pt>
                <c:pt idx="646">
                  <c:v>45076</c:v>
                </c:pt>
                <c:pt idx="647">
                  <c:v>45077</c:v>
                </c:pt>
                <c:pt idx="648">
                  <c:v>45078</c:v>
                </c:pt>
                <c:pt idx="649">
                  <c:v>45079</c:v>
                </c:pt>
                <c:pt idx="650">
                  <c:v>45082</c:v>
                </c:pt>
                <c:pt idx="651">
                  <c:v>45083</c:v>
                </c:pt>
                <c:pt idx="652">
                  <c:v>45084</c:v>
                </c:pt>
                <c:pt idx="653">
                  <c:v>45085</c:v>
                </c:pt>
                <c:pt idx="654">
                  <c:v>45086</c:v>
                </c:pt>
                <c:pt idx="655">
                  <c:v>45089</c:v>
                </c:pt>
                <c:pt idx="656">
                  <c:v>45090</c:v>
                </c:pt>
                <c:pt idx="657">
                  <c:v>45091</c:v>
                </c:pt>
                <c:pt idx="658">
                  <c:v>45092</c:v>
                </c:pt>
                <c:pt idx="659">
                  <c:v>45093</c:v>
                </c:pt>
                <c:pt idx="660">
                  <c:v>45097</c:v>
                </c:pt>
                <c:pt idx="661">
                  <c:v>45098</c:v>
                </c:pt>
                <c:pt idx="662">
                  <c:v>45099</c:v>
                </c:pt>
                <c:pt idx="663">
                  <c:v>45100</c:v>
                </c:pt>
                <c:pt idx="664">
                  <c:v>45103</c:v>
                </c:pt>
                <c:pt idx="665">
                  <c:v>45104</c:v>
                </c:pt>
                <c:pt idx="666">
                  <c:v>45105</c:v>
                </c:pt>
                <c:pt idx="667">
                  <c:v>45106</c:v>
                </c:pt>
                <c:pt idx="668">
                  <c:v>45107</c:v>
                </c:pt>
                <c:pt idx="669">
                  <c:v>45110</c:v>
                </c:pt>
                <c:pt idx="670">
                  <c:v>45112</c:v>
                </c:pt>
                <c:pt idx="671">
                  <c:v>45113</c:v>
                </c:pt>
                <c:pt idx="672">
                  <c:v>45114</c:v>
                </c:pt>
                <c:pt idx="673">
                  <c:v>45117</c:v>
                </c:pt>
                <c:pt idx="674">
                  <c:v>45118</c:v>
                </c:pt>
                <c:pt idx="675">
                  <c:v>45119</c:v>
                </c:pt>
                <c:pt idx="676">
                  <c:v>45120</c:v>
                </c:pt>
                <c:pt idx="677">
                  <c:v>45121</c:v>
                </c:pt>
                <c:pt idx="678">
                  <c:v>45124</c:v>
                </c:pt>
                <c:pt idx="679">
                  <c:v>45125</c:v>
                </c:pt>
                <c:pt idx="680">
                  <c:v>45126</c:v>
                </c:pt>
                <c:pt idx="681">
                  <c:v>45127</c:v>
                </c:pt>
                <c:pt idx="682">
                  <c:v>45128</c:v>
                </c:pt>
                <c:pt idx="683">
                  <c:v>45131</c:v>
                </c:pt>
                <c:pt idx="684">
                  <c:v>45132</c:v>
                </c:pt>
                <c:pt idx="685">
                  <c:v>45133</c:v>
                </c:pt>
                <c:pt idx="686">
                  <c:v>45134</c:v>
                </c:pt>
                <c:pt idx="687">
                  <c:v>45135</c:v>
                </c:pt>
                <c:pt idx="688">
                  <c:v>45138</c:v>
                </c:pt>
                <c:pt idx="689">
                  <c:v>45139</c:v>
                </c:pt>
                <c:pt idx="690">
                  <c:v>45140</c:v>
                </c:pt>
                <c:pt idx="691">
                  <c:v>45141</c:v>
                </c:pt>
                <c:pt idx="692">
                  <c:v>45142</c:v>
                </c:pt>
                <c:pt idx="693">
                  <c:v>45145</c:v>
                </c:pt>
                <c:pt idx="694">
                  <c:v>45146</c:v>
                </c:pt>
                <c:pt idx="695">
                  <c:v>45147</c:v>
                </c:pt>
                <c:pt idx="696">
                  <c:v>45148</c:v>
                </c:pt>
                <c:pt idx="697">
                  <c:v>45149</c:v>
                </c:pt>
                <c:pt idx="698">
                  <c:v>45152</c:v>
                </c:pt>
                <c:pt idx="699">
                  <c:v>45153</c:v>
                </c:pt>
                <c:pt idx="700">
                  <c:v>45154</c:v>
                </c:pt>
                <c:pt idx="701">
                  <c:v>45155</c:v>
                </c:pt>
                <c:pt idx="702">
                  <c:v>45156</c:v>
                </c:pt>
                <c:pt idx="703">
                  <c:v>45159</c:v>
                </c:pt>
                <c:pt idx="704">
                  <c:v>45160</c:v>
                </c:pt>
                <c:pt idx="705">
                  <c:v>45161</c:v>
                </c:pt>
                <c:pt idx="706">
                  <c:v>45162</c:v>
                </c:pt>
                <c:pt idx="707">
                  <c:v>45163</c:v>
                </c:pt>
                <c:pt idx="708">
                  <c:v>45166</c:v>
                </c:pt>
                <c:pt idx="709">
                  <c:v>45167</c:v>
                </c:pt>
                <c:pt idx="710">
                  <c:v>45168</c:v>
                </c:pt>
                <c:pt idx="711">
                  <c:v>45169</c:v>
                </c:pt>
                <c:pt idx="712">
                  <c:v>45170</c:v>
                </c:pt>
                <c:pt idx="713">
                  <c:v>45174</c:v>
                </c:pt>
                <c:pt idx="714">
                  <c:v>45175</c:v>
                </c:pt>
                <c:pt idx="715">
                  <c:v>45176</c:v>
                </c:pt>
                <c:pt idx="716">
                  <c:v>45177</c:v>
                </c:pt>
                <c:pt idx="717">
                  <c:v>45180</c:v>
                </c:pt>
                <c:pt idx="718">
                  <c:v>45181</c:v>
                </c:pt>
                <c:pt idx="719">
                  <c:v>45182</c:v>
                </c:pt>
                <c:pt idx="720">
                  <c:v>45183</c:v>
                </c:pt>
                <c:pt idx="721">
                  <c:v>45184</c:v>
                </c:pt>
                <c:pt idx="722">
                  <c:v>45187</c:v>
                </c:pt>
                <c:pt idx="723">
                  <c:v>45188</c:v>
                </c:pt>
                <c:pt idx="724">
                  <c:v>45189</c:v>
                </c:pt>
                <c:pt idx="725">
                  <c:v>45190</c:v>
                </c:pt>
                <c:pt idx="726">
                  <c:v>45191</c:v>
                </c:pt>
                <c:pt idx="727">
                  <c:v>45194</c:v>
                </c:pt>
                <c:pt idx="728">
                  <c:v>45195</c:v>
                </c:pt>
                <c:pt idx="729">
                  <c:v>45196</c:v>
                </c:pt>
                <c:pt idx="730">
                  <c:v>45197</c:v>
                </c:pt>
                <c:pt idx="731">
                  <c:v>45198</c:v>
                </c:pt>
                <c:pt idx="732">
                  <c:v>45201</c:v>
                </c:pt>
                <c:pt idx="733">
                  <c:v>45202</c:v>
                </c:pt>
                <c:pt idx="734">
                  <c:v>45203</c:v>
                </c:pt>
                <c:pt idx="735">
                  <c:v>45204</c:v>
                </c:pt>
                <c:pt idx="736">
                  <c:v>45205</c:v>
                </c:pt>
                <c:pt idx="737">
                  <c:v>45208</c:v>
                </c:pt>
                <c:pt idx="738">
                  <c:v>45209</c:v>
                </c:pt>
                <c:pt idx="739">
                  <c:v>45210</c:v>
                </c:pt>
                <c:pt idx="740">
                  <c:v>45211</c:v>
                </c:pt>
                <c:pt idx="741">
                  <c:v>45212</c:v>
                </c:pt>
                <c:pt idx="742">
                  <c:v>45215</c:v>
                </c:pt>
                <c:pt idx="743">
                  <c:v>45216</c:v>
                </c:pt>
                <c:pt idx="744">
                  <c:v>45217</c:v>
                </c:pt>
                <c:pt idx="745">
                  <c:v>45218</c:v>
                </c:pt>
                <c:pt idx="746">
                  <c:v>45219</c:v>
                </c:pt>
                <c:pt idx="747">
                  <c:v>45222</c:v>
                </c:pt>
                <c:pt idx="748">
                  <c:v>45223</c:v>
                </c:pt>
                <c:pt idx="749">
                  <c:v>45224</c:v>
                </c:pt>
                <c:pt idx="750">
                  <c:v>45225</c:v>
                </c:pt>
                <c:pt idx="751">
                  <c:v>45226</c:v>
                </c:pt>
                <c:pt idx="752">
                  <c:v>45229</c:v>
                </c:pt>
                <c:pt idx="753">
                  <c:v>45230</c:v>
                </c:pt>
                <c:pt idx="754">
                  <c:v>45231</c:v>
                </c:pt>
                <c:pt idx="755">
                  <c:v>45232</c:v>
                </c:pt>
                <c:pt idx="756">
                  <c:v>45233</c:v>
                </c:pt>
                <c:pt idx="757">
                  <c:v>45236</c:v>
                </c:pt>
                <c:pt idx="758">
                  <c:v>45237</c:v>
                </c:pt>
                <c:pt idx="759">
                  <c:v>45238</c:v>
                </c:pt>
                <c:pt idx="760">
                  <c:v>45239</c:v>
                </c:pt>
                <c:pt idx="761">
                  <c:v>45240</c:v>
                </c:pt>
                <c:pt idx="762">
                  <c:v>45243</c:v>
                </c:pt>
                <c:pt idx="763">
                  <c:v>45244</c:v>
                </c:pt>
                <c:pt idx="764">
                  <c:v>45245</c:v>
                </c:pt>
                <c:pt idx="765">
                  <c:v>45246</c:v>
                </c:pt>
                <c:pt idx="766">
                  <c:v>45247</c:v>
                </c:pt>
                <c:pt idx="767">
                  <c:v>45250</c:v>
                </c:pt>
                <c:pt idx="768">
                  <c:v>45251</c:v>
                </c:pt>
                <c:pt idx="769">
                  <c:v>45252</c:v>
                </c:pt>
                <c:pt idx="770">
                  <c:v>45254</c:v>
                </c:pt>
                <c:pt idx="771">
                  <c:v>45257</c:v>
                </c:pt>
                <c:pt idx="772">
                  <c:v>45258</c:v>
                </c:pt>
                <c:pt idx="773">
                  <c:v>45259</c:v>
                </c:pt>
                <c:pt idx="774">
                  <c:v>45260</c:v>
                </c:pt>
                <c:pt idx="775">
                  <c:v>45261</c:v>
                </c:pt>
                <c:pt idx="776">
                  <c:v>45264</c:v>
                </c:pt>
                <c:pt idx="777">
                  <c:v>45265</c:v>
                </c:pt>
                <c:pt idx="778">
                  <c:v>45266</c:v>
                </c:pt>
                <c:pt idx="779">
                  <c:v>45267</c:v>
                </c:pt>
                <c:pt idx="780">
                  <c:v>45268</c:v>
                </c:pt>
                <c:pt idx="781">
                  <c:v>45271</c:v>
                </c:pt>
                <c:pt idx="782">
                  <c:v>45272</c:v>
                </c:pt>
                <c:pt idx="783">
                  <c:v>45273</c:v>
                </c:pt>
                <c:pt idx="784">
                  <c:v>45274</c:v>
                </c:pt>
                <c:pt idx="785">
                  <c:v>45275</c:v>
                </c:pt>
                <c:pt idx="786">
                  <c:v>45278</c:v>
                </c:pt>
                <c:pt idx="787">
                  <c:v>45279</c:v>
                </c:pt>
                <c:pt idx="788">
                  <c:v>45280</c:v>
                </c:pt>
                <c:pt idx="789">
                  <c:v>45281</c:v>
                </c:pt>
                <c:pt idx="790">
                  <c:v>45282</c:v>
                </c:pt>
                <c:pt idx="791">
                  <c:v>45286</c:v>
                </c:pt>
                <c:pt idx="792">
                  <c:v>45287</c:v>
                </c:pt>
                <c:pt idx="793">
                  <c:v>45288</c:v>
                </c:pt>
                <c:pt idx="794">
                  <c:v>45289</c:v>
                </c:pt>
                <c:pt idx="795">
                  <c:v>45293</c:v>
                </c:pt>
                <c:pt idx="796">
                  <c:v>45294</c:v>
                </c:pt>
                <c:pt idx="797">
                  <c:v>45295</c:v>
                </c:pt>
                <c:pt idx="798">
                  <c:v>45296</c:v>
                </c:pt>
                <c:pt idx="799">
                  <c:v>45299</c:v>
                </c:pt>
                <c:pt idx="800">
                  <c:v>45300</c:v>
                </c:pt>
                <c:pt idx="801">
                  <c:v>45301</c:v>
                </c:pt>
                <c:pt idx="802">
                  <c:v>45302</c:v>
                </c:pt>
                <c:pt idx="803">
                  <c:v>45303</c:v>
                </c:pt>
                <c:pt idx="804">
                  <c:v>45307</c:v>
                </c:pt>
                <c:pt idx="805">
                  <c:v>45308</c:v>
                </c:pt>
                <c:pt idx="806">
                  <c:v>45309</c:v>
                </c:pt>
                <c:pt idx="807">
                  <c:v>45310</c:v>
                </c:pt>
                <c:pt idx="808">
                  <c:v>45313</c:v>
                </c:pt>
                <c:pt idx="809">
                  <c:v>45314</c:v>
                </c:pt>
                <c:pt idx="810">
                  <c:v>45315</c:v>
                </c:pt>
                <c:pt idx="811">
                  <c:v>45316</c:v>
                </c:pt>
                <c:pt idx="812">
                  <c:v>45317</c:v>
                </c:pt>
                <c:pt idx="813">
                  <c:v>45320</c:v>
                </c:pt>
                <c:pt idx="814">
                  <c:v>45321</c:v>
                </c:pt>
                <c:pt idx="815">
                  <c:v>45322</c:v>
                </c:pt>
                <c:pt idx="816">
                  <c:v>45323</c:v>
                </c:pt>
                <c:pt idx="817">
                  <c:v>45324</c:v>
                </c:pt>
                <c:pt idx="818">
                  <c:v>45327</c:v>
                </c:pt>
                <c:pt idx="819">
                  <c:v>45328</c:v>
                </c:pt>
                <c:pt idx="820">
                  <c:v>45329</c:v>
                </c:pt>
                <c:pt idx="821">
                  <c:v>45330</c:v>
                </c:pt>
                <c:pt idx="822">
                  <c:v>45331</c:v>
                </c:pt>
                <c:pt idx="823">
                  <c:v>45334</c:v>
                </c:pt>
                <c:pt idx="824">
                  <c:v>45335</c:v>
                </c:pt>
                <c:pt idx="825">
                  <c:v>45336</c:v>
                </c:pt>
                <c:pt idx="826">
                  <c:v>45337</c:v>
                </c:pt>
                <c:pt idx="827">
                  <c:v>45338</c:v>
                </c:pt>
                <c:pt idx="828">
                  <c:v>45342</c:v>
                </c:pt>
                <c:pt idx="829">
                  <c:v>45343</c:v>
                </c:pt>
                <c:pt idx="830">
                  <c:v>45344</c:v>
                </c:pt>
                <c:pt idx="831">
                  <c:v>45345</c:v>
                </c:pt>
                <c:pt idx="832">
                  <c:v>45348</c:v>
                </c:pt>
                <c:pt idx="833">
                  <c:v>45349</c:v>
                </c:pt>
                <c:pt idx="834">
                  <c:v>45350</c:v>
                </c:pt>
                <c:pt idx="835">
                  <c:v>45351</c:v>
                </c:pt>
                <c:pt idx="836">
                  <c:v>45352</c:v>
                </c:pt>
                <c:pt idx="837">
                  <c:v>45355</c:v>
                </c:pt>
                <c:pt idx="838">
                  <c:v>45356</c:v>
                </c:pt>
                <c:pt idx="839">
                  <c:v>45357</c:v>
                </c:pt>
                <c:pt idx="840">
                  <c:v>45358</c:v>
                </c:pt>
                <c:pt idx="841">
                  <c:v>45359</c:v>
                </c:pt>
                <c:pt idx="842">
                  <c:v>45362</c:v>
                </c:pt>
                <c:pt idx="843">
                  <c:v>45363</c:v>
                </c:pt>
                <c:pt idx="844">
                  <c:v>45364</c:v>
                </c:pt>
                <c:pt idx="845">
                  <c:v>45365</c:v>
                </c:pt>
                <c:pt idx="846">
                  <c:v>45366</c:v>
                </c:pt>
                <c:pt idx="847">
                  <c:v>45369</c:v>
                </c:pt>
                <c:pt idx="848">
                  <c:v>45370</c:v>
                </c:pt>
                <c:pt idx="849">
                  <c:v>45371</c:v>
                </c:pt>
                <c:pt idx="850">
                  <c:v>45372</c:v>
                </c:pt>
                <c:pt idx="851">
                  <c:v>45373</c:v>
                </c:pt>
                <c:pt idx="852">
                  <c:v>45376</c:v>
                </c:pt>
                <c:pt idx="853">
                  <c:v>45377</c:v>
                </c:pt>
                <c:pt idx="854">
                  <c:v>45378</c:v>
                </c:pt>
                <c:pt idx="855">
                  <c:v>45379</c:v>
                </c:pt>
                <c:pt idx="856">
                  <c:v>45383</c:v>
                </c:pt>
                <c:pt idx="857">
                  <c:v>45384</c:v>
                </c:pt>
                <c:pt idx="858">
                  <c:v>45385</c:v>
                </c:pt>
                <c:pt idx="859">
                  <c:v>45386</c:v>
                </c:pt>
                <c:pt idx="860">
                  <c:v>45387</c:v>
                </c:pt>
                <c:pt idx="861">
                  <c:v>45390</c:v>
                </c:pt>
                <c:pt idx="862">
                  <c:v>45391</c:v>
                </c:pt>
                <c:pt idx="863">
                  <c:v>45392</c:v>
                </c:pt>
                <c:pt idx="864">
                  <c:v>45393</c:v>
                </c:pt>
                <c:pt idx="865">
                  <c:v>45394</c:v>
                </c:pt>
                <c:pt idx="866">
                  <c:v>45397</c:v>
                </c:pt>
                <c:pt idx="867">
                  <c:v>45398</c:v>
                </c:pt>
                <c:pt idx="868">
                  <c:v>45399</c:v>
                </c:pt>
                <c:pt idx="869">
                  <c:v>45400</c:v>
                </c:pt>
                <c:pt idx="870">
                  <c:v>45401</c:v>
                </c:pt>
                <c:pt idx="871">
                  <c:v>45404</c:v>
                </c:pt>
                <c:pt idx="872">
                  <c:v>45405</c:v>
                </c:pt>
                <c:pt idx="873">
                  <c:v>45406</c:v>
                </c:pt>
                <c:pt idx="874">
                  <c:v>45407</c:v>
                </c:pt>
                <c:pt idx="875">
                  <c:v>45408</c:v>
                </c:pt>
                <c:pt idx="876">
                  <c:v>45411</c:v>
                </c:pt>
                <c:pt idx="877">
                  <c:v>45412</c:v>
                </c:pt>
                <c:pt idx="878">
                  <c:v>45413</c:v>
                </c:pt>
                <c:pt idx="879">
                  <c:v>45414</c:v>
                </c:pt>
                <c:pt idx="880">
                  <c:v>45415</c:v>
                </c:pt>
                <c:pt idx="881">
                  <c:v>45418</c:v>
                </c:pt>
                <c:pt idx="882">
                  <c:v>45419</c:v>
                </c:pt>
                <c:pt idx="883">
                  <c:v>45420</c:v>
                </c:pt>
                <c:pt idx="884">
                  <c:v>45421</c:v>
                </c:pt>
                <c:pt idx="885">
                  <c:v>45422</c:v>
                </c:pt>
                <c:pt idx="886">
                  <c:v>45425</c:v>
                </c:pt>
                <c:pt idx="887">
                  <c:v>45426</c:v>
                </c:pt>
                <c:pt idx="888">
                  <c:v>45427</c:v>
                </c:pt>
                <c:pt idx="889">
                  <c:v>45428</c:v>
                </c:pt>
                <c:pt idx="890">
                  <c:v>45429</c:v>
                </c:pt>
                <c:pt idx="891">
                  <c:v>45432</c:v>
                </c:pt>
                <c:pt idx="892">
                  <c:v>45433</c:v>
                </c:pt>
                <c:pt idx="893">
                  <c:v>45434</c:v>
                </c:pt>
                <c:pt idx="894">
                  <c:v>45435</c:v>
                </c:pt>
                <c:pt idx="895">
                  <c:v>45436</c:v>
                </c:pt>
                <c:pt idx="896">
                  <c:v>45440</c:v>
                </c:pt>
                <c:pt idx="897">
                  <c:v>45441</c:v>
                </c:pt>
                <c:pt idx="898">
                  <c:v>45442</c:v>
                </c:pt>
                <c:pt idx="899">
                  <c:v>45443</c:v>
                </c:pt>
                <c:pt idx="900">
                  <c:v>45446</c:v>
                </c:pt>
                <c:pt idx="901">
                  <c:v>45447</c:v>
                </c:pt>
                <c:pt idx="902">
                  <c:v>45448</c:v>
                </c:pt>
                <c:pt idx="903">
                  <c:v>45449</c:v>
                </c:pt>
                <c:pt idx="904">
                  <c:v>45450</c:v>
                </c:pt>
                <c:pt idx="905">
                  <c:v>45453</c:v>
                </c:pt>
                <c:pt idx="906">
                  <c:v>45454</c:v>
                </c:pt>
                <c:pt idx="907">
                  <c:v>45455</c:v>
                </c:pt>
                <c:pt idx="908">
                  <c:v>45456</c:v>
                </c:pt>
                <c:pt idx="909">
                  <c:v>45457</c:v>
                </c:pt>
                <c:pt idx="910">
                  <c:v>45460</c:v>
                </c:pt>
                <c:pt idx="911">
                  <c:v>45461</c:v>
                </c:pt>
                <c:pt idx="912">
                  <c:v>45463</c:v>
                </c:pt>
                <c:pt idx="913">
                  <c:v>45464</c:v>
                </c:pt>
                <c:pt idx="914">
                  <c:v>45467</c:v>
                </c:pt>
                <c:pt idx="915">
                  <c:v>45468</c:v>
                </c:pt>
                <c:pt idx="916">
                  <c:v>45469</c:v>
                </c:pt>
                <c:pt idx="917">
                  <c:v>45470</c:v>
                </c:pt>
                <c:pt idx="918">
                  <c:v>45471</c:v>
                </c:pt>
                <c:pt idx="919">
                  <c:v>45474</c:v>
                </c:pt>
                <c:pt idx="920">
                  <c:v>45475</c:v>
                </c:pt>
                <c:pt idx="921">
                  <c:v>45476</c:v>
                </c:pt>
                <c:pt idx="922">
                  <c:v>45478</c:v>
                </c:pt>
                <c:pt idx="923">
                  <c:v>45481</c:v>
                </c:pt>
                <c:pt idx="924">
                  <c:v>45482</c:v>
                </c:pt>
                <c:pt idx="925">
                  <c:v>45483</c:v>
                </c:pt>
                <c:pt idx="926">
                  <c:v>45484</c:v>
                </c:pt>
                <c:pt idx="927">
                  <c:v>45485</c:v>
                </c:pt>
                <c:pt idx="928">
                  <c:v>45488</c:v>
                </c:pt>
                <c:pt idx="929">
                  <c:v>45489</c:v>
                </c:pt>
                <c:pt idx="930">
                  <c:v>45490</c:v>
                </c:pt>
                <c:pt idx="931">
                  <c:v>45491</c:v>
                </c:pt>
                <c:pt idx="932">
                  <c:v>45492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45502</c:v>
                </c:pt>
                <c:pt idx="939">
                  <c:v>45503</c:v>
                </c:pt>
                <c:pt idx="940">
                  <c:v>45504</c:v>
                </c:pt>
                <c:pt idx="941">
                  <c:v>45505</c:v>
                </c:pt>
                <c:pt idx="942">
                  <c:v>45506</c:v>
                </c:pt>
                <c:pt idx="943">
                  <c:v>45509</c:v>
                </c:pt>
                <c:pt idx="944">
                  <c:v>45510</c:v>
                </c:pt>
                <c:pt idx="945">
                  <c:v>45511</c:v>
                </c:pt>
                <c:pt idx="946">
                  <c:v>45512</c:v>
                </c:pt>
                <c:pt idx="947">
                  <c:v>45513</c:v>
                </c:pt>
                <c:pt idx="948">
                  <c:v>45516</c:v>
                </c:pt>
                <c:pt idx="949">
                  <c:v>45517</c:v>
                </c:pt>
                <c:pt idx="950">
                  <c:v>45518</c:v>
                </c:pt>
                <c:pt idx="951">
                  <c:v>45519</c:v>
                </c:pt>
                <c:pt idx="952">
                  <c:v>45520</c:v>
                </c:pt>
                <c:pt idx="953">
                  <c:v>45523</c:v>
                </c:pt>
                <c:pt idx="954">
                  <c:v>45524</c:v>
                </c:pt>
                <c:pt idx="955">
                  <c:v>45525</c:v>
                </c:pt>
                <c:pt idx="956">
                  <c:v>45526</c:v>
                </c:pt>
                <c:pt idx="957">
                  <c:v>45527</c:v>
                </c:pt>
                <c:pt idx="958">
                  <c:v>45530</c:v>
                </c:pt>
                <c:pt idx="959">
                  <c:v>45531</c:v>
                </c:pt>
                <c:pt idx="960">
                  <c:v>45532</c:v>
                </c:pt>
                <c:pt idx="961">
                  <c:v>45533</c:v>
                </c:pt>
                <c:pt idx="962">
                  <c:v>45534</c:v>
                </c:pt>
                <c:pt idx="963">
                  <c:v>45538</c:v>
                </c:pt>
                <c:pt idx="964">
                  <c:v>45539</c:v>
                </c:pt>
                <c:pt idx="965">
                  <c:v>45540</c:v>
                </c:pt>
                <c:pt idx="966">
                  <c:v>45541</c:v>
                </c:pt>
                <c:pt idx="967">
                  <c:v>45544</c:v>
                </c:pt>
                <c:pt idx="968">
                  <c:v>45545</c:v>
                </c:pt>
                <c:pt idx="969">
                  <c:v>45546</c:v>
                </c:pt>
                <c:pt idx="970">
                  <c:v>45547</c:v>
                </c:pt>
                <c:pt idx="971">
                  <c:v>45548</c:v>
                </c:pt>
                <c:pt idx="972">
                  <c:v>45551</c:v>
                </c:pt>
                <c:pt idx="973">
                  <c:v>45552</c:v>
                </c:pt>
                <c:pt idx="974">
                  <c:v>45553</c:v>
                </c:pt>
                <c:pt idx="975">
                  <c:v>45554</c:v>
                </c:pt>
                <c:pt idx="976">
                  <c:v>45555</c:v>
                </c:pt>
                <c:pt idx="977">
                  <c:v>45558</c:v>
                </c:pt>
                <c:pt idx="978">
                  <c:v>45559</c:v>
                </c:pt>
                <c:pt idx="979">
                  <c:v>45560</c:v>
                </c:pt>
                <c:pt idx="980">
                  <c:v>45561</c:v>
                </c:pt>
                <c:pt idx="981">
                  <c:v>45562</c:v>
                </c:pt>
                <c:pt idx="982">
                  <c:v>45565</c:v>
                </c:pt>
                <c:pt idx="983">
                  <c:v>45566</c:v>
                </c:pt>
                <c:pt idx="984">
                  <c:v>45567</c:v>
                </c:pt>
                <c:pt idx="985">
                  <c:v>45568</c:v>
                </c:pt>
                <c:pt idx="986">
                  <c:v>45569</c:v>
                </c:pt>
                <c:pt idx="987">
                  <c:v>45572</c:v>
                </c:pt>
                <c:pt idx="988">
                  <c:v>45573</c:v>
                </c:pt>
                <c:pt idx="989">
                  <c:v>45574</c:v>
                </c:pt>
                <c:pt idx="990">
                  <c:v>45575</c:v>
                </c:pt>
                <c:pt idx="991">
                  <c:v>45576</c:v>
                </c:pt>
                <c:pt idx="992">
                  <c:v>45579</c:v>
                </c:pt>
                <c:pt idx="993">
                  <c:v>45580</c:v>
                </c:pt>
                <c:pt idx="994">
                  <c:v>45581</c:v>
                </c:pt>
                <c:pt idx="995">
                  <c:v>45582</c:v>
                </c:pt>
                <c:pt idx="996">
                  <c:v>45583</c:v>
                </c:pt>
                <c:pt idx="997">
                  <c:v>45586</c:v>
                </c:pt>
                <c:pt idx="998">
                  <c:v>45587</c:v>
                </c:pt>
                <c:pt idx="999">
                  <c:v>45588</c:v>
                </c:pt>
                <c:pt idx="1000">
                  <c:v>45589</c:v>
                </c:pt>
                <c:pt idx="1001">
                  <c:v>45590</c:v>
                </c:pt>
                <c:pt idx="1002">
                  <c:v>45593</c:v>
                </c:pt>
                <c:pt idx="1003">
                  <c:v>45594</c:v>
                </c:pt>
                <c:pt idx="1004">
                  <c:v>45595</c:v>
                </c:pt>
                <c:pt idx="1005">
                  <c:v>45596</c:v>
                </c:pt>
                <c:pt idx="1006">
                  <c:v>45597</c:v>
                </c:pt>
                <c:pt idx="1007">
                  <c:v>45600</c:v>
                </c:pt>
                <c:pt idx="1008">
                  <c:v>45601</c:v>
                </c:pt>
                <c:pt idx="1009">
                  <c:v>45602</c:v>
                </c:pt>
                <c:pt idx="1010">
                  <c:v>45603</c:v>
                </c:pt>
                <c:pt idx="1011">
                  <c:v>45604</c:v>
                </c:pt>
                <c:pt idx="1012">
                  <c:v>45607</c:v>
                </c:pt>
                <c:pt idx="1013">
                  <c:v>45608</c:v>
                </c:pt>
                <c:pt idx="1014">
                  <c:v>45609</c:v>
                </c:pt>
                <c:pt idx="1015">
                  <c:v>45610</c:v>
                </c:pt>
                <c:pt idx="1016">
                  <c:v>45611</c:v>
                </c:pt>
                <c:pt idx="1017">
                  <c:v>45614</c:v>
                </c:pt>
                <c:pt idx="1018">
                  <c:v>45615</c:v>
                </c:pt>
                <c:pt idx="1019">
                  <c:v>45616</c:v>
                </c:pt>
                <c:pt idx="1020">
                  <c:v>45617</c:v>
                </c:pt>
                <c:pt idx="1021">
                  <c:v>45618</c:v>
                </c:pt>
                <c:pt idx="1022">
                  <c:v>45621</c:v>
                </c:pt>
                <c:pt idx="1023">
                  <c:v>45622</c:v>
                </c:pt>
                <c:pt idx="1024">
                  <c:v>45623</c:v>
                </c:pt>
                <c:pt idx="1025">
                  <c:v>45625</c:v>
                </c:pt>
                <c:pt idx="1026">
                  <c:v>45628</c:v>
                </c:pt>
                <c:pt idx="1027">
                  <c:v>45629</c:v>
                </c:pt>
                <c:pt idx="1028">
                  <c:v>45630</c:v>
                </c:pt>
                <c:pt idx="1029">
                  <c:v>45631</c:v>
                </c:pt>
                <c:pt idx="1030">
                  <c:v>45632</c:v>
                </c:pt>
                <c:pt idx="1031">
                  <c:v>45635</c:v>
                </c:pt>
                <c:pt idx="1032">
                  <c:v>45636</c:v>
                </c:pt>
                <c:pt idx="1033">
                  <c:v>45637</c:v>
                </c:pt>
                <c:pt idx="1034">
                  <c:v>45638</c:v>
                </c:pt>
                <c:pt idx="1035">
                  <c:v>45639</c:v>
                </c:pt>
                <c:pt idx="1036">
                  <c:v>45642</c:v>
                </c:pt>
                <c:pt idx="1037">
                  <c:v>45643</c:v>
                </c:pt>
                <c:pt idx="1038">
                  <c:v>45644</c:v>
                </c:pt>
                <c:pt idx="1039">
                  <c:v>45645</c:v>
                </c:pt>
                <c:pt idx="1040">
                  <c:v>45646</c:v>
                </c:pt>
                <c:pt idx="1041">
                  <c:v>45649</c:v>
                </c:pt>
                <c:pt idx="1042">
                  <c:v>45650</c:v>
                </c:pt>
                <c:pt idx="1043">
                  <c:v>45652</c:v>
                </c:pt>
                <c:pt idx="1044">
                  <c:v>45653</c:v>
                </c:pt>
                <c:pt idx="1045">
                  <c:v>45656</c:v>
                </c:pt>
                <c:pt idx="1046">
                  <c:v>45657</c:v>
                </c:pt>
                <c:pt idx="1047">
                  <c:v>45659</c:v>
                </c:pt>
                <c:pt idx="1048">
                  <c:v>45660</c:v>
                </c:pt>
                <c:pt idx="1049">
                  <c:v>45663</c:v>
                </c:pt>
                <c:pt idx="1050">
                  <c:v>45664</c:v>
                </c:pt>
                <c:pt idx="1051">
                  <c:v>45665</c:v>
                </c:pt>
                <c:pt idx="1052">
                  <c:v>45667</c:v>
                </c:pt>
                <c:pt idx="1053">
                  <c:v>45670</c:v>
                </c:pt>
                <c:pt idx="1054">
                  <c:v>45671</c:v>
                </c:pt>
                <c:pt idx="1055">
                  <c:v>45672</c:v>
                </c:pt>
                <c:pt idx="1056">
                  <c:v>45673</c:v>
                </c:pt>
                <c:pt idx="1057">
                  <c:v>45674</c:v>
                </c:pt>
                <c:pt idx="1058">
                  <c:v>45678</c:v>
                </c:pt>
                <c:pt idx="1059">
                  <c:v>45679</c:v>
                </c:pt>
                <c:pt idx="1060">
                  <c:v>45680</c:v>
                </c:pt>
                <c:pt idx="1061">
                  <c:v>45681</c:v>
                </c:pt>
                <c:pt idx="1062">
                  <c:v>45684</c:v>
                </c:pt>
                <c:pt idx="1063">
                  <c:v>45685</c:v>
                </c:pt>
                <c:pt idx="1064">
                  <c:v>45686</c:v>
                </c:pt>
                <c:pt idx="1065">
                  <c:v>45687</c:v>
                </c:pt>
                <c:pt idx="1066">
                  <c:v>45688</c:v>
                </c:pt>
                <c:pt idx="1067">
                  <c:v>45691</c:v>
                </c:pt>
                <c:pt idx="1068">
                  <c:v>45692</c:v>
                </c:pt>
                <c:pt idx="1069">
                  <c:v>45693</c:v>
                </c:pt>
                <c:pt idx="1070">
                  <c:v>45694</c:v>
                </c:pt>
                <c:pt idx="1071">
                  <c:v>45695</c:v>
                </c:pt>
                <c:pt idx="1072">
                  <c:v>45698</c:v>
                </c:pt>
                <c:pt idx="1073">
                  <c:v>45699</c:v>
                </c:pt>
                <c:pt idx="1074">
                  <c:v>45700</c:v>
                </c:pt>
                <c:pt idx="1075">
                  <c:v>45701</c:v>
                </c:pt>
                <c:pt idx="1076">
                  <c:v>45702</c:v>
                </c:pt>
                <c:pt idx="1077">
                  <c:v>45706</c:v>
                </c:pt>
                <c:pt idx="1078">
                  <c:v>45707</c:v>
                </c:pt>
                <c:pt idx="1079">
                  <c:v>45708</c:v>
                </c:pt>
                <c:pt idx="1080">
                  <c:v>45709</c:v>
                </c:pt>
                <c:pt idx="1081">
                  <c:v>45712</c:v>
                </c:pt>
                <c:pt idx="1082">
                  <c:v>45713</c:v>
                </c:pt>
                <c:pt idx="1083">
                  <c:v>45714</c:v>
                </c:pt>
                <c:pt idx="1084">
                  <c:v>45715</c:v>
                </c:pt>
                <c:pt idx="1085">
                  <c:v>45716</c:v>
                </c:pt>
                <c:pt idx="1086">
                  <c:v>45719</c:v>
                </c:pt>
                <c:pt idx="1087">
                  <c:v>45720</c:v>
                </c:pt>
                <c:pt idx="1088">
                  <c:v>45721</c:v>
                </c:pt>
                <c:pt idx="1089">
                  <c:v>45722</c:v>
                </c:pt>
                <c:pt idx="1090">
                  <c:v>45723</c:v>
                </c:pt>
                <c:pt idx="1091">
                  <c:v>45726</c:v>
                </c:pt>
                <c:pt idx="1092">
                  <c:v>45727</c:v>
                </c:pt>
                <c:pt idx="1093">
                  <c:v>45728</c:v>
                </c:pt>
                <c:pt idx="1094">
                  <c:v>45729</c:v>
                </c:pt>
                <c:pt idx="1095">
                  <c:v>45730</c:v>
                </c:pt>
                <c:pt idx="1096">
                  <c:v>45733</c:v>
                </c:pt>
                <c:pt idx="1097">
                  <c:v>45734</c:v>
                </c:pt>
                <c:pt idx="1098">
                  <c:v>45735</c:v>
                </c:pt>
                <c:pt idx="1099">
                  <c:v>45736</c:v>
                </c:pt>
                <c:pt idx="1100">
                  <c:v>45737</c:v>
                </c:pt>
                <c:pt idx="1101">
                  <c:v>45740</c:v>
                </c:pt>
                <c:pt idx="1102">
                  <c:v>45741</c:v>
                </c:pt>
                <c:pt idx="1103">
                  <c:v>45742</c:v>
                </c:pt>
                <c:pt idx="1104">
                  <c:v>45743</c:v>
                </c:pt>
                <c:pt idx="1105">
                  <c:v>45744</c:v>
                </c:pt>
                <c:pt idx="1106">
                  <c:v>45747</c:v>
                </c:pt>
                <c:pt idx="1107">
                  <c:v>45748</c:v>
                </c:pt>
                <c:pt idx="1108">
                  <c:v>45749</c:v>
                </c:pt>
                <c:pt idx="1109">
                  <c:v>45750</c:v>
                </c:pt>
                <c:pt idx="1110">
                  <c:v>45751</c:v>
                </c:pt>
                <c:pt idx="1111">
                  <c:v>45754</c:v>
                </c:pt>
                <c:pt idx="1112">
                  <c:v>45755</c:v>
                </c:pt>
                <c:pt idx="1113">
                  <c:v>45756</c:v>
                </c:pt>
                <c:pt idx="1114">
                  <c:v>45757</c:v>
                </c:pt>
                <c:pt idx="1115">
                  <c:v>45758</c:v>
                </c:pt>
                <c:pt idx="1116">
                  <c:v>45761</c:v>
                </c:pt>
                <c:pt idx="1117">
                  <c:v>45762</c:v>
                </c:pt>
                <c:pt idx="1118">
                  <c:v>45763</c:v>
                </c:pt>
                <c:pt idx="1119">
                  <c:v>45764</c:v>
                </c:pt>
                <c:pt idx="1120">
                  <c:v>45768</c:v>
                </c:pt>
                <c:pt idx="1121">
                  <c:v>45769</c:v>
                </c:pt>
                <c:pt idx="1122">
                  <c:v>45770</c:v>
                </c:pt>
                <c:pt idx="1123">
                  <c:v>45771</c:v>
                </c:pt>
                <c:pt idx="1124">
                  <c:v>45772</c:v>
                </c:pt>
                <c:pt idx="1125">
                  <c:v>45775</c:v>
                </c:pt>
                <c:pt idx="1126">
                  <c:v>45776</c:v>
                </c:pt>
                <c:pt idx="1127">
                  <c:v>45777</c:v>
                </c:pt>
                <c:pt idx="1128">
                  <c:v>45778</c:v>
                </c:pt>
                <c:pt idx="1129">
                  <c:v>45779</c:v>
                </c:pt>
                <c:pt idx="1130">
                  <c:v>45782</c:v>
                </c:pt>
                <c:pt idx="1131">
                  <c:v>45783</c:v>
                </c:pt>
                <c:pt idx="1132">
                  <c:v>45784</c:v>
                </c:pt>
                <c:pt idx="1133">
                  <c:v>45785</c:v>
                </c:pt>
                <c:pt idx="1134">
                  <c:v>45786</c:v>
                </c:pt>
                <c:pt idx="1135">
                  <c:v>45789</c:v>
                </c:pt>
                <c:pt idx="1136">
                  <c:v>45790</c:v>
                </c:pt>
                <c:pt idx="1137">
                  <c:v>45791</c:v>
                </c:pt>
                <c:pt idx="1138">
                  <c:v>45792</c:v>
                </c:pt>
                <c:pt idx="1139">
                  <c:v>45793</c:v>
                </c:pt>
                <c:pt idx="1140">
                  <c:v>45796</c:v>
                </c:pt>
                <c:pt idx="1141">
                  <c:v>45797</c:v>
                </c:pt>
                <c:pt idx="1142">
                  <c:v>45798</c:v>
                </c:pt>
                <c:pt idx="1143">
                  <c:v>45799</c:v>
                </c:pt>
                <c:pt idx="1144">
                  <c:v>45800</c:v>
                </c:pt>
                <c:pt idx="1145">
                  <c:v>45804</c:v>
                </c:pt>
                <c:pt idx="1146">
                  <c:v>45805</c:v>
                </c:pt>
                <c:pt idx="1147">
                  <c:v>45806</c:v>
                </c:pt>
                <c:pt idx="1148">
                  <c:v>45807</c:v>
                </c:pt>
                <c:pt idx="1149">
                  <c:v>45810</c:v>
                </c:pt>
                <c:pt idx="1150">
                  <c:v>45811</c:v>
                </c:pt>
                <c:pt idx="1151">
                  <c:v>45812</c:v>
                </c:pt>
                <c:pt idx="1152">
                  <c:v>45813</c:v>
                </c:pt>
                <c:pt idx="1153">
                  <c:v>45814</c:v>
                </c:pt>
                <c:pt idx="1154">
                  <c:v>45817</c:v>
                </c:pt>
                <c:pt idx="1155">
                  <c:v>45818</c:v>
                </c:pt>
                <c:pt idx="1156">
                  <c:v>45819</c:v>
                </c:pt>
                <c:pt idx="1157">
                  <c:v>45820</c:v>
                </c:pt>
                <c:pt idx="1158">
                  <c:v>45821</c:v>
                </c:pt>
                <c:pt idx="1159">
                  <c:v>45824</c:v>
                </c:pt>
                <c:pt idx="1160">
                  <c:v>45825</c:v>
                </c:pt>
                <c:pt idx="1161">
                  <c:v>45826</c:v>
                </c:pt>
                <c:pt idx="1162">
                  <c:v>45828</c:v>
                </c:pt>
                <c:pt idx="1163">
                  <c:v>45831</c:v>
                </c:pt>
                <c:pt idx="1164">
                  <c:v>45832</c:v>
                </c:pt>
                <c:pt idx="1165">
                  <c:v>45833</c:v>
                </c:pt>
                <c:pt idx="1166">
                  <c:v>45834</c:v>
                </c:pt>
                <c:pt idx="1167">
                  <c:v>45835</c:v>
                </c:pt>
                <c:pt idx="1168">
                  <c:v>45838</c:v>
                </c:pt>
                <c:pt idx="1169">
                  <c:v>45839</c:v>
                </c:pt>
                <c:pt idx="1170">
                  <c:v>45840</c:v>
                </c:pt>
                <c:pt idx="1171">
                  <c:v>45841</c:v>
                </c:pt>
                <c:pt idx="1172">
                  <c:v>45845</c:v>
                </c:pt>
                <c:pt idx="1173">
                  <c:v>45846</c:v>
                </c:pt>
                <c:pt idx="1174">
                  <c:v>45847</c:v>
                </c:pt>
                <c:pt idx="1175">
                  <c:v>45848</c:v>
                </c:pt>
                <c:pt idx="1176">
                  <c:v>45849</c:v>
                </c:pt>
                <c:pt idx="1177">
                  <c:v>45852</c:v>
                </c:pt>
                <c:pt idx="1178">
                  <c:v>45853</c:v>
                </c:pt>
                <c:pt idx="1179">
                  <c:v>45854</c:v>
                </c:pt>
                <c:pt idx="1180">
                  <c:v>45855</c:v>
                </c:pt>
                <c:pt idx="1181">
                  <c:v>45856</c:v>
                </c:pt>
                <c:pt idx="1182">
                  <c:v>45859</c:v>
                </c:pt>
                <c:pt idx="1183">
                  <c:v>45860</c:v>
                </c:pt>
                <c:pt idx="1184">
                  <c:v>45861</c:v>
                </c:pt>
                <c:pt idx="1185">
                  <c:v>45862</c:v>
                </c:pt>
                <c:pt idx="1186">
                  <c:v>45863</c:v>
                </c:pt>
                <c:pt idx="1187">
                  <c:v>45866</c:v>
                </c:pt>
                <c:pt idx="1188">
                  <c:v>45867</c:v>
                </c:pt>
                <c:pt idx="1189">
                  <c:v>45868</c:v>
                </c:pt>
                <c:pt idx="1190">
                  <c:v>45869</c:v>
                </c:pt>
                <c:pt idx="1191">
                  <c:v>45870</c:v>
                </c:pt>
                <c:pt idx="1192">
                  <c:v>45873</c:v>
                </c:pt>
                <c:pt idx="1193">
                  <c:v>45874</c:v>
                </c:pt>
                <c:pt idx="1194">
                  <c:v>45875</c:v>
                </c:pt>
                <c:pt idx="1195">
                  <c:v>45876</c:v>
                </c:pt>
                <c:pt idx="1196">
                  <c:v>45877</c:v>
                </c:pt>
                <c:pt idx="1197">
                  <c:v>45880</c:v>
                </c:pt>
                <c:pt idx="1198">
                  <c:v>45881</c:v>
                </c:pt>
                <c:pt idx="1199">
                  <c:v>45882</c:v>
                </c:pt>
                <c:pt idx="1200">
                  <c:v>45883</c:v>
                </c:pt>
                <c:pt idx="1201">
                  <c:v>45884</c:v>
                </c:pt>
                <c:pt idx="1202">
                  <c:v>45887</c:v>
                </c:pt>
                <c:pt idx="1203">
                  <c:v>45888</c:v>
                </c:pt>
                <c:pt idx="1204">
                  <c:v>45889</c:v>
                </c:pt>
                <c:pt idx="1205">
                  <c:v>45890</c:v>
                </c:pt>
                <c:pt idx="1206">
                  <c:v>45891</c:v>
                </c:pt>
                <c:pt idx="1207">
                  <c:v>45894</c:v>
                </c:pt>
                <c:pt idx="1208">
                  <c:v>45895</c:v>
                </c:pt>
                <c:pt idx="1209">
                  <c:v>45896</c:v>
                </c:pt>
                <c:pt idx="1210">
                  <c:v>45897</c:v>
                </c:pt>
                <c:pt idx="1211">
                  <c:v>45898</c:v>
                </c:pt>
                <c:pt idx="1212">
                  <c:v>45902</c:v>
                </c:pt>
                <c:pt idx="1213">
                  <c:v>45903</c:v>
                </c:pt>
                <c:pt idx="1214">
                  <c:v>45904</c:v>
                </c:pt>
                <c:pt idx="1215">
                  <c:v>45905</c:v>
                </c:pt>
                <c:pt idx="1216">
                  <c:v>45908</c:v>
                </c:pt>
                <c:pt idx="1217">
                  <c:v>45909</c:v>
                </c:pt>
                <c:pt idx="1218">
                  <c:v>45910</c:v>
                </c:pt>
                <c:pt idx="1219">
                  <c:v>45911</c:v>
                </c:pt>
                <c:pt idx="1220">
                  <c:v>45912</c:v>
                </c:pt>
                <c:pt idx="1221">
                  <c:v>45915</c:v>
                </c:pt>
                <c:pt idx="1222">
                  <c:v>45916</c:v>
                </c:pt>
                <c:pt idx="1223">
                  <c:v>45917</c:v>
                </c:pt>
                <c:pt idx="1224">
                  <c:v>45918</c:v>
                </c:pt>
                <c:pt idx="1225">
                  <c:v>45919</c:v>
                </c:pt>
                <c:pt idx="1226">
                  <c:v>45922</c:v>
                </c:pt>
                <c:pt idx="1227">
                  <c:v>45923</c:v>
                </c:pt>
                <c:pt idx="1228">
                  <c:v>45924</c:v>
                </c:pt>
                <c:pt idx="1229">
                  <c:v>45925</c:v>
                </c:pt>
                <c:pt idx="1230">
                  <c:v>45926</c:v>
                </c:pt>
                <c:pt idx="1231">
                  <c:v>45929</c:v>
                </c:pt>
                <c:pt idx="1232">
                  <c:v>45930</c:v>
                </c:pt>
                <c:pt idx="1233">
                  <c:v>45931</c:v>
                </c:pt>
                <c:pt idx="1234">
                  <c:v>45932</c:v>
                </c:pt>
                <c:pt idx="1235">
                  <c:v>45933</c:v>
                </c:pt>
                <c:pt idx="1236">
                  <c:v>45936</c:v>
                </c:pt>
                <c:pt idx="1237">
                  <c:v>45937</c:v>
                </c:pt>
                <c:pt idx="1238">
                  <c:v>45938</c:v>
                </c:pt>
                <c:pt idx="1239">
                  <c:v>45939</c:v>
                </c:pt>
                <c:pt idx="1240">
                  <c:v>45940</c:v>
                </c:pt>
                <c:pt idx="1241">
                  <c:v>45943</c:v>
                </c:pt>
                <c:pt idx="1242">
                  <c:v>45944</c:v>
                </c:pt>
                <c:pt idx="1243">
                  <c:v>45945</c:v>
                </c:pt>
                <c:pt idx="1244">
                  <c:v>45946</c:v>
                </c:pt>
                <c:pt idx="1245">
                  <c:v>45947</c:v>
                </c:pt>
                <c:pt idx="1246">
                  <c:v>45950</c:v>
                </c:pt>
                <c:pt idx="1247">
                  <c:v>45951</c:v>
                </c:pt>
                <c:pt idx="1248">
                  <c:v>45952</c:v>
                </c:pt>
                <c:pt idx="1249">
                  <c:v>45953</c:v>
                </c:pt>
                <c:pt idx="1250">
                  <c:v>45954</c:v>
                </c:pt>
                <c:pt idx="1251">
                  <c:v>45957</c:v>
                </c:pt>
                <c:pt idx="1252">
                  <c:v>45958</c:v>
                </c:pt>
                <c:pt idx="1253">
                  <c:v>45959</c:v>
                </c:pt>
                <c:pt idx="1254">
                  <c:v>45960</c:v>
                </c:pt>
                <c:pt idx="1255">
                  <c:v>45961</c:v>
                </c:pt>
              </c:numCache>
            </c:numRef>
          </c:cat>
          <c:val>
            <c:numRef>
              <c:f>'Data Analysis Addin'!$B$3:$B$1258</c:f>
              <c:numCache>
                <c:formatCode>_-[$$-409]* #,##0.00_ ;_-[$$-409]* \-#,##0.00\ ;_-[$$-409]* "-"??_ ;_-@_ </c:formatCode>
                <c:ptCount val="1256"/>
                <c:pt idx="0">
                  <c:v>330.2</c:v>
                </c:pt>
                <c:pt idx="1">
                  <c:v>336.03</c:v>
                </c:pt>
                <c:pt idx="2">
                  <c:v>343.54</c:v>
                </c:pt>
                <c:pt idx="3">
                  <c:v>350.24</c:v>
                </c:pt>
                <c:pt idx="4">
                  <c:v>350.16</c:v>
                </c:pt>
                <c:pt idx="5">
                  <c:v>354.56</c:v>
                </c:pt>
                <c:pt idx="6">
                  <c:v>354.04</c:v>
                </c:pt>
                <c:pt idx="7">
                  <c:v>356.67</c:v>
                </c:pt>
                <c:pt idx="8">
                  <c:v>353.21</c:v>
                </c:pt>
                <c:pt idx="9">
                  <c:v>358.1</c:v>
                </c:pt>
                <c:pt idx="10">
                  <c:v>362.57</c:v>
                </c:pt>
                <c:pt idx="11">
                  <c:v>360.62</c:v>
                </c:pt>
                <c:pt idx="12">
                  <c:v>356.28</c:v>
                </c:pt>
                <c:pt idx="13">
                  <c:v>357.78</c:v>
                </c:pt>
                <c:pt idx="14">
                  <c:v>355.33</c:v>
                </c:pt>
                <c:pt idx="15">
                  <c:v>357.46</c:v>
                </c:pt>
                <c:pt idx="16">
                  <c:v>363.22</c:v>
                </c:pt>
                <c:pt idx="17">
                  <c:v>362.66</c:v>
                </c:pt>
                <c:pt idx="18">
                  <c:v>363.67</c:v>
                </c:pt>
                <c:pt idx="19">
                  <c:v>362.06</c:v>
                </c:pt>
                <c:pt idx="20">
                  <c:v>366.02</c:v>
                </c:pt>
                <c:pt idx="21">
                  <c:v>366.79</c:v>
                </c:pt>
                <c:pt idx="22">
                  <c:v>366.69</c:v>
                </c:pt>
                <c:pt idx="23">
                  <c:v>369.85</c:v>
                </c:pt>
                <c:pt idx="24">
                  <c:v>369.09</c:v>
                </c:pt>
                <c:pt idx="25">
                  <c:v>370.17</c:v>
                </c:pt>
                <c:pt idx="26">
                  <c:v>366.85</c:v>
                </c:pt>
                <c:pt idx="27">
                  <c:v>366.73</c:v>
                </c:pt>
                <c:pt idx="28">
                  <c:v>366.3</c:v>
                </c:pt>
                <c:pt idx="29">
                  <c:v>364.66</c:v>
                </c:pt>
                <c:pt idx="30">
                  <c:v>369.59</c:v>
                </c:pt>
                <c:pt idx="31">
                  <c:v>370.17</c:v>
                </c:pt>
                <c:pt idx="32">
                  <c:v>372.24</c:v>
                </c:pt>
                <c:pt idx="33">
                  <c:v>369.18</c:v>
                </c:pt>
                <c:pt idx="34">
                  <c:v>367.86</c:v>
                </c:pt>
                <c:pt idx="35">
                  <c:v>367.24</c:v>
                </c:pt>
                <c:pt idx="36">
                  <c:v>367.57</c:v>
                </c:pt>
                <c:pt idx="37">
                  <c:v>369</c:v>
                </c:pt>
                <c:pt idx="38">
                  <c:v>372.17</c:v>
                </c:pt>
                <c:pt idx="39">
                  <c:v>371.46</c:v>
                </c:pt>
                <c:pt idx="40">
                  <c:v>371.99</c:v>
                </c:pt>
                <c:pt idx="41">
                  <c:v>373.88</c:v>
                </c:pt>
                <c:pt idx="42">
                  <c:v>368.79</c:v>
                </c:pt>
                <c:pt idx="43">
                  <c:v>371.33</c:v>
                </c:pt>
                <c:pt idx="44">
                  <c:v>373.55</c:v>
                </c:pt>
                <c:pt idx="45">
                  <c:v>379.1</c:v>
                </c:pt>
                <c:pt idx="46">
                  <c:v>381.26</c:v>
                </c:pt>
                <c:pt idx="47">
                  <c:v>378.69</c:v>
                </c:pt>
                <c:pt idx="48">
                  <c:v>378.77</c:v>
                </c:pt>
                <c:pt idx="49">
                  <c:v>379.79</c:v>
                </c:pt>
                <c:pt idx="50">
                  <c:v>378.46</c:v>
                </c:pt>
                <c:pt idx="51">
                  <c:v>375.7</c:v>
                </c:pt>
                <c:pt idx="52">
                  <c:v>378.65</c:v>
                </c:pt>
                <c:pt idx="53">
                  <c:v>383.89</c:v>
                </c:pt>
                <c:pt idx="54">
                  <c:v>384.24</c:v>
                </c:pt>
                <c:pt idx="55">
                  <c:v>382.88</c:v>
                </c:pt>
                <c:pt idx="56">
                  <c:v>384.39</c:v>
                </c:pt>
                <c:pt idx="57">
                  <c:v>383.79</c:v>
                </c:pt>
                <c:pt idx="58">
                  <c:v>374.41</c:v>
                </c:pt>
                <c:pt idx="59">
                  <c:v>377.63</c:v>
                </c:pt>
                <c:pt idx="60">
                  <c:v>370.07</c:v>
                </c:pt>
                <c:pt idx="61">
                  <c:v>376.23</c:v>
                </c:pt>
                <c:pt idx="62">
                  <c:v>381.55</c:v>
                </c:pt>
                <c:pt idx="63">
                  <c:v>381.85</c:v>
                </c:pt>
                <c:pt idx="64">
                  <c:v>386.19</c:v>
                </c:pt>
                <c:pt idx="65">
                  <c:v>387.71</c:v>
                </c:pt>
                <c:pt idx="66">
                  <c:v>390.51</c:v>
                </c:pt>
                <c:pt idx="67">
                  <c:v>390.25</c:v>
                </c:pt>
                <c:pt idx="68">
                  <c:v>390.08</c:v>
                </c:pt>
                <c:pt idx="69">
                  <c:v>390.71</c:v>
                </c:pt>
                <c:pt idx="70">
                  <c:v>392.64</c:v>
                </c:pt>
                <c:pt idx="71">
                  <c:v>392.3</c:v>
                </c:pt>
                <c:pt idx="72">
                  <c:v>392.39</c:v>
                </c:pt>
                <c:pt idx="73">
                  <c:v>390.72</c:v>
                </c:pt>
                <c:pt idx="74">
                  <c:v>390.03</c:v>
                </c:pt>
                <c:pt idx="75">
                  <c:v>387.03</c:v>
                </c:pt>
                <c:pt idx="76">
                  <c:v>387.5</c:v>
                </c:pt>
                <c:pt idx="77">
                  <c:v>391.77</c:v>
                </c:pt>
                <c:pt idx="78">
                  <c:v>382.33</c:v>
                </c:pt>
                <c:pt idx="79">
                  <c:v>380.36</c:v>
                </c:pt>
                <c:pt idx="80">
                  <c:v>389.58</c:v>
                </c:pt>
                <c:pt idx="81">
                  <c:v>386.54</c:v>
                </c:pt>
                <c:pt idx="82">
                  <c:v>381.42</c:v>
                </c:pt>
                <c:pt idx="83">
                  <c:v>376.7</c:v>
                </c:pt>
                <c:pt idx="84">
                  <c:v>383.63</c:v>
                </c:pt>
                <c:pt idx="85">
                  <c:v>381.72</c:v>
                </c:pt>
                <c:pt idx="86">
                  <c:v>387.17</c:v>
                </c:pt>
                <c:pt idx="87">
                  <c:v>389.58</c:v>
                </c:pt>
                <c:pt idx="88">
                  <c:v>393.53</c:v>
                </c:pt>
                <c:pt idx="89">
                  <c:v>394.06</c:v>
                </c:pt>
                <c:pt idx="90">
                  <c:v>396.41</c:v>
                </c:pt>
                <c:pt idx="91">
                  <c:v>395.91</c:v>
                </c:pt>
                <c:pt idx="92">
                  <c:v>397.26</c:v>
                </c:pt>
                <c:pt idx="93">
                  <c:v>391.48</c:v>
                </c:pt>
                <c:pt idx="94">
                  <c:v>389.48</c:v>
                </c:pt>
                <c:pt idx="95">
                  <c:v>392.59</c:v>
                </c:pt>
                <c:pt idx="96">
                  <c:v>389.5</c:v>
                </c:pt>
                <c:pt idx="97">
                  <c:v>387.52</c:v>
                </c:pt>
                <c:pt idx="98">
                  <c:v>389.7</c:v>
                </c:pt>
                <c:pt idx="99">
                  <c:v>395.98</c:v>
                </c:pt>
                <c:pt idx="100">
                  <c:v>395.78</c:v>
                </c:pt>
                <c:pt idx="101">
                  <c:v>394.73</c:v>
                </c:pt>
                <c:pt idx="102">
                  <c:v>396.33</c:v>
                </c:pt>
                <c:pt idx="103">
                  <c:v>400.61</c:v>
                </c:pt>
                <c:pt idx="104">
                  <c:v>406.36</c:v>
                </c:pt>
                <c:pt idx="105">
                  <c:v>406.12</c:v>
                </c:pt>
                <c:pt idx="106">
                  <c:v>406.59</c:v>
                </c:pt>
                <c:pt idx="107">
                  <c:v>408.52</c:v>
                </c:pt>
                <c:pt idx="108">
                  <c:v>411.49</c:v>
                </c:pt>
                <c:pt idx="109">
                  <c:v>411.64</c:v>
                </c:pt>
                <c:pt idx="110">
                  <c:v>412.86</c:v>
                </c:pt>
                <c:pt idx="111">
                  <c:v>411.45</c:v>
                </c:pt>
                <c:pt idx="112">
                  <c:v>415.87</c:v>
                </c:pt>
                <c:pt idx="113">
                  <c:v>417.26</c:v>
                </c:pt>
                <c:pt idx="114">
                  <c:v>415.21</c:v>
                </c:pt>
                <c:pt idx="115">
                  <c:v>412.17</c:v>
                </c:pt>
                <c:pt idx="116">
                  <c:v>416.07</c:v>
                </c:pt>
                <c:pt idx="117">
                  <c:v>412.27</c:v>
                </c:pt>
                <c:pt idx="118">
                  <c:v>416.74</c:v>
                </c:pt>
                <c:pt idx="119">
                  <c:v>417.61</c:v>
                </c:pt>
                <c:pt idx="120">
                  <c:v>417.52</c:v>
                </c:pt>
                <c:pt idx="121">
                  <c:v>417.4</c:v>
                </c:pt>
                <c:pt idx="122">
                  <c:v>420.06</c:v>
                </c:pt>
                <c:pt idx="123">
                  <c:v>417.3</c:v>
                </c:pt>
                <c:pt idx="124">
                  <c:v>418.2</c:v>
                </c:pt>
                <c:pt idx="125">
                  <c:v>415.62</c:v>
                </c:pt>
                <c:pt idx="126">
                  <c:v>415.75</c:v>
                </c:pt>
                <c:pt idx="127">
                  <c:v>419.07</c:v>
                </c:pt>
                <c:pt idx="128">
                  <c:v>422.12</c:v>
                </c:pt>
                <c:pt idx="129">
                  <c:v>417.94</c:v>
                </c:pt>
                <c:pt idx="130">
                  <c:v>414.21</c:v>
                </c:pt>
                <c:pt idx="131">
                  <c:v>405.41</c:v>
                </c:pt>
                <c:pt idx="132">
                  <c:v>410.28</c:v>
                </c:pt>
                <c:pt idx="133">
                  <c:v>416.58</c:v>
                </c:pt>
                <c:pt idx="134">
                  <c:v>415.52</c:v>
                </c:pt>
                <c:pt idx="135">
                  <c:v>411.94</c:v>
                </c:pt>
                <c:pt idx="136">
                  <c:v>410.86</c:v>
                </c:pt>
                <c:pt idx="137">
                  <c:v>415.28</c:v>
                </c:pt>
                <c:pt idx="138">
                  <c:v>414.94</c:v>
                </c:pt>
                <c:pt idx="139">
                  <c:v>419.17</c:v>
                </c:pt>
                <c:pt idx="140">
                  <c:v>418.24</c:v>
                </c:pt>
                <c:pt idx="141">
                  <c:v>419.07</c:v>
                </c:pt>
                <c:pt idx="142">
                  <c:v>419.29</c:v>
                </c:pt>
                <c:pt idx="143">
                  <c:v>420.04</c:v>
                </c:pt>
                <c:pt idx="144">
                  <c:v>419.67</c:v>
                </c:pt>
                <c:pt idx="145">
                  <c:v>420.33</c:v>
                </c:pt>
                <c:pt idx="146">
                  <c:v>418.77</c:v>
                </c:pt>
                <c:pt idx="147">
                  <c:v>422.6</c:v>
                </c:pt>
                <c:pt idx="148">
                  <c:v>422.19</c:v>
                </c:pt>
                <c:pt idx="149">
                  <c:v>422.28</c:v>
                </c:pt>
                <c:pt idx="150">
                  <c:v>421.65</c:v>
                </c:pt>
                <c:pt idx="151">
                  <c:v>423.61</c:v>
                </c:pt>
                <c:pt idx="152">
                  <c:v>424.31</c:v>
                </c:pt>
                <c:pt idx="153">
                  <c:v>425.26</c:v>
                </c:pt>
                <c:pt idx="154">
                  <c:v>424.48</c:v>
                </c:pt>
                <c:pt idx="155">
                  <c:v>422.11</c:v>
                </c:pt>
                <c:pt idx="156">
                  <c:v>421.97</c:v>
                </c:pt>
                <c:pt idx="157">
                  <c:v>414.92</c:v>
                </c:pt>
                <c:pt idx="158">
                  <c:v>420.86</c:v>
                </c:pt>
                <c:pt idx="159">
                  <c:v>423.11</c:v>
                </c:pt>
                <c:pt idx="160">
                  <c:v>422.6</c:v>
                </c:pt>
                <c:pt idx="161">
                  <c:v>425.1</c:v>
                </c:pt>
                <c:pt idx="162">
                  <c:v>426.61</c:v>
                </c:pt>
                <c:pt idx="163">
                  <c:v>427.47</c:v>
                </c:pt>
                <c:pt idx="164">
                  <c:v>427.7</c:v>
                </c:pt>
                <c:pt idx="165">
                  <c:v>428.06</c:v>
                </c:pt>
                <c:pt idx="166">
                  <c:v>430.43</c:v>
                </c:pt>
                <c:pt idx="167">
                  <c:v>433.72</c:v>
                </c:pt>
                <c:pt idx="168">
                  <c:v>432.93</c:v>
                </c:pt>
                <c:pt idx="169">
                  <c:v>434.46</c:v>
                </c:pt>
                <c:pt idx="170">
                  <c:v>430.92</c:v>
                </c:pt>
                <c:pt idx="171">
                  <c:v>435.52</c:v>
                </c:pt>
                <c:pt idx="172">
                  <c:v>437.08</c:v>
                </c:pt>
                <c:pt idx="173">
                  <c:v>435.59</c:v>
                </c:pt>
                <c:pt idx="174">
                  <c:v>436.24</c:v>
                </c:pt>
                <c:pt idx="175">
                  <c:v>434.75</c:v>
                </c:pt>
                <c:pt idx="176">
                  <c:v>431.34</c:v>
                </c:pt>
                <c:pt idx="177">
                  <c:v>424.97</c:v>
                </c:pt>
                <c:pt idx="178">
                  <c:v>431.06</c:v>
                </c:pt>
                <c:pt idx="179">
                  <c:v>434.55</c:v>
                </c:pt>
                <c:pt idx="180">
                  <c:v>435.46</c:v>
                </c:pt>
                <c:pt idx="181">
                  <c:v>439.94</c:v>
                </c:pt>
                <c:pt idx="182">
                  <c:v>441.02</c:v>
                </c:pt>
                <c:pt idx="183">
                  <c:v>439.01</c:v>
                </c:pt>
                <c:pt idx="184">
                  <c:v>438.83</c:v>
                </c:pt>
                <c:pt idx="185">
                  <c:v>440.65</c:v>
                </c:pt>
                <c:pt idx="186">
                  <c:v>438.51</c:v>
                </c:pt>
                <c:pt idx="187">
                  <c:v>437.59</c:v>
                </c:pt>
                <c:pt idx="188">
                  <c:v>441.15</c:v>
                </c:pt>
                <c:pt idx="189">
                  <c:v>438.98</c:v>
                </c:pt>
                <c:pt idx="190">
                  <c:v>441.76</c:v>
                </c:pt>
                <c:pt idx="191">
                  <c:v>442.49</c:v>
                </c:pt>
                <c:pt idx="192">
                  <c:v>442.13</c:v>
                </c:pt>
                <c:pt idx="193">
                  <c:v>442.68</c:v>
                </c:pt>
                <c:pt idx="194">
                  <c:v>443.78</c:v>
                </c:pt>
                <c:pt idx="195">
                  <c:v>445.11</c:v>
                </c:pt>
                <c:pt idx="196">
                  <c:v>445.92</c:v>
                </c:pt>
                <c:pt idx="197">
                  <c:v>446.97</c:v>
                </c:pt>
                <c:pt idx="198">
                  <c:v>444.04</c:v>
                </c:pt>
                <c:pt idx="199">
                  <c:v>439.18</c:v>
                </c:pt>
                <c:pt idx="200">
                  <c:v>439.86</c:v>
                </c:pt>
                <c:pt idx="201">
                  <c:v>443.36</c:v>
                </c:pt>
                <c:pt idx="202">
                  <c:v>447.26</c:v>
                </c:pt>
                <c:pt idx="203">
                  <c:v>447.97</c:v>
                </c:pt>
                <c:pt idx="204">
                  <c:v>448.91</c:v>
                </c:pt>
                <c:pt idx="205">
                  <c:v>446.26</c:v>
                </c:pt>
                <c:pt idx="206">
                  <c:v>450.25</c:v>
                </c:pt>
                <c:pt idx="207">
                  <c:v>452.23</c:v>
                </c:pt>
                <c:pt idx="208">
                  <c:v>451.56</c:v>
                </c:pt>
                <c:pt idx="209">
                  <c:v>451.8</c:v>
                </c:pt>
                <c:pt idx="210">
                  <c:v>453.19</c:v>
                </c:pt>
                <c:pt idx="211">
                  <c:v>453.08</c:v>
                </c:pt>
                <c:pt idx="212">
                  <c:v>451.46</c:v>
                </c:pt>
                <c:pt idx="213">
                  <c:v>450.91</c:v>
                </c:pt>
                <c:pt idx="214">
                  <c:v>448.98</c:v>
                </c:pt>
                <c:pt idx="215">
                  <c:v>445.44</c:v>
                </c:pt>
                <c:pt idx="216">
                  <c:v>446.58</c:v>
                </c:pt>
                <c:pt idx="217">
                  <c:v>444.17</c:v>
                </c:pt>
                <c:pt idx="218">
                  <c:v>447.88</c:v>
                </c:pt>
                <c:pt idx="219">
                  <c:v>447.17</c:v>
                </c:pt>
                <c:pt idx="220">
                  <c:v>441.4</c:v>
                </c:pt>
                <c:pt idx="221">
                  <c:v>434.04</c:v>
                </c:pt>
                <c:pt idx="222">
                  <c:v>433.63</c:v>
                </c:pt>
                <c:pt idx="223">
                  <c:v>437.86</c:v>
                </c:pt>
                <c:pt idx="224">
                  <c:v>443.18</c:v>
                </c:pt>
                <c:pt idx="225">
                  <c:v>443.91</c:v>
                </c:pt>
                <c:pt idx="226">
                  <c:v>442.64</c:v>
                </c:pt>
                <c:pt idx="227">
                  <c:v>433.72</c:v>
                </c:pt>
                <c:pt idx="228">
                  <c:v>434.45</c:v>
                </c:pt>
                <c:pt idx="229">
                  <c:v>429.14</c:v>
                </c:pt>
                <c:pt idx="230">
                  <c:v>434.24</c:v>
                </c:pt>
                <c:pt idx="231">
                  <c:v>428.64</c:v>
                </c:pt>
                <c:pt idx="232">
                  <c:v>433.1</c:v>
                </c:pt>
                <c:pt idx="233">
                  <c:v>434.9</c:v>
                </c:pt>
                <c:pt idx="234">
                  <c:v>438.66</c:v>
                </c:pt>
                <c:pt idx="235">
                  <c:v>437.86</c:v>
                </c:pt>
                <c:pt idx="236">
                  <c:v>434.69</c:v>
                </c:pt>
                <c:pt idx="237">
                  <c:v>433.62</c:v>
                </c:pt>
                <c:pt idx="238">
                  <c:v>435.18</c:v>
                </c:pt>
                <c:pt idx="239">
                  <c:v>442.5</c:v>
                </c:pt>
                <c:pt idx="240">
                  <c:v>445.87</c:v>
                </c:pt>
                <c:pt idx="241">
                  <c:v>447.19</c:v>
                </c:pt>
                <c:pt idx="242">
                  <c:v>450.64</c:v>
                </c:pt>
                <c:pt idx="243">
                  <c:v>452.41</c:v>
                </c:pt>
                <c:pt idx="244">
                  <c:v>453.59</c:v>
                </c:pt>
                <c:pt idx="245">
                  <c:v>453.12</c:v>
                </c:pt>
                <c:pt idx="246">
                  <c:v>455.55</c:v>
                </c:pt>
                <c:pt idx="247">
                  <c:v>455.96</c:v>
                </c:pt>
                <c:pt idx="248">
                  <c:v>453.94</c:v>
                </c:pt>
                <c:pt idx="249">
                  <c:v>458.32</c:v>
                </c:pt>
                <c:pt idx="250">
                  <c:v>459.25</c:v>
                </c:pt>
                <c:pt idx="251">
                  <c:v>460.04</c:v>
                </c:pt>
                <c:pt idx="252">
                  <c:v>461.9</c:v>
                </c:pt>
                <c:pt idx="253">
                  <c:v>464.72</c:v>
                </c:pt>
                <c:pt idx="254">
                  <c:v>466.91</c:v>
                </c:pt>
                <c:pt idx="255">
                  <c:v>468.53</c:v>
                </c:pt>
                <c:pt idx="256">
                  <c:v>468.93</c:v>
                </c:pt>
                <c:pt idx="257">
                  <c:v>467.38</c:v>
                </c:pt>
                <c:pt idx="258">
                  <c:v>463.62</c:v>
                </c:pt>
                <c:pt idx="259">
                  <c:v>463.77</c:v>
                </c:pt>
                <c:pt idx="260">
                  <c:v>467.27</c:v>
                </c:pt>
                <c:pt idx="261">
                  <c:v>467.43</c:v>
                </c:pt>
                <c:pt idx="262">
                  <c:v>469.28</c:v>
                </c:pt>
                <c:pt idx="263">
                  <c:v>468.14</c:v>
                </c:pt>
                <c:pt idx="264">
                  <c:v>469.73</c:v>
                </c:pt>
                <c:pt idx="265">
                  <c:v>468.89</c:v>
                </c:pt>
                <c:pt idx="266">
                  <c:v>467.57</c:v>
                </c:pt>
                <c:pt idx="267">
                  <c:v>468.19</c:v>
                </c:pt>
                <c:pt idx="268">
                  <c:v>469.44</c:v>
                </c:pt>
                <c:pt idx="269">
                  <c:v>458.97</c:v>
                </c:pt>
                <c:pt idx="270">
                  <c:v>464.6</c:v>
                </c:pt>
                <c:pt idx="271">
                  <c:v>455.56</c:v>
                </c:pt>
                <c:pt idx="272">
                  <c:v>450.5</c:v>
                </c:pt>
                <c:pt idx="273">
                  <c:v>457.4</c:v>
                </c:pt>
                <c:pt idx="274">
                  <c:v>453.42</c:v>
                </c:pt>
                <c:pt idx="275">
                  <c:v>458.79</c:v>
                </c:pt>
                <c:pt idx="276">
                  <c:v>468.28</c:v>
                </c:pt>
                <c:pt idx="277">
                  <c:v>469.52</c:v>
                </c:pt>
                <c:pt idx="278">
                  <c:v>466.35</c:v>
                </c:pt>
                <c:pt idx="279">
                  <c:v>470.74</c:v>
                </c:pt>
                <c:pt idx="280">
                  <c:v>466.57</c:v>
                </c:pt>
                <c:pt idx="281">
                  <c:v>463.36</c:v>
                </c:pt>
                <c:pt idx="282">
                  <c:v>470.6</c:v>
                </c:pt>
                <c:pt idx="283">
                  <c:v>466.45</c:v>
                </c:pt>
                <c:pt idx="284">
                  <c:v>459.87</c:v>
                </c:pt>
                <c:pt idx="285">
                  <c:v>454.98</c:v>
                </c:pt>
                <c:pt idx="286">
                  <c:v>463.06</c:v>
                </c:pt>
                <c:pt idx="287">
                  <c:v>467.69</c:v>
                </c:pt>
                <c:pt idx="288">
                  <c:v>470.6</c:v>
                </c:pt>
                <c:pt idx="289">
                  <c:v>477.26</c:v>
                </c:pt>
                <c:pt idx="290">
                  <c:v>476.87</c:v>
                </c:pt>
                <c:pt idx="291">
                  <c:v>477.48</c:v>
                </c:pt>
                <c:pt idx="292">
                  <c:v>476.16</c:v>
                </c:pt>
                <c:pt idx="293">
                  <c:v>474.96</c:v>
                </c:pt>
                <c:pt idx="294">
                  <c:v>477.71</c:v>
                </c:pt>
                <c:pt idx="295">
                  <c:v>477.55</c:v>
                </c:pt>
                <c:pt idx="296">
                  <c:v>468.38</c:v>
                </c:pt>
                <c:pt idx="297">
                  <c:v>467.94</c:v>
                </c:pt>
                <c:pt idx="298">
                  <c:v>466.09</c:v>
                </c:pt>
                <c:pt idx="299">
                  <c:v>465.51</c:v>
                </c:pt>
                <c:pt idx="300">
                  <c:v>469.75</c:v>
                </c:pt>
                <c:pt idx="301">
                  <c:v>471.02</c:v>
                </c:pt>
                <c:pt idx="302">
                  <c:v>464.53</c:v>
                </c:pt>
                <c:pt idx="303">
                  <c:v>464.72</c:v>
                </c:pt>
                <c:pt idx="304">
                  <c:v>456.49</c:v>
                </c:pt>
                <c:pt idx="305">
                  <c:v>451.75</c:v>
                </c:pt>
                <c:pt idx="306">
                  <c:v>446.75</c:v>
                </c:pt>
                <c:pt idx="307">
                  <c:v>437.98</c:v>
                </c:pt>
                <c:pt idx="308">
                  <c:v>439.84</c:v>
                </c:pt>
                <c:pt idx="309">
                  <c:v>434.47</c:v>
                </c:pt>
                <c:pt idx="310">
                  <c:v>433.38</c:v>
                </c:pt>
                <c:pt idx="311">
                  <c:v>431.24</c:v>
                </c:pt>
                <c:pt idx="312">
                  <c:v>441.95</c:v>
                </c:pt>
                <c:pt idx="313">
                  <c:v>449.91</c:v>
                </c:pt>
                <c:pt idx="314">
                  <c:v>452.95</c:v>
                </c:pt>
                <c:pt idx="315">
                  <c:v>457.35</c:v>
                </c:pt>
                <c:pt idx="316">
                  <c:v>446.6</c:v>
                </c:pt>
                <c:pt idx="317">
                  <c:v>448.7</c:v>
                </c:pt>
                <c:pt idx="318">
                  <c:v>447.26</c:v>
                </c:pt>
                <c:pt idx="319">
                  <c:v>450.94</c:v>
                </c:pt>
                <c:pt idx="320">
                  <c:v>457.54</c:v>
                </c:pt>
                <c:pt idx="321">
                  <c:v>449.32</c:v>
                </c:pt>
                <c:pt idx="322">
                  <c:v>440.46</c:v>
                </c:pt>
                <c:pt idx="323">
                  <c:v>439.02</c:v>
                </c:pt>
                <c:pt idx="324">
                  <c:v>446.1</c:v>
                </c:pt>
                <c:pt idx="325">
                  <c:v>446.6</c:v>
                </c:pt>
                <c:pt idx="326">
                  <c:v>437.06</c:v>
                </c:pt>
                <c:pt idx="327">
                  <c:v>434.23</c:v>
                </c:pt>
                <c:pt idx="328">
                  <c:v>429.57</c:v>
                </c:pt>
                <c:pt idx="329">
                  <c:v>421.95</c:v>
                </c:pt>
                <c:pt idx="330">
                  <c:v>428.3</c:v>
                </c:pt>
                <c:pt idx="331">
                  <c:v>437.75</c:v>
                </c:pt>
                <c:pt idx="332">
                  <c:v>436.63</c:v>
                </c:pt>
                <c:pt idx="333">
                  <c:v>429.98</c:v>
                </c:pt>
                <c:pt idx="334">
                  <c:v>437.89</c:v>
                </c:pt>
                <c:pt idx="335">
                  <c:v>435.71</c:v>
                </c:pt>
                <c:pt idx="336">
                  <c:v>432.17</c:v>
                </c:pt>
                <c:pt idx="337">
                  <c:v>419.43</c:v>
                </c:pt>
                <c:pt idx="338">
                  <c:v>416.25</c:v>
                </c:pt>
                <c:pt idx="339">
                  <c:v>427.41</c:v>
                </c:pt>
                <c:pt idx="340">
                  <c:v>425.48</c:v>
                </c:pt>
                <c:pt idx="341">
                  <c:v>420.07</c:v>
                </c:pt>
                <c:pt idx="342">
                  <c:v>417</c:v>
                </c:pt>
                <c:pt idx="343">
                  <c:v>426.17</c:v>
                </c:pt>
                <c:pt idx="344">
                  <c:v>435.62</c:v>
                </c:pt>
                <c:pt idx="345">
                  <c:v>441.07</c:v>
                </c:pt>
                <c:pt idx="346">
                  <c:v>444.52</c:v>
                </c:pt>
                <c:pt idx="347">
                  <c:v>444.39</c:v>
                </c:pt>
                <c:pt idx="348">
                  <c:v>449.59</c:v>
                </c:pt>
                <c:pt idx="349">
                  <c:v>443.8</c:v>
                </c:pt>
                <c:pt idx="350">
                  <c:v>450.49</c:v>
                </c:pt>
                <c:pt idx="351">
                  <c:v>452.69</c:v>
                </c:pt>
                <c:pt idx="352">
                  <c:v>455.91</c:v>
                </c:pt>
                <c:pt idx="353">
                  <c:v>461.55</c:v>
                </c:pt>
                <c:pt idx="354">
                  <c:v>458.7</c:v>
                </c:pt>
                <c:pt idx="355">
                  <c:v>451.64</c:v>
                </c:pt>
                <c:pt idx="356">
                  <c:v>452.92</c:v>
                </c:pt>
                <c:pt idx="357">
                  <c:v>456.8</c:v>
                </c:pt>
                <c:pt idx="358">
                  <c:v>451.03</c:v>
                </c:pt>
                <c:pt idx="359">
                  <c:v>446.52</c:v>
                </c:pt>
                <c:pt idx="360">
                  <c:v>448.77</c:v>
                </c:pt>
                <c:pt idx="361">
                  <c:v>447.57</c:v>
                </c:pt>
                <c:pt idx="362">
                  <c:v>439.92</c:v>
                </c:pt>
                <c:pt idx="363">
                  <c:v>438.29</c:v>
                </c:pt>
                <c:pt idx="364">
                  <c:v>443.31</c:v>
                </c:pt>
                <c:pt idx="365">
                  <c:v>437.79</c:v>
                </c:pt>
                <c:pt idx="366">
                  <c:v>437.97</c:v>
                </c:pt>
                <c:pt idx="367">
                  <c:v>445.04</c:v>
                </c:pt>
                <c:pt idx="368">
                  <c:v>444.71</c:v>
                </c:pt>
                <c:pt idx="369">
                  <c:v>438.06</c:v>
                </c:pt>
                <c:pt idx="370">
                  <c:v>426.04</c:v>
                </c:pt>
                <c:pt idx="371">
                  <c:v>428.51</c:v>
                </c:pt>
                <c:pt idx="372">
                  <c:v>416.1</c:v>
                </c:pt>
                <c:pt idx="373">
                  <c:v>417.27</c:v>
                </c:pt>
                <c:pt idx="374">
                  <c:v>427.81</c:v>
                </c:pt>
                <c:pt idx="375">
                  <c:v>412</c:v>
                </c:pt>
                <c:pt idx="376">
                  <c:v>414.48</c:v>
                </c:pt>
                <c:pt idx="377">
                  <c:v>416.38</c:v>
                </c:pt>
                <c:pt idx="378">
                  <c:v>429.06</c:v>
                </c:pt>
                <c:pt idx="379">
                  <c:v>413.81</c:v>
                </c:pt>
                <c:pt idx="380">
                  <c:v>411.34</c:v>
                </c:pt>
                <c:pt idx="381">
                  <c:v>398.17</c:v>
                </c:pt>
                <c:pt idx="382">
                  <c:v>399.09</c:v>
                </c:pt>
                <c:pt idx="383">
                  <c:v>392.75</c:v>
                </c:pt>
                <c:pt idx="384">
                  <c:v>392.34</c:v>
                </c:pt>
                <c:pt idx="385">
                  <c:v>401.72</c:v>
                </c:pt>
                <c:pt idx="386">
                  <c:v>400.09</c:v>
                </c:pt>
                <c:pt idx="387">
                  <c:v>408.32</c:v>
                </c:pt>
                <c:pt idx="388">
                  <c:v>391.86</c:v>
                </c:pt>
                <c:pt idx="389">
                  <c:v>389.46</c:v>
                </c:pt>
                <c:pt idx="390">
                  <c:v>389.63</c:v>
                </c:pt>
                <c:pt idx="391">
                  <c:v>396.92</c:v>
                </c:pt>
                <c:pt idx="392">
                  <c:v>393.89</c:v>
                </c:pt>
                <c:pt idx="393">
                  <c:v>397.37</c:v>
                </c:pt>
                <c:pt idx="394">
                  <c:v>405.31</c:v>
                </c:pt>
                <c:pt idx="395">
                  <c:v>415.26</c:v>
                </c:pt>
                <c:pt idx="396">
                  <c:v>412.93</c:v>
                </c:pt>
                <c:pt idx="397">
                  <c:v>409.59</c:v>
                </c:pt>
                <c:pt idx="398">
                  <c:v>417.39</c:v>
                </c:pt>
                <c:pt idx="399">
                  <c:v>410.54</c:v>
                </c:pt>
                <c:pt idx="400">
                  <c:v>411.79</c:v>
                </c:pt>
                <c:pt idx="401">
                  <c:v>415.74</c:v>
                </c:pt>
                <c:pt idx="402">
                  <c:v>411.22</c:v>
                </c:pt>
                <c:pt idx="403">
                  <c:v>401.44</c:v>
                </c:pt>
                <c:pt idx="404">
                  <c:v>389.8</c:v>
                </c:pt>
                <c:pt idx="405">
                  <c:v>375</c:v>
                </c:pt>
                <c:pt idx="406">
                  <c:v>373.87</c:v>
                </c:pt>
                <c:pt idx="407">
                  <c:v>379.2</c:v>
                </c:pt>
                <c:pt idx="408">
                  <c:v>366.65</c:v>
                </c:pt>
                <c:pt idx="409">
                  <c:v>365.86</c:v>
                </c:pt>
                <c:pt idx="410">
                  <c:v>375.07</c:v>
                </c:pt>
                <c:pt idx="411">
                  <c:v>374.39</c:v>
                </c:pt>
                <c:pt idx="412">
                  <c:v>378.06</c:v>
                </c:pt>
                <c:pt idx="413">
                  <c:v>390.08</c:v>
                </c:pt>
                <c:pt idx="414">
                  <c:v>388.59</c:v>
                </c:pt>
                <c:pt idx="415">
                  <c:v>380.65</c:v>
                </c:pt>
                <c:pt idx="416">
                  <c:v>380.34</c:v>
                </c:pt>
                <c:pt idx="417">
                  <c:v>377.25</c:v>
                </c:pt>
                <c:pt idx="418">
                  <c:v>381.24</c:v>
                </c:pt>
                <c:pt idx="419">
                  <c:v>381.96</c:v>
                </c:pt>
                <c:pt idx="420">
                  <c:v>383.25</c:v>
                </c:pt>
                <c:pt idx="421">
                  <c:v>388.99</c:v>
                </c:pt>
                <c:pt idx="422">
                  <c:v>388.67</c:v>
                </c:pt>
                <c:pt idx="423">
                  <c:v>384.23</c:v>
                </c:pt>
                <c:pt idx="424">
                  <c:v>380.83</c:v>
                </c:pt>
                <c:pt idx="425">
                  <c:v>378.83</c:v>
                </c:pt>
                <c:pt idx="426">
                  <c:v>377.91</c:v>
                </c:pt>
                <c:pt idx="427">
                  <c:v>385.13</c:v>
                </c:pt>
                <c:pt idx="428">
                  <c:v>381.95</c:v>
                </c:pt>
                <c:pt idx="429">
                  <c:v>392.27</c:v>
                </c:pt>
                <c:pt idx="430">
                  <c:v>394.77</c:v>
                </c:pt>
                <c:pt idx="431">
                  <c:v>398.79</c:v>
                </c:pt>
                <c:pt idx="432">
                  <c:v>395.09</c:v>
                </c:pt>
                <c:pt idx="433">
                  <c:v>395.57</c:v>
                </c:pt>
                <c:pt idx="434">
                  <c:v>390.89</c:v>
                </c:pt>
                <c:pt idx="435">
                  <c:v>401.04</c:v>
                </c:pt>
                <c:pt idx="436">
                  <c:v>406.07</c:v>
                </c:pt>
                <c:pt idx="437">
                  <c:v>411.99</c:v>
                </c:pt>
                <c:pt idx="438">
                  <c:v>410.77</c:v>
                </c:pt>
                <c:pt idx="439">
                  <c:v>408.06</c:v>
                </c:pt>
                <c:pt idx="440">
                  <c:v>414.45</c:v>
                </c:pt>
                <c:pt idx="441">
                  <c:v>414.17</c:v>
                </c:pt>
                <c:pt idx="442">
                  <c:v>413.47</c:v>
                </c:pt>
                <c:pt idx="443">
                  <c:v>412.99</c:v>
                </c:pt>
                <c:pt idx="444">
                  <c:v>411.35</c:v>
                </c:pt>
                <c:pt idx="445">
                  <c:v>419.99</c:v>
                </c:pt>
                <c:pt idx="446">
                  <c:v>419.99</c:v>
                </c:pt>
                <c:pt idx="447">
                  <c:v>427.1</c:v>
                </c:pt>
                <c:pt idx="448">
                  <c:v>428.86</c:v>
                </c:pt>
                <c:pt idx="449">
                  <c:v>429.7</c:v>
                </c:pt>
                <c:pt idx="450">
                  <c:v>426.65</c:v>
                </c:pt>
                <c:pt idx="451">
                  <c:v>427.89</c:v>
                </c:pt>
                <c:pt idx="452">
                  <c:v>422.14</c:v>
                </c:pt>
                <c:pt idx="453">
                  <c:v>413.35</c:v>
                </c:pt>
                <c:pt idx="454">
                  <c:v>412.35</c:v>
                </c:pt>
                <c:pt idx="455">
                  <c:v>413.67</c:v>
                </c:pt>
                <c:pt idx="456">
                  <c:v>419.51</c:v>
                </c:pt>
                <c:pt idx="457">
                  <c:v>405.31</c:v>
                </c:pt>
                <c:pt idx="458">
                  <c:v>402.63</c:v>
                </c:pt>
                <c:pt idx="459">
                  <c:v>398.21</c:v>
                </c:pt>
                <c:pt idx="460">
                  <c:v>395.18</c:v>
                </c:pt>
                <c:pt idx="461">
                  <c:v>396.42</c:v>
                </c:pt>
                <c:pt idx="462">
                  <c:v>392.24</c:v>
                </c:pt>
                <c:pt idx="463">
                  <c:v>390.76</c:v>
                </c:pt>
                <c:pt idx="464">
                  <c:v>397.78</c:v>
                </c:pt>
                <c:pt idx="465">
                  <c:v>400.38</c:v>
                </c:pt>
                <c:pt idx="466">
                  <c:v>406.6</c:v>
                </c:pt>
                <c:pt idx="467">
                  <c:v>410.97</c:v>
                </c:pt>
                <c:pt idx="468">
                  <c:v>393.1</c:v>
                </c:pt>
                <c:pt idx="469">
                  <c:v>394.6</c:v>
                </c:pt>
                <c:pt idx="470">
                  <c:v>390.12</c:v>
                </c:pt>
                <c:pt idx="471">
                  <c:v>385.56</c:v>
                </c:pt>
                <c:pt idx="472">
                  <c:v>388.55</c:v>
                </c:pt>
                <c:pt idx="473">
                  <c:v>384.09</c:v>
                </c:pt>
                <c:pt idx="474">
                  <c:v>377.39</c:v>
                </c:pt>
                <c:pt idx="475">
                  <c:v>374.22</c:v>
                </c:pt>
                <c:pt idx="476">
                  <c:v>367.95</c:v>
                </c:pt>
                <c:pt idx="477">
                  <c:v>364.31</c:v>
                </c:pt>
                <c:pt idx="478">
                  <c:v>363.38</c:v>
                </c:pt>
                <c:pt idx="479">
                  <c:v>370.53</c:v>
                </c:pt>
                <c:pt idx="480">
                  <c:v>362.79</c:v>
                </c:pt>
                <c:pt idx="481">
                  <c:v>357.18</c:v>
                </c:pt>
                <c:pt idx="482">
                  <c:v>366.61</c:v>
                </c:pt>
                <c:pt idx="483">
                  <c:v>377.97</c:v>
                </c:pt>
                <c:pt idx="484">
                  <c:v>377.09</c:v>
                </c:pt>
                <c:pt idx="485">
                  <c:v>373.2</c:v>
                </c:pt>
                <c:pt idx="486">
                  <c:v>362.79</c:v>
                </c:pt>
                <c:pt idx="487">
                  <c:v>360.02</c:v>
                </c:pt>
                <c:pt idx="488">
                  <c:v>357.74</c:v>
                </c:pt>
                <c:pt idx="489">
                  <c:v>356.56</c:v>
                </c:pt>
                <c:pt idx="490">
                  <c:v>365.97</c:v>
                </c:pt>
                <c:pt idx="491">
                  <c:v>357.63</c:v>
                </c:pt>
                <c:pt idx="492">
                  <c:v>366.82</c:v>
                </c:pt>
                <c:pt idx="493">
                  <c:v>371.13</c:v>
                </c:pt>
                <c:pt idx="494">
                  <c:v>368.5</c:v>
                </c:pt>
                <c:pt idx="495">
                  <c:v>365.41</c:v>
                </c:pt>
                <c:pt idx="496">
                  <c:v>374.29</c:v>
                </c:pt>
                <c:pt idx="497">
                  <c:v>378.87</c:v>
                </c:pt>
                <c:pt idx="498">
                  <c:v>384.92</c:v>
                </c:pt>
                <c:pt idx="499">
                  <c:v>382.02</c:v>
                </c:pt>
                <c:pt idx="500">
                  <c:v>379.98</c:v>
                </c:pt>
                <c:pt idx="501">
                  <c:v>389.02</c:v>
                </c:pt>
                <c:pt idx="502">
                  <c:v>386.21</c:v>
                </c:pt>
                <c:pt idx="503">
                  <c:v>384.52</c:v>
                </c:pt>
                <c:pt idx="504">
                  <c:v>374.87</c:v>
                </c:pt>
                <c:pt idx="505">
                  <c:v>371.01</c:v>
                </c:pt>
                <c:pt idx="506">
                  <c:v>376.35</c:v>
                </c:pt>
                <c:pt idx="507">
                  <c:v>379.95</c:v>
                </c:pt>
                <c:pt idx="508">
                  <c:v>382</c:v>
                </c:pt>
                <c:pt idx="509">
                  <c:v>374.13</c:v>
                </c:pt>
                <c:pt idx="510">
                  <c:v>394.69</c:v>
                </c:pt>
                <c:pt idx="511">
                  <c:v>398.51</c:v>
                </c:pt>
                <c:pt idx="512">
                  <c:v>395.12</c:v>
                </c:pt>
                <c:pt idx="513">
                  <c:v>398.49</c:v>
                </c:pt>
                <c:pt idx="514">
                  <c:v>395.45</c:v>
                </c:pt>
                <c:pt idx="515">
                  <c:v>394.24</c:v>
                </c:pt>
                <c:pt idx="516">
                  <c:v>396.03</c:v>
                </c:pt>
                <c:pt idx="517">
                  <c:v>394.59</c:v>
                </c:pt>
                <c:pt idx="518">
                  <c:v>399.9</c:v>
                </c:pt>
                <c:pt idx="519">
                  <c:v>402.42</c:v>
                </c:pt>
                <c:pt idx="520">
                  <c:v>402.33</c:v>
                </c:pt>
                <c:pt idx="521">
                  <c:v>395.91</c:v>
                </c:pt>
                <c:pt idx="522">
                  <c:v>395.23</c:v>
                </c:pt>
                <c:pt idx="523">
                  <c:v>407.68</c:v>
                </c:pt>
                <c:pt idx="524">
                  <c:v>407.38</c:v>
                </c:pt>
                <c:pt idx="525">
                  <c:v>406.91</c:v>
                </c:pt>
                <c:pt idx="526">
                  <c:v>399.59</c:v>
                </c:pt>
                <c:pt idx="527">
                  <c:v>393.83</c:v>
                </c:pt>
                <c:pt idx="528">
                  <c:v>393.16</c:v>
                </c:pt>
                <c:pt idx="529">
                  <c:v>396.24</c:v>
                </c:pt>
                <c:pt idx="530">
                  <c:v>393.28</c:v>
                </c:pt>
                <c:pt idx="531">
                  <c:v>398.95</c:v>
                </c:pt>
                <c:pt idx="532">
                  <c:v>401.97</c:v>
                </c:pt>
                <c:pt idx="533">
                  <c:v>399.4</c:v>
                </c:pt>
                <c:pt idx="534">
                  <c:v>389.63</c:v>
                </c:pt>
                <c:pt idx="535">
                  <c:v>383.27</c:v>
                </c:pt>
                <c:pt idx="536">
                  <c:v>380.02</c:v>
                </c:pt>
                <c:pt idx="537">
                  <c:v>380.54</c:v>
                </c:pt>
                <c:pt idx="538">
                  <c:v>386.23</c:v>
                </c:pt>
                <c:pt idx="539">
                  <c:v>380.72</c:v>
                </c:pt>
                <c:pt idx="540">
                  <c:v>382.91</c:v>
                </c:pt>
                <c:pt idx="541">
                  <c:v>381.4</c:v>
                </c:pt>
                <c:pt idx="542">
                  <c:v>376.66</c:v>
                </c:pt>
                <c:pt idx="543">
                  <c:v>383.44</c:v>
                </c:pt>
                <c:pt idx="544">
                  <c:v>382.43</c:v>
                </c:pt>
                <c:pt idx="545">
                  <c:v>380.82</c:v>
                </c:pt>
                <c:pt idx="546">
                  <c:v>383.76</c:v>
                </c:pt>
                <c:pt idx="547">
                  <c:v>379.38</c:v>
                </c:pt>
                <c:pt idx="548">
                  <c:v>388.08</c:v>
                </c:pt>
                <c:pt idx="549">
                  <c:v>387.86</c:v>
                </c:pt>
                <c:pt idx="550">
                  <c:v>390.58</c:v>
                </c:pt>
                <c:pt idx="551">
                  <c:v>395.52</c:v>
                </c:pt>
                <c:pt idx="552">
                  <c:v>396.96</c:v>
                </c:pt>
                <c:pt idx="553">
                  <c:v>398.5</c:v>
                </c:pt>
                <c:pt idx="554">
                  <c:v>397.77</c:v>
                </c:pt>
                <c:pt idx="555">
                  <c:v>391.49</c:v>
                </c:pt>
                <c:pt idx="556">
                  <c:v>388.64</c:v>
                </c:pt>
                <c:pt idx="557">
                  <c:v>395.88</c:v>
                </c:pt>
                <c:pt idx="558">
                  <c:v>400.63</c:v>
                </c:pt>
                <c:pt idx="559">
                  <c:v>400.2</c:v>
                </c:pt>
                <c:pt idx="560">
                  <c:v>400.35</c:v>
                </c:pt>
                <c:pt idx="561">
                  <c:v>404.75</c:v>
                </c:pt>
                <c:pt idx="562">
                  <c:v>405.68</c:v>
                </c:pt>
                <c:pt idx="563">
                  <c:v>400.59</c:v>
                </c:pt>
                <c:pt idx="564">
                  <c:v>406.48</c:v>
                </c:pt>
                <c:pt idx="565">
                  <c:v>410.8</c:v>
                </c:pt>
                <c:pt idx="566">
                  <c:v>416.78</c:v>
                </c:pt>
                <c:pt idx="567">
                  <c:v>412.35</c:v>
                </c:pt>
                <c:pt idx="568">
                  <c:v>409.83</c:v>
                </c:pt>
                <c:pt idx="569">
                  <c:v>415.19</c:v>
                </c:pt>
                <c:pt idx="570">
                  <c:v>410.65</c:v>
                </c:pt>
                <c:pt idx="571">
                  <c:v>407.09</c:v>
                </c:pt>
                <c:pt idx="572">
                  <c:v>408.04</c:v>
                </c:pt>
                <c:pt idx="573">
                  <c:v>412.83</c:v>
                </c:pt>
                <c:pt idx="574">
                  <c:v>412.64</c:v>
                </c:pt>
                <c:pt idx="575">
                  <c:v>413.98</c:v>
                </c:pt>
                <c:pt idx="576">
                  <c:v>408.28</c:v>
                </c:pt>
                <c:pt idx="577">
                  <c:v>407.26</c:v>
                </c:pt>
                <c:pt idx="578">
                  <c:v>399.09</c:v>
                </c:pt>
                <c:pt idx="579">
                  <c:v>398.54</c:v>
                </c:pt>
                <c:pt idx="580">
                  <c:v>400.66</c:v>
                </c:pt>
                <c:pt idx="581">
                  <c:v>396.38</c:v>
                </c:pt>
                <c:pt idx="582">
                  <c:v>397.73</c:v>
                </c:pt>
                <c:pt idx="583">
                  <c:v>396.26</c:v>
                </c:pt>
                <c:pt idx="584">
                  <c:v>394.74</c:v>
                </c:pt>
                <c:pt idx="585">
                  <c:v>397.81</c:v>
                </c:pt>
                <c:pt idx="586">
                  <c:v>404.19</c:v>
                </c:pt>
                <c:pt idx="587">
                  <c:v>404.47</c:v>
                </c:pt>
                <c:pt idx="588">
                  <c:v>398.27</c:v>
                </c:pt>
                <c:pt idx="589">
                  <c:v>398.92</c:v>
                </c:pt>
                <c:pt idx="590">
                  <c:v>391.56</c:v>
                </c:pt>
                <c:pt idx="591">
                  <c:v>385.91</c:v>
                </c:pt>
                <c:pt idx="592">
                  <c:v>385.36</c:v>
                </c:pt>
                <c:pt idx="593">
                  <c:v>391.73</c:v>
                </c:pt>
                <c:pt idx="594">
                  <c:v>389.28</c:v>
                </c:pt>
                <c:pt idx="595">
                  <c:v>396.11</c:v>
                </c:pt>
                <c:pt idx="596">
                  <c:v>389.99</c:v>
                </c:pt>
                <c:pt idx="597">
                  <c:v>393.74</c:v>
                </c:pt>
                <c:pt idx="598">
                  <c:v>398.91</c:v>
                </c:pt>
                <c:pt idx="599">
                  <c:v>392.11</c:v>
                </c:pt>
                <c:pt idx="600">
                  <c:v>393.17</c:v>
                </c:pt>
                <c:pt idx="601">
                  <c:v>395.75</c:v>
                </c:pt>
                <c:pt idx="602">
                  <c:v>396.49</c:v>
                </c:pt>
                <c:pt idx="603">
                  <c:v>395.6</c:v>
                </c:pt>
                <c:pt idx="604">
                  <c:v>401.35</c:v>
                </c:pt>
                <c:pt idx="605">
                  <c:v>403.7</c:v>
                </c:pt>
                <c:pt idx="606">
                  <c:v>409.39</c:v>
                </c:pt>
                <c:pt idx="607">
                  <c:v>410.95</c:v>
                </c:pt>
                <c:pt idx="608">
                  <c:v>408.67</c:v>
                </c:pt>
                <c:pt idx="609">
                  <c:v>407.6</c:v>
                </c:pt>
                <c:pt idx="610">
                  <c:v>409.19</c:v>
                </c:pt>
                <c:pt idx="611">
                  <c:v>409.61</c:v>
                </c:pt>
                <c:pt idx="612">
                  <c:v>409.72</c:v>
                </c:pt>
                <c:pt idx="613">
                  <c:v>408.05</c:v>
                </c:pt>
                <c:pt idx="614">
                  <c:v>413.47</c:v>
                </c:pt>
                <c:pt idx="615">
                  <c:v>412.46</c:v>
                </c:pt>
                <c:pt idx="616">
                  <c:v>413.94</c:v>
                </c:pt>
                <c:pt idx="617">
                  <c:v>414.21</c:v>
                </c:pt>
                <c:pt idx="618">
                  <c:v>414.14</c:v>
                </c:pt>
                <c:pt idx="619">
                  <c:v>411.88</c:v>
                </c:pt>
                <c:pt idx="620">
                  <c:v>412.2</c:v>
                </c:pt>
                <c:pt idx="621">
                  <c:v>412.63</c:v>
                </c:pt>
                <c:pt idx="622">
                  <c:v>406.08</c:v>
                </c:pt>
                <c:pt idx="623">
                  <c:v>404.36</c:v>
                </c:pt>
                <c:pt idx="624">
                  <c:v>412.41</c:v>
                </c:pt>
                <c:pt idx="625">
                  <c:v>415.93</c:v>
                </c:pt>
                <c:pt idx="626">
                  <c:v>415.51</c:v>
                </c:pt>
                <c:pt idx="627">
                  <c:v>410.84</c:v>
                </c:pt>
                <c:pt idx="628">
                  <c:v>408.02</c:v>
                </c:pt>
                <c:pt idx="629">
                  <c:v>405.13</c:v>
                </c:pt>
                <c:pt idx="630">
                  <c:v>412.63</c:v>
                </c:pt>
                <c:pt idx="631">
                  <c:v>412.74</c:v>
                </c:pt>
                <c:pt idx="632">
                  <c:v>410.93</c:v>
                </c:pt>
                <c:pt idx="633">
                  <c:v>412.85</c:v>
                </c:pt>
                <c:pt idx="634">
                  <c:v>412.13</c:v>
                </c:pt>
                <c:pt idx="635">
                  <c:v>411.59</c:v>
                </c:pt>
                <c:pt idx="636">
                  <c:v>413.01</c:v>
                </c:pt>
                <c:pt idx="637">
                  <c:v>410.25</c:v>
                </c:pt>
                <c:pt idx="638">
                  <c:v>415.23</c:v>
                </c:pt>
                <c:pt idx="639">
                  <c:v>419.23</c:v>
                </c:pt>
                <c:pt idx="640">
                  <c:v>418.62</c:v>
                </c:pt>
                <c:pt idx="641">
                  <c:v>418.79</c:v>
                </c:pt>
                <c:pt idx="642">
                  <c:v>414.09</c:v>
                </c:pt>
                <c:pt idx="643">
                  <c:v>411.09</c:v>
                </c:pt>
                <c:pt idx="644">
                  <c:v>414.65</c:v>
                </c:pt>
                <c:pt idx="645">
                  <c:v>420.02</c:v>
                </c:pt>
                <c:pt idx="646">
                  <c:v>420.18</c:v>
                </c:pt>
                <c:pt idx="647">
                  <c:v>417.85</c:v>
                </c:pt>
                <c:pt idx="648">
                  <c:v>421.82</c:v>
                </c:pt>
                <c:pt idx="649">
                  <c:v>427.92</c:v>
                </c:pt>
                <c:pt idx="650">
                  <c:v>427.1</c:v>
                </c:pt>
                <c:pt idx="651">
                  <c:v>428.03</c:v>
                </c:pt>
                <c:pt idx="652">
                  <c:v>426.55</c:v>
                </c:pt>
                <c:pt idx="653">
                  <c:v>429.13</c:v>
                </c:pt>
                <c:pt idx="654">
                  <c:v>429.9</c:v>
                </c:pt>
                <c:pt idx="655">
                  <c:v>433.8</c:v>
                </c:pt>
                <c:pt idx="656">
                  <c:v>436.66</c:v>
                </c:pt>
                <c:pt idx="657">
                  <c:v>437.18</c:v>
                </c:pt>
                <c:pt idx="658">
                  <c:v>442.6</c:v>
                </c:pt>
                <c:pt idx="659">
                  <c:v>439.46</c:v>
                </c:pt>
                <c:pt idx="660">
                  <c:v>437.18</c:v>
                </c:pt>
                <c:pt idx="661">
                  <c:v>434.94</c:v>
                </c:pt>
                <c:pt idx="662">
                  <c:v>436.51</c:v>
                </c:pt>
                <c:pt idx="663">
                  <c:v>433.21</c:v>
                </c:pt>
                <c:pt idx="664">
                  <c:v>431.44</c:v>
                </c:pt>
                <c:pt idx="665">
                  <c:v>436.17</c:v>
                </c:pt>
                <c:pt idx="666">
                  <c:v>436.39</c:v>
                </c:pt>
                <c:pt idx="667">
                  <c:v>438.11</c:v>
                </c:pt>
                <c:pt idx="668">
                  <c:v>443.28</c:v>
                </c:pt>
                <c:pt idx="669">
                  <c:v>443.79</c:v>
                </c:pt>
                <c:pt idx="670">
                  <c:v>443.13</c:v>
                </c:pt>
                <c:pt idx="671">
                  <c:v>439.66</c:v>
                </c:pt>
                <c:pt idx="672">
                  <c:v>438.55</c:v>
                </c:pt>
                <c:pt idx="673">
                  <c:v>439.66</c:v>
                </c:pt>
                <c:pt idx="674">
                  <c:v>442.46</c:v>
                </c:pt>
                <c:pt idx="675">
                  <c:v>446.02</c:v>
                </c:pt>
                <c:pt idx="676">
                  <c:v>449.56</c:v>
                </c:pt>
                <c:pt idx="677">
                  <c:v>449.28</c:v>
                </c:pt>
                <c:pt idx="678">
                  <c:v>450.84</c:v>
                </c:pt>
                <c:pt idx="679">
                  <c:v>454.19</c:v>
                </c:pt>
                <c:pt idx="680">
                  <c:v>455.2</c:v>
                </c:pt>
                <c:pt idx="681">
                  <c:v>452.18</c:v>
                </c:pt>
                <c:pt idx="682">
                  <c:v>452.18</c:v>
                </c:pt>
                <c:pt idx="683">
                  <c:v>454.2</c:v>
                </c:pt>
                <c:pt idx="684">
                  <c:v>455.44</c:v>
                </c:pt>
                <c:pt idx="685">
                  <c:v>455.51</c:v>
                </c:pt>
                <c:pt idx="686">
                  <c:v>452.49</c:v>
                </c:pt>
                <c:pt idx="687">
                  <c:v>456.92</c:v>
                </c:pt>
                <c:pt idx="688">
                  <c:v>457.79</c:v>
                </c:pt>
                <c:pt idx="689">
                  <c:v>456.48</c:v>
                </c:pt>
                <c:pt idx="690">
                  <c:v>450.13</c:v>
                </c:pt>
                <c:pt idx="691">
                  <c:v>448.84</c:v>
                </c:pt>
                <c:pt idx="692">
                  <c:v>446.81</c:v>
                </c:pt>
                <c:pt idx="693">
                  <c:v>450.71</c:v>
                </c:pt>
                <c:pt idx="694">
                  <c:v>448.75</c:v>
                </c:pt>
                <c:pt idx="695">
                  <c:v>445.75</c:v>
                </c:pt>
                <c:pt idx="696">
                  <c:v>445.91</c:v>
                </c:pt>
                <c:pt idx="697">
                  <c:v>445.65</c:v>
                </c:pt>
                <c:pt idx="698">
                  <c:v>448.11</c:v>
                </c:pt>
                <c:pt idx="699">
                  <c:v>442.89</c:v>
                </c:pt>
                <c:pt idx="700">
                  <c:v>439.64</c:v>
                </c:pt>
                <c:pt idx="701">
                  <c:v>436.29</c:v>
                </c:pt>
                <c:pt idx="702">
                  <c:v>436.5</c:v>
                </c:pt>
                <c:pt idx="703">
                  <c:v>439.34</c:v>
                </c:pt>
                <c:pt idx="704">
                  <c:v>438.15</c:v>
                </c:pt>
                <c:pt idx="705">
                  <c:v>443.03</c:v>
                </c:pt>
                <c:pt idx="706">
                  <c:v>436.89</c:v>
                </c:pt>
                <c:pt idx="707">
                  <c:v>439.97</c:v>
                </c:pt>
                <c:pt idx="708">
                  <c:v>442.76</c:v>
                </c:pt>
                <c:pt idx="709">
                  <c:v>449.16</c:v>
                </c:pt>
                <c:pt idx="710">
                  <c:v>451.01</c:v>
                </c:pt>
                <c:pt idx="711">
                  <c:v>450.35</c:v>
                </c:pt>
                <c:pt idx="712">
                  <c:v>451.19</c:v>
                </c:pt>
                <c:pt idx="713">
                  <c:v>449.24</c:v>
                </c:pt>
                <c:pt idx="714">
                  <c:v>446.22</c:v>
                </c:pt>
                <c:pt idx="715">
                  <c:v>444.85</c:v>
                </c:pt>
                <c:pt idx="716">
                  <c:v>445.52</c:v>
                </c:pt>
                <c:pt idx="717">
                  <c:v>448.45</c:v>
                </c:pt>
                <c:pt idx="718">
                  <c:v>445.99</c:v>
                </c:pt>
                <c:pt idx="719">
                  <c:v>446.51</c:v>
                </c:pt>
                <c:pt idx="720">
                  <c:v>450.36</c:v>
                </c:pt>
                <c:pt idx="721">
                  <c:v>443.37</c:v>
                </c:pt>
                <c:pt idx="722">
                  <c:v>443.63</c:v>
                </c:pt>
                <c:pt idx="723">
                  <c:v>442.71</c:v>
                </c:pt>
                <c:pt idx="724">
                  <c:v>438.64</c:v>
                </c:pt>
                <c:pt idx="725">
                  <c:v>431.39</c:v>
                </c:pt>
                <c:pt idx="726">
                  <c:v>430.42</c:v>
                </c:pt>
                <c:pt idx="727">
                  <c:v>432.23</c:v>
                </c:pt>
                <c:pt idx="728">
                  <c:v>425.88</c:v>
                </c:pt>
                <c:pt idx="729">
                  <c:v>426.05</c:v>
                </c:pt>
                <c:pt idx="730">
                  <c:v>428.52</c:v>
                </c:pt>
                <c:pt idx="731">
                  <c:v>427.48</c:v>
                </c:pt>
                <c:pt idx="732">
                  <c:v>427.31</c:v>
                </c:pt>
                <c:pt idx="733">
                  <c:v>421.59</c:v>
                </c:pt>
                <c:pt idx="734">
                  <c:v>424.66</c:v>
                </c:pt>
                <c:pt idx="735">
                  <c:v>424.5</c:v>
                </c:pt>
                <c:pt idx="736">
                  <c:v>429.54</c:v>
                </c:pt>
                <c:pt idx="737">
                  <c:v>432.29</c:v>
                </c:pt>
                <c:pt idx="738">
                  <c:v>434.54</c:v>
                </c:pt>
                <c:pt idx="739">
                  <c:v>436.32</c:v>
                </c:pt>
                <c:pt idx="740">
                  <c:v>433.66</c:v>
                </c:pt>
                <c:pt idx="741">
                  <c:v>431.5</c:v>
                </c:pt>
                <c:pt idx="742">
                  <c:v>436.04</c:v>
                </c:pt>
                <c:pt idx="743">
                  <c:v>436.02</c:v>
                </c:pt>
                <c:pt idx="744">
                  <c:v>430.21</c:v>
                </c:pt>
                <c:pt idx="745">
                  <c:v>426.43</c:v>
                </c:pt>
                <c:pt idx="746">
                  <c:v>421.19</c:v>
                </c:pt>
                <c:pt idx="747">
                  <c:v>420.46</c:v>
                </c:pt>
                <c:pt idx="748">
                  <c:v>423.63</c:v>
                </c:pt>
                <c:pt idx="749">
                  <c:v>417.55</c:v>
                </c:pt>
                <c:pt idx="750">
                  <c:v>412.55</c:v>
                </c:pt>
                <c:pt idx="751">
                  <c:v>410.68</c:v>
                </c:pt>
                <c:pt idx="752">
                  <c:v>415.59</c:v>
                </c:pt>
                <c:pt idx="753">
                  <c:v>418.2</c:v>
                </c:pt>
                <c:pt idx="754">
                  <c:v>422.66</c:v>
                </c:pt>
                <c:pt idx="755">
                  <c:v>430.76</c:v>
                </c:pt>
                <c:pt idx="756">
                  <c:v>434.69</c:v>
                </c:pt>
                <c:pt idx="757">
                  <c:v>435.69</c:v>
                </c:pt>
                <c:pt idx="758">
                  <c:v>436.93</c:v>
                </c:pt>
                <c:pt idx="759">
                  <c:v>437.25</c:v>
                </c:pt>
                <c:pt idx="760">
                  <c:v>433.84</c:v>
                </c:pt>
                <c:pt idx="761">
                  <c:v>440.61</c:v>
                </c:pt>
                <c:pt idx="762">
                  <c:v>440.19</c:v>
                </c:pt>
                <c:pt idx="763">
                  <c:v>448.73</c:v>
                </c:pt>
                <c:pt idx="764">
                  <c:v>449.68</c:v>
                </c:pt>
                <c:pt idx="765">
                  <c:v>450.23</c:v>
                </c:pt>
                <c:pt idx="766">
                  <c:v>450.79</c:v>
                </c:pt>
                <c:pt idx="767">
                  <c:v>454.26</c:v>
                </c:pt>
                <c:pt idx="768">
                  <c:v>453.27</c:v>
                </c:pt>
                <c:pt idx="769">
                  <c:v>455.02</c:v>
                </c:pt>
                <c:pt idx="770">
                  <c:v>455.3</c:v>
                </c:pt>
                <c:pt idx="771">
                  <c:v>454.48</c:v>
                </c:pt>
                <c:pt idx="772">
                  <c:v>454.93</c:v>
                </c:pt>
                <c:pt idx="773">
                  <c:v>454.61</c:v>
                </c:pt>
                <c:pt idx="774">
                  <c:v>456.4</c:v>
                </c:pt>
                <c:pt idx="775">
                  <c:v>459.1</c:v>
                </c:pt>
                <c:pt idx="776">
                  <c:v>456.69</c:v>
                </c:pt>
                <c:pt idx="777">
                  <c:v>456.6</c:v>
                </c:pt>
                <c:pt idx="778">
                  <c:v>454.76</c:v>
                </c:pt>
                <c:pt idx="779">
                  <c:v>458.23</c:v>
                </c:pt>
                <c:pt idx="780">
                  <c:v>460.2</c:v>
                </c:pt>
                <c:pt idx="781">
                  <c:v>461.99</c:v>
                </c:pt>
                <c:pt idx="782">
                  <c:v>464.1</c:v>
                </c:pt>
                <c:pt idx="783">
                  <c:v>470.5</c:v>
                </c:pt>
                <c:pt idx="784">
                  <c:v>472.01</c:v>
                </c:pt>
                <c:pt idx="785">
                  <c:v>469.33</c:v>
                </c:pt>
                <c:pt idx="786">
                  <c:v>471.97</c:v>
                </c:pt>
                <c:pt idx="787">
                  <c:v>474.84</c:v>
                </c:pt>
                <c:pt idx="788">
                  <c:v>468.26</c:v>
                </c:pt>
                <c:pt idx="789">
                  <c:v>472.7</c:v>
                </c:pt>
                <c:pt idx="790">
                  <c:v>473.65</c:v>
                </c:pt>
                <c:pt idx="791">
                  <c:v>475.65</c:v>
                </c:pt>
                <c:pt idx="792">
                  <c:v>476.51</c:v>
                </c:pt>
                <c:pt idx="793">
                  <c:v>476.69</c:v>
                </c:pt>
                <c:pt idx="794">
                  <c:v>475.31</c:v>
                </c:pt>
                <c:pt idx="795">
                  <c:v>472.65</c:v>
                </c:pt>
                <c:pt idx="796">
                  <c:v>468.79</c:v>
                </c:pt>
                <c:pt idx="797">
                  <c:v>467.28</c:v>
                </c:pt>
                <c:pt idx="798">
                  <c:v>467.92</c:v>
                </c:pt>
                <c:pt idx="799">
                  <c:v>474.6</c:v>
                </c:pt>
                <c:pt idx="800">
                  <c:v>473.88</c:v>
                </c:pt>
                <c:pt idx="801">
                  <c:v>476.56</c:v>
                </c:pt>
                <c:pt idx="802">
                  <c:v>476.35</c:v>
                </c:pt>
                <c:pt idx="803">
                  <c:v>476.68</c:v>
                </c:pt>
                <c:pt idx="804">
                  <c:v>474.93</c:v>
                </c:pt>
                <c:pt idx="805">
                  <c:v>472.29</c:v>
                </c:pt>
                <c:pt idx="806">
                  <c:v>476.49</c:v>
                </c:pt>
                <c:pt idx="807">
                  <c:v>482.43</c:v>
                </c:pt>
                <c:pt idx="808">
                  <c:v>483.45</c:v>
                </c:pt>
                <c:pt idx="809">
                  <c:v>484.86</c:v>
                </c:pt>
                <c:pt idx="810">
                  <c:v>485.39</c:v>
                </c:pt>
                <c:pt idx="811">
                  <c:v>488.03</c:v>
                </c:pt>
                <c:pt idx="812">
                  <c:v>487.41</c:v>
                </c:pt>
                <c:pt idx="813">
                  <c:v>491.27</c:v>
                </c:pt>
                <c:pt idx="814">
                  <c:v>490.89</c:v>
                </c:pt>
                <c:pt idx="815">
                  <c:v>482.88</c:v>
                </c:pt>
                <c:pt idx="816">
                  <c:v>489.2</c:v>
                </c:pt>
                <c:pt idx="817">
                  <c:v>494.35</c:v>
                </c:pt>
                <c:pt idx="818">
                  <c:v>492.55</c:v>
                </c:pt>
                <c:pt idx="819">
                  <c:v>493.98</c:v>
                </c:pt>
                <c:pt idx="820">
                  <c:v>498.1</c:v>
                </c:pt>
                <c:pt idx="821">
                  <c:v>498.32</c:v>
                </c:pt>
                <c:pt idx="822">
                  <c:v>501.2</c:v>
                </c:pt>
                <c:pt idx="823">
                  <c:v>500.98</c:v>
                </c:pt>
                <c:pt idx="824">
                  <c:v>494.08</c:v>
                </c:pt>
                <c:pt idx="825">
                  <c:v>498.57</c:v>
                </c:pt>
                <c:pt idx="826">
                  <c:v>502.01</c:v>
                </c:pt>
                <c:pt idx="827">
                  <c:v>499.51</c:v>
                </c:pt>
                <c:pt idx="828">
                  <c:v>496.76</c:v>
                </c:pt>
                <c:pt idx="829">
                  <c:v>497.21</c:v>
                </c:pt>
                <c:pt idx="830">
                  <c:v>507.5</c:v>
                </c:pt>
                <c:pt idx="831">
                  <c:v>507.85</c:v>
                </c:pt>
                <c:pt idx="832">
                  <c:v>505.99</c:v>
                </c:pt>
                <c:pt idx="833">
                  <c:v>506.93</c:v>
                </c:pt>
                <c:pt idx="834">
                  <c:v>506.26</c:v>
                </c:pt>
                <c:pt idx="835">
                  <c:v>508.08</c:v>
                </c:pt>
                <c:pt idx="836">
                  <c:v>512.85</c:v>
                </c:pt>
                <c:pt idx="837">
                  <c:v>512.29999999999995</c:v>
                </c:pt>
                <c:pt idx="838">
                  <c:v>507.18</c:v>
                </c:pt>
                <c:pt idx="839">
                  <c:v>509.75</c:v>
                </c:pt>
                <c:pt idx="840">
                  <c:v>514.80999999999995</c:v>
                </c:pt>
                <c:pt idx="841">
                  <c:v>511.72</c:v>
                </c:pt>
                <c:pt idx="842">
                  <c:v>511.28</c:v>
                </c:pt>
                <c:pt idx="843">
                  <c:v>516.78</c:v>
                </c:pt>
                <c:pt idx="844">
                  <c:v>515.97</c:v>
                </c:pt>
                <c:pt idx="845">
                  <c:v>514.95000000000005</c:v>
                </c:pt>
                <c:pt idx="846">
                  <c:v>509.83</c:v>
                </c:pt>
                <c:pt idx="847">
                  <c:v>512.86</c:v>
                </c:pt>
                <c:pt idx="848">
                  <c:v>515.71</c:v>
                </c:pt>
                <c:pt idx="849">
                  <c:v>520.48</c:v>
                </c:pt>
                <c:pt idx="850">
                  <c:v>522.20000000000005</c:v>
                </c:pt>
                <c:pt idx="851">
                  <c:v>521.21</c:v>
                </c:pt>
                <c:pt idx="852">
                  <c:v>519.77</c:v>
                </c:pt>
                <c:pt idx="853">
                  <c:v>518.80999999999995</c:v>
                </c:pt>
                <c:pt idx="854">
                  <c:v>523.16999999999996</c:v>
                </c:pt>
                <c:pt idx="855">
                  <c:v>523.07000000000005</c:v>
                </c:pt>
                <c:pt idx="856">
                  <c:v>522.16</c:v>
                </c:pt>
                <c:pt idx="857">
                  <c:v>518.84</c:v>
                </c:pt>
                <c:pt idx="858">
                  <c:v>519.41</c:v>
                </c:pt>
                <c:pt idx="859">
                  <c:v>513.07000000000005</c:v>
                </c:pt>
                <c:pt idx="860">
                  <c:v>518.42999999999995</c:v>
                </c:pt>
                <c:pt idx="861">
                  <c:v>518.72</c:v>
                </c:pt>
                <c:pt idx="862">
                  <c:v>519.32000000000005</c:v>
                </c:pt>
                <c:pt idx="863">
                  <c:v>514.12</c:v>
                </c:pt>
                <c:pt idx="864">
                  <c:v>518</c:v>
                </c:pt>
                <c:pt idx="865">
                  <c:v>510.85</c:v>
                </c:pt>
                <c:pt idx="866">
                  <c:v>504.45</c:v>
                </c:pt>
                <c:pt idx="867">
                  <c:v>503.53</c:v>
                </c:pt>
                <c:pt idx="868">
                  <c:v>500.55</c:v>
                </c:pt>
                <c:pt idx="869">
                  <c:v>499.52</c:v>
                </c:pt>
                <c:pt idx="870">
                  <c:v>495.16</c:v>
                </c:pt>
                <c:pt idx="871">
                  <c:v>499.72</c:v>
                </c:pt>
                <c:pt idx="872">
                  <c:v>505.65</c:v>
                </c:pt>
                <c:pt idx="873">
                  <c:v>505.41</c:v>
                </c:pt>
                <c:pt idx="874">
                  <c:v>503.49</c:v>
                </c:pt>
                <c:pt idx="875">
                  <c:v>508.26</c:v>
                </c:pt>
                <c:pt idx="876">
                  <c:v>510.06</c:v>
                </c:pt>
                <c:pt idx="877">
                  <c:v>501.98</c:v>
                </c:pt>
                <c:pt idx="878">
                  <c:v>500.35</c:v>
                </c:pt>
                <c:pt idx="879">
                  <c:v>505.03</c:v>
                </c:pt>
                <c:pt idx="880">
                  <c:v>511.29</c:v>
                </c:pt>
                <c:pt idx="881">
                  <c:v>516.57000000000005</c:v>
                </c:pt>
                <c:pt idx="882">
                  <c:v>517.14</c:v>
                </c:pt>
                <c:pt idx="883">
                  <c:v>517.19000000000005</c:v>
                </c:pt>
                <c:pt idx="884">
                  <c:v>520.16999999999996</c:v>
                </c:pt>
                <c:pt idx="885">
                  <c:v>520.84</c:v>
                </c:pt>
                <c:pt idx="886">
                  <c:v>520.91</c:v>
                </c:pt>
                <c:pt idx="887">
                  <c:v>523.29999999999995</c:v>
                </c:pt>
                <c:pt idx="888">
                  <c:v>529.78</c:v>
                </c:pt>
                <c:pt idx="889">
                  <c:v>528.69000000000005</c:v>
                </c:pt>
                <c:pt idx="890">
                  <c:v>529.45000000000005</c:v>
                </c:pt>
                <c:pt idx="891">
                  <c:v>530.05999999999995</c:v>
                </c:pt>
                <c:pt idx="892">
                  <c:v>531.36</c:v>
                </c:pt>
                <c:pt idx="893">
                  <c:v>529.83000000000004</c:v>
                </c:pt>
                <c:pt idx="894">
                  <c:v>525.96</c:v>
                </c:pt>
                <c:pt idx="895">
                  <c:v>529.44000000000005</c:v>
                </c:pt>
                <c:pt idx="896">
                  <c:v>529.80999999999995</c:v>
                </c:pt>
                <c:pt idx="897">
                  <c:v>526.1</c:v>
                </c:pt>
                <c:pt idx="898">
                  <c:v>522.61</c:v>
                </c:pt>
                <c:pt idx="899">
                  <c:v>527.37</c:v>
                </c:pt>
                <c:pt idx="900">
                  <c:v>527.79999999999995</c:v>
                </c:pt>
                <c:pt idx="901">
                  <c:v>528.39</c:v>
                </c:pt>
                <c:pt idx="902">
                  <c:v>534.66999999999996</c:v>
                </c:pt>
                <c:pt idx="903">
                  <c:v>534.66</c:v>
                </c:pt>
                <c:pt idx="904">
                  <c:v>534.01</c:v>
                </c:pt>
                <c:pt idx="905">
                  <c:v>535.66</c:v>
                </c:pt>
                <c:pt idx="906">
                  <c:v>536.95000000000005</c:v>
                </c:pt>
                <c:pt idx="907">
                  <c:v>541.36</c:v>
                </c:pt>
                <c:pt idx="908">
                  <c:v>542.45000000000005</c:v>
                </c:pt>
                <c:pt idx="909">
                  <c:v>542.78</c:v>
                </c:pt>
                <c:pt idx="910">
                  <c:v>547.1</c:v>
                </c:pt>
                <c:pt idx="911">
                  <c:v>548.49</c:v>
                </c:pt>
                <c:pt idx="912">
                  <c:v>547</c:v>
                </c:pt>
                <c:pt idx="913">
                  <c:v>544.51</c:v>
                </c:pt>
                <c:pt idx="914">
                  <c:v>542.74</c:v>
                </c:pt>
                <c:pt idx="915">
                  <c:v>544.83000000000004</c:v>
                </c:pt>
                <c:pt idx="916">
                  <c:v>545.51</c:v>
                </c:pt>
                <c:pt idx="917">
                  <c:v>546.37</c:v>
                </c:pt>
                <c:pt idx="918">
                  <c:v>544.22</c:v>
                </c:pt>
                <c:pt idx="919">
                  <c:v>545.34</c:v>
                </c:pt>
                <c:pt idx="920">
                  <c:v>549.01</c:v>
                </c:pt>
                <c:pt idx="921">
                  <c:v>551.46</c:v>
                </c:pt>
                <c:pt idx="922">
                  <c:v>554.64</c:v>
                </c:pt>
                <c:pt idx="923">
                  <c:v>555.28</c:v>
                </c:pt>
                <c:pt idx="924">
                  <c:v>555.82000000000005</c:v>
                </c:pt>
                <c:pt idx="925">
                  <c:v>561.32000000000005</c:v>
                </c:pt>
                <c:pt idx="926">
                  <c:v>556.48</c:v>
                </c:pt>
                <c:pt idx="927">
                  <c:v>559.99</c:v>
                </c:pt>
                <c:pt idx="928">
                  <c:v>561.53</c:v>
                </c:pt>
                <c:pt idx="929">
                  <c:v>564.86</c:v>
                </c:pt>
                <c:pt idx="930">
                  <c:v>556.94000000000005</c:v>
                </c:pt>
                <c:pt idx="931">
                  <c:v>552.66</c:v>
                </c:pt>
                <c:pt idx="932">
                  <c:v>548.99</c:v>
                </c:pt>
                <c:pt idx="933">
                  <c:v>554.65</c:v>
                </c:pt>
                <c:pt idx="934">
                  <c:v>553.78</c:v>
                </c:pt>
                <c:pt idx="935">
                  <c:v>541.23</c:v>
                </c:pt>
                <c:pt idx="936">
                  <c:v>538.41</c:v>
                </c:pt>
                <c:pt idx="937">
                  <c:v>544.44000000000005</c:v>
                </c:pt>
                <c:pt idx="938">
                  <c:v>544.76</c:v>
                </c:pt>
                <c:pt idx="939">
                  <c:v>542</c:v>
                </c:pt>
                <c:pt idx="940">
                  <c:v>550.80999999999995</c:v>
                </c:pt>
                <c:pt idx="941">
                  <c:v>543.01</c:v>
                </c:pt>
                <c:pt idx="942">
                  <c:v>532.9</c:v>
                </c:pt>
                <c:pt idx="943">
                  <c:v>517.38</c:v>
                </c:pt>
                <c:pt idx="944">
                  <c:v>522.15</c:v>
                </c:pt>
                <c:pt idx="945">
                  <c:v>518.66</c:v>
                </c:pt>
                <c:pt idx="946">
                  <c:v>530.65</c:v>
                </c:pt>
                <c:pt idx="947">
                  <c:v>532.99</c:v>
                </c:pt>
                <c:pt idx="948">
                  <c:v>533.27</c:v>
                </c:pt>
                <c:pt idx="949">
                  <c:v>542.04</c:v>
                </c:pt>
                <c:pt idx="950">
                  <c:v>543.75</c:v>
                </c:pt>
                <c:pt idx="951">
                  <c:v>553.07000000000005</c:v>
                </c:pt>
                <c:pt idx="952">
                  <c:v>554.30999999999995</c:v>
                </c:pt>
                <c:pt idx="953">
                  <c:v>559.61</c:v>
                </c:pt>
                <c:pt idx="954">
                  <c:v>558.70000000000005</c:v>
                </c:pt>
                <c:pt idx="955">
                  <c:v>560.62</c:v>
                </c:pt>
                <c:pt idx="956">
                  <c:v>556.22</c:v>
                </c:pt>
                <c:pt idx="957">
                  <c:v>562.13</c:v>
                </c:pt>
                <c:pt idx="958">
                  <c:v>560.79</c:v>
                </c:pt>
                <c:pt idx="959">
                  <c:v>561.55999999999995</c:v>
                </c:pt>
                <c:pt idx="960">
                  <c:v>558.29999999999995</c:v>
                </c:pt>
                <c:pt idx="961">
                  <c:v>558.35</c:v>
                </c:pt>
                <c:pt idx="962">
                  <c:v>563.67999999999995</c:v>
                </c:pt>
                <c:pt idx="963">
                  <c:v>552.08000000000004</c:v>
                </c:pt>
                <c:pt idx="964">
                  <c:v>550.95000000000005</c:v>
                </c:pt>
                <c:pt idx="965">
                  <c:v>549.61</c:v>
                </c:pt>
                <c:pt idx="966">
                  <c:v>540.36</c:v>
                </c:pt>
                <c:pt idx="967">
                  <c:v>546.41</c:v>
                </c:pt>
                <c:pt idx="968">
                  <c:v>548.79</c:v>
                </c:pt>
                <c:pt idx="969">
                  <c:v>554.41999999999996</c:v>
                </c:pt>
                <c:pt idx="970">
                  <c:v>559.09</c:v>
                </c:pt>
                <c:pt idx="971">
                  <c:v>562.01</c:v>
                </c:pt>
                <c:pt idx="972">
                  <c:v>562.84</c:v>
                </c:pt>
                <c:pt idx="973">
                  <c:v>563.07000000000005</c:v>
                </c:pt>
                <c:pt idx="974">
                  <c:v>561.4</c:v>
                </c:pt>
                <c:pt idx="975">
                  <c:v>570.98</c:v>
                </c:pt>
                <c:pt idx="976">
                  <c:v>568.25</c:v>
                </c:pt>
                <c:pt idx="977">
                  <c:v>569.66999999999996</c:v>
                </c:pt>
                <c:pt idx="978">
                  <c:v>571.29999999999995</c:v>
                </c:pt>
                <c:pt idx="979">
                  <c:v>570.04</c:v>
                </c:pt>
                <c:pt idx="980">
                  <c:v>572.29999999999995</c:v>
                </c:pt>
                <c:pt idx="981">
                  <c:v>571.47</c:v>
                </c:pt>
                <c:pt idx="982">
                  <c:v>573.76</c:v>
                </c:pt>
                <c:pt idx="983">
                  <c:v>568.62</c:v>
                </c:pt>
                <c:pt idx="984">
                  <c:v>568.86</c:v>
                </c:pt>
                <c:pt idx="985">
                  <c:v>567.82000000000005</c:v>
                </c:pt>
                <c:pt idx="986">
                  <c:v>572.98</c:v>
                </c:pt>
                <c:pt idx="987">
                  <c:v>567.79999999999995</c:v>
                </c:pt>
                <c:pt idx="988">
                  <c:v>573.16999999999996</c:v>
                </c:pt>
                <c:pt idx="989">
                  <c:v>577.14</c:v>
                </c:pt>
                <c:pt idx="990">
                  <c:v>576.13</c:v>
                </c:pt>
                <c:pt idx="991">
                  <c:v>579.58000000000004</c:v>
                </c:pt>
                <c:pt idx="992">
                  <c:v>584.32000000000005</c:v>
                </c:pt>
                <c:pt idx="993">
                  <c:v>579.78</c:v>
                </c:pt>
                <c:pt idx="994">
                  <c:v>582.29999999999995</c:v>
                </c:pt>
                <c:pt idx="995">
                  <c:v>582.35</c:v>
                </c:pt>
                <c:pt idx="996">
                  <c:v>584.59</c:v>
                </c:pt>
                <c:pt idx="997">
                  <c:v>583.63</c:v>
                </c:pt>
                <c:pt idx="998">
                  <c:v>583.32000000000005</c:v>
                </c:pt>
                <c:pt idx="999">
                  <c:v>577.99</c:v>
                </c:pt>
                <c:pt idx="1000">
                  <c:v>579.24</c:v>
                </c:pt>
                <c:pt idx="1001">
                  <c:v>579.04</c:v>
                </c:pt>
                <c:pt idx="1002">
                  <c:v>580.83000000000004</c:v>
                </c:pt>
                <c:pt idx="1003">
                  <c:v>581.77</c:v>
                </c:pt>
                <c:pt idx="1004">
                  <c:v>580.01</c:v>
                </c:pt>
                <c:pt idx="1005">
                  <c:v>568.64</c:v>
                </c:pt>
                <c:pt idx="1006">
                  <c:v>571.04</c:v>
                </c:pt>
                <c:pt idx="1007">
                  <c:v>569.80999999999995</c:v>
                </c:pt>
                <c:pt idx="1008">
                  <c:v>576.70000000000005</c:v>
                </c:pt>
                <c:pt idx="1009">
                  <c:v>591.04</c:v>
                </c:pt>
                <c:pt idx="1010">
                  <c:v>595.61</c:v>
                </c:pt>
                <c:pt idx="1011">
                  <c:v>598.19000000000005</c:v>
                </c:pt>
                <c:pt idx="1012">
                  <c:v>598.76</c:v>
                </c:pt>
                <c:pt idx="1013">
                  <c:v>596.9</c:v>
                </c:pt>
                <c:pt idx="1014">
                  <c:v>597.19000000000005</c:v>
                </c:pt>
                <c:pt idx="1015">
                  <c:v>593.35</c:v>
                </c:pt>
                <c:pt idx="1016">
                  <c:v>585.75</c:v>
                </c:pt>
                <c:pt idx="1017">
                  <c:v>588.15</c:v>
                </c:pt>
                <c:pt idx="1018">
                  <c:v>590.29999999999995</c:v>
                </c:pt>
                <c:pt idx="1019">
                  <c:v>590.5</c:v>
                </c:pt>
                <c:pt idx="1020">
                  <c:v>593.66999999999996</c:v>
                </c:pt>
                <c:pt idx="1021">
                  <c:v>595.51</c:v>
                </c:pt>
                <c:pt idx="1022">
                  <c:v>597.53</c:v>
                </c:pt>
                <c:pt idx="1023">
                  <c:v>600.65</c:v>
                </c:pt>
                <c:pt idx="1024">
                  <c:v>598.83000000000004</c:v>
                </c:pt>
                <c:pt idx="1025">
                  <c:v>602.54999999999995</c:v>
                </c:pt>
                <c:pt idx="1026">
                  <c:v>603.63</c:v>
                </c:pt>
                <c:pt idx="1027">
                  <c:v>603.91</c:v>
                </c:pt>
                <c:pt idx="1028">
                  <c:v>607.66</c:v>
                </c:pt>
                <c:pt idx="1029">
                  <c:v>606.66</c:v>
                </c:pt>
                <c:pt idx="1030">
                  <c:v>607.80999999999995</c:v>
                </c:pt>
                <c:pt idx="1031">
                  <c:v>604.67999999999995</c:v>
                </c:pt>
                <c:pt idx="1032">
                  <c:v>602.79999999999995</c:v>
                </c:pt>
                <c:pt idx="1033">
                  <c:v>607.46</c:v>
                </c:pt>
                <c:pt idx="1034">
                  <c:v>604.33000000000004</c:v>
                </c:pt>
                <c:pt idx="1035">
                  <c:v>604.21</c:v>
                </c:pt>
                <c:pt idx="1036">
                  <c:v>606.79</c:v>
                </c:pt>
                <c:pt idx="1037">
                  <c:v>604.29</c:v>
                </c:pt>
                <c:pt idx="1038">
                  <c:v>586.28</c:v>
                </c:pt>
                <c:pt idx="1039">
                  <c:v>586.1</c:v>
                </c:pt>
                <c:pt idx="1040">
                  <c:v>591.15</c:v>
                </c:pt>
                <c:pt idx="1041">
                  <c:v>594.69000000000005</c:v>
                </c:pt>
                <c:pt idx="1042">
                  <c:v>601.29999999999995</c:v>
                </c:pt>
                <c:pt idx="1043">
                  <c:v>601.34</c:v>
                </c:pt>
                <c:pt idx="1044">
                  <c:v>595.01</c:v>
                </c:pt>
                <c:pt idx="1045">
                  <c:v>588.22</c:v>
                </c:pt>
                <c:pt idx="1046">
                  <c:v>586.08000000000004</c:v>
                </c:pt>
                <c:pt idx="1047">
                  <c:v>584.64</c:v>
                </c:pt>
                <c:pt idx="1048">
                  <c:v>591.95000000000005</c:v>
                </c:pt>
                <c:pt idx="1049">
                  <c:v>595.36</c:v>
                </c:pt>
                <c:pt idx="1050">
                  <c:v>588.63</c:v>
                </c:pt>
                <c:pt idx="1051">
                  <c:v>589.49</c:v>
                </c:pt>
                <c:pt idx="1052">
                  <c:v>580.49</c:v>
                </c:pt>
                <c:pt idx="1053">
                  <c:v>581.39</c:v>
                </c:pt>
                <c:pt idx="1054">
                  <c:v>582.19000000000005</c:v>
                </c:pt>
                <c:pt idx="1055">
                  <c:v>592.78</c:v>
                </c:pt>
                <c:pt idx="1056">
                  <c:v>591.64</c:v>
                </c:pt>
                <c:pt idx="1057">
                  <c:v>597.58000000000004</c:v>
                </c:pt>
                <c:pt idx="1058">
                  <c:v>603.04999999999995</c:v>
                </c:pt>
                <c:pt idx="1059">
                  <c:v>606.44000000000005</c:v>
                </c:pt>
                <c:pt idx="1060">
                  <c:v>609.75</c:v>
                </c:pt>
                <c:pt idx="1061">
                  <c:v>607.97</c:v>
                </c:pt>
                <c:pt idx="1062">
                  <c:v>599.37</c:v>
                </c:pt>
                <c:pt idx="1063">
                  <c:v>604.52</c:v>
                </c:pt>
                <c:pt idx="1064">
                  <c:v>601.80999999999995</c:v>
                </c:pt>
                <c:pt idx="1065">
                  <c:v>605.04</c:v>
                </c:pt>
                <c:pt idx="1066">
                  <c:v>601.82000000000005</c:v>
                </c:pt>
                <c:pt idx="1067">
                  <c:v>597.77</c:v>
                </c:pt>
                <c:pt idx="1068">
                  <c:v>601.78</c:v>
                </c:pt>
                <c:pt idx="1069">
                  <c:v>604.22</c:v>
                </c:pt>
                <c:pt idx="1070">
                  <c:v>606.32000000000005</c:v>
                </c:pt>
                <c:pt idx="1071">
                  <c:v>600.77</c:v>
                </c:pt>
                <c:pt idx="1072">
                  <c:v>604.85</c:v>
                </c:pt>
                <c:pt idx="1073">
                  <c:v>605.30999999999995</c:v>
                </c:pt>
                <c:pt idx="1074">
                  <c:v>603.36</c:v>
                </c:pt>
                <c:pt idx="1075">
                  <c:v>609.73</c:v>
                </c:pt>
                <c:pt idx="1076">
                  <c:v>609.70000000000005</c:v>
                </c:pt>
                <c:pt idx="1077">
                  <c:v>611.49</c:v>
                </c:pt>
                <c:pt idx="1078">
                  <c:v>612.92999999999995</c:v>
                </c:pt>
                <c:pt idx="1079">
                  <c:v>610.38</c:v>
                </c:pt>
                <c:pt idx="1080">
                  <c:v>599.94000000000005</c:v>
                </c:pt>
                <c:pt idx="1081">
                  <c:v>597.21</c:v>
                </c:pt>
                <c:pt idx="1082">
                  <c:v>594.24</c:v>
                </c:pt>
                <c:pt idx="1083">
                  <c:v>594.54</c:v>
                </c:pt>
                <c:pt idx="1084">
                  <c:v>585.04999999999995</c:v>
                </c:pt>
                <c:pt idx="1085">
                  <c:v>594.17999999999995</c:v>
                </c:pt>
                <c:pt idx="1086">
                  <c:v>583.77</c:v>
                </c:pt>
                <c:pt idx="1087">
                  <c:v>576.86</c:v>
                </c:pt>
                <c:pt idx="1088">
                  <c:v>583.05999999999995</c:v>
                </c:pt>
                <c:pt idx="1089">
                  <c:v>572.71</c:v>
                </c:pt>
                <c:pt idx="1090">
                  <c:v>575.91999999999996</c:v>
                </c:pt>
                <c:pt idx="1091">
                  <c:v>560.58000000000004</c:v>
                </c:pt>
                <c:pt idx="1092">
                  <c:v>555.91999999999996</c:v>
                </c:pt>
                <c:pt idx="1093">
                  <c:v>558.87</c:v>
                </c:pt>
                <c:pt idx="1094">
                  <c:v>551.41999999999996</c:v>
                </c:pt>
                <c:pt idx="1095">
                  <c:v>562.80999999999995</c:v>
                </c:pt>
                <c:pt idx="1096">
                  <c:v>567.15</c:v>
                </c:pt>
                <c:pt idx="1097">
                  <c:v>561.02</c:v>
                </c:pt>
                <c:pt idx="1098">
                  <c:v>567.13</c:v>
                </c:pt>
                <c:pt idx="1099">
                  <c:v>565.49</c:v>
                </c:pt>
                <c:pt idx="1100">
                  <c:v>563.98</c:v>
                </c:pt>
                <c:pt idx="1101">
                  <c:v>574.08000000000004</c:v>
                </c:pt>
                <c:pt idx="1102">
                  <c:v>575.46</c:v>
                </c:pt>
                <c:pt idx="1103">
                  <c:v>568.59</c:v>
                </c:pt>
                <c:pt idx="1104">
                  <c:v>567.08000000000004</c:v>
                </c:pt>
                <c:pt idx="1105">
                  <c:v>555.66</c:v>
                </c:pt>
                <c:pt idx="1106">
                  <c:v>559.39</c:v>
                </c:pt>
                <c:pt idx="1107">
                  <c:v>560.97</c:v>
                </c:pt>
                <c:pt idx="1108">
                  <c:v>564.52</c:v>
                </c:pt>
                <c:pt idx="1109">
                  <c:v>536.70000000000005</c:v>
                </c:pt>
                <c:pt idx="1110">
                  <c:v>505.28</c:v>
                </c:pt>
                <c:pt idx="1111">
                  <c:v>504.38</c:v>
                </c:pt>
                <c:pt idx="1112">
                  <c:v>496.48</c:v>
                </c:pt>
                <c:pt idx="1113">
                  <c:v>548.62</c:v>
                </c:pt>
                <c:pt idx="1114">
                  <c:v>524.58000000000004</c:v>
                </c:pt>
                <c:pt idx="1115">
                  <c:v>533.94000000000005</c:v>
                </c:pt>
                <c:pt idx="1116">
                  <c:v>539.12</c:v>
                </c:pt>
                <c:pt idx="1117">
                  <c:v>537.61</c:v>
                </c:pt>
                <c:pt idx="1118">
                  <c:v>525.66</c:v>
                </c:pt>
                <c:pt idx="1119">
                  <c:v>526.41</c:v>
                </c:pt>
                <c:pt idx="1120">
                  <c:v>513.88</c:v>
                </c:pt>
                <c:pt idx="1121">
                  <c:v>527.25</c:v>
                </c:pt>
                <c:pt idx="1122">
                  <c:v>535.41999999999996</c:v>
                </c:pt>
                <c:pt idx="1123">
                  <c:v>546.69000000000005</c:v>
                </c:pt>
                <c:pt idx="1124">
                  <c:v>550.64</c:v>
                </c:pt>
                <c:pt idx="1125">
                  <c:v>550.85</c:v>
                </c:pt>
                <c:pt idx="1126">
                  <c:v>554.32000000000005</c:v>
                </c:pt>
                <c:pt idx="1127">
                  <c:v>554.54</c:v>
                </c:pt>
                <c:pt idx="1128">
                  <c:v>558.47</c:v>
                </c:pt>
                <c:pt idx="1129">
                  <c:v>566.76</c:v>
                </c:pt>
                <c:pt idx="1130">
                  <c:v>563.51</c:v>
                </c:pt>
                <c:pt idx="1131">
                  <c:v>558.79999999999995</c:v>
                </c:pt>
                <c:pt idx="1132">
                  <c:v>561.15</c:v>
                </c:pt>
                <c:pt idx="1133">
                  <c:v>565.05999999999995</c:v>
                </c:pt>
                <c:pt idx="1134">
                  <c:v>564.34</c:v>
                </c:pt>
                <c:pt idx="1135">
                  <c:v>582.99</c:v>
                </c:pt>
                <c:pt idx="1136">
                  <c:v>586.84</c:v>
                </c:pt>
                <c:pt idx="1137">
                  <c:v>587.59</c:v>
                </c:pt>
                <c:pt idx="1138">
                  <c:v>590.46</c:v>
                </c:pt>
                <c:pt idx="1139">
                  <c:v>594.20000000000005</c:v>
                </c:pt>
                <c:pt idx="1140">
                  <c:v>594.85</c:v>
                </c:pt>
                <c:pt idx="1141">
                  <c:v>592.85</c:v>
                </c:pt>
                <c:pt idx="1142">
                  <c:v>582.86</c:v>
                </c:pt>
                <c:pt idx="1143">
                  <c:v>583.09</c:v>
                </c:pt>
                <c:pt idx="1144">
                  <c:v>579.11</c:v>
                </c:pt>
                <c:pt idx="1145">
                  <c:v>591.15</c:v>
                </c:pt>
                <c:pt idx="1146">
                  <c:v>587.73</c:v>
                </c:pt>
                <c:pt idx="1147">
                  <c:v>590.04999999999995</c:v>
                </c:pt>
                <c:pt idx="1148">
                  <c:v>589.39</c:v>
                </c:pt>
                <c:pt idx="1149">
                  <c:v>592.71</c:v>
                </c:pt>
                <c:pt idx="1150">
                  <c:v>596.09</c:v>
                </c:pt>
                <c:pt idx="1151">
                  <c:v>595.92999999999995</c:v>
                </c:pt>
                <c:pt idx="1152">
                  <c:v>593.04999999999995</c:v>
                </c:pt>
                <c:pt idx="1153">
                  <c:v>599.14</c:v>
                </c:pt>
                <c:pt idx="1154">
                  <c:v>599.67999999999995</c:v>
                </c:pt>
                <c:pt idx="1155">
                  <c:v>603.08000000000004</c:v>
                </c:pt>
                <c:pt idx="1156">
                  <c:v>601.36</c:v>
                </c:pt>
                <c:pt idx="1157">
                  <c:v>603.75</c:v>
                </c:pt>
                <c:pt idx="1158">
                  <c:v>597</c:v>
                </c:pt>
                <c:pt idx="1159">
                  <c:v>602.67999999999995</c:v>
                </c:pt>
                <c:pt idx="1160">
                  <c:v>597.53</c:v>
                </c:pt>
                <c:pt idx="1161">
                  <c:v>597.44000000000005</c:v>
                </c:pt>
                <c:pt idx="1162">
                  <c:v>594.28</c:v>
                </c:pt>
                <c:pt idx="1163">
                  <c:v>600.15</c:v>
                </c:pt>
                <c:pt idx="1164">
                  <c:v>606.78</c:v>
                </c:pt>
                <c:pt idx="1165">
                  <c:v>607.12</c:v>
                </c:pt>
                <c:pt idx="1166">
                  <c:v>611.87</c:v>
                </c:pt>
                <c:pt idx="1167">
                  <c:v>614.91</c:v>
                </c:pt>
                <c:pt idx="1168">
                  <c:v>617.85</c:v>
                </c:pt>
                <c:pt idx="1169">
                  <c:v>617.65</c:v>
                </c:pt>
                <c:pt idx="1170">
                  <c:v>620.45000000000005</c:v>
                </c:pt>
                <c:pt idx="1171">
                  <c:v>625.34</c:v>
                </c:pt>
                <c:pt idx="1172">
                  <c:v>620.67999999999995</c:v>
                </c:pt>
                <c:pt idx="1173">
                  <c:v>620.34</c:v>
                </c:pt>
                <c:pt idx="1174">
                  <c:v>624.05999999999995</c:v>
                </c:pt>
                <c:pt idx="1175">
                  <c:v>625.82000000000005</c:v>
                </c:pt>
                <c:pt idx="1176">
                  <c:v>623.62</c:v>
                </c:pt>
                <c:pt idx="1177">
                  <c:v>624.80999999999995</c:v>
                </c:pt>
                <c:pt idx="1178">
                  <c:v>622.14</c:v>
                </c:pt>
                <c:pt idx="1179">
                  <c:v>624.22</c:v>
                </c:pt>
                <c:pt idx="1180">
                  <c:v>628.04</c:v>
                </c:pt>
                <c:pt idx="1181">
                  <c:v>627.58000000000004</c:v>
                </c:pt>
                <c:pt idx="1182">
                  <c:v>628.77</c:v>
                </c:pt>
                <c:pt idx="1183">
                  <c:v>628.86</c:v>
                </c:pt>
                <c:pt idx="1184">
                  <c:v>634.21</c:v>
                </c:pt>
                <c:pt idx="1185">
                  <c:v>634.41999999999996</c:v>
                </c:pt>
                <c:pt idx="1186">
                  <c:v>637.1</c:v>
                </c:pt>
                <c:pt idx="1187">
                  <c:v>636.94000000000005</c:v>
                </c:pt>
                <c:pt idx="1188">
                  <c:v>635.26</c:v>
                </c:pt>
                <c:pt idx="1189">
                  <c:v>634.46</c:v>
                </c:pt>
                <c:pt idx="1190">
                  <c:v>632.08000000000004</c:v>
                </c:pt>
                <c:pt idx="1191">
                  <c:v>621.72</c:v>
                </c:pt>
                <c:pt idx="1192">
                  <c:v>631.16999999999996</c:v>
                </c:pt>
                <c:pt idx="1193">
                  <c:v>627.97</c:v>
                </c:pt>
                <c:pt idx="1194">
                  <c:v>632.78</c:v>
                </c:pt>
                <c:pt idx="1195">
                  <c:v>632.25</c:v>
                </c:pt>
                <c:pt idx="1196">
                  <c:v>637.17999999999995</c:v>
                </c:pt>
                <c:pt idx="1197">
                  <c:v>635.91999999999996</c:v>
                </c:pt>
                <c:pt idx="1198">
                  <c:v>642.69000000000005</c:v>
                </c:pt>
                <c:pt idx="1199">
                  <c:v>644.89</c:v>
                </c:pt>
                <c:pt idx="1200">
                  <c:v>644.95000000000005</c:v>
                </c:pt>
                <c:pt idx="1201">
                  <c:v>643.44000000000005</c:v>
                </c:pt>
                <c:pt idx="1202">
                  <c:v>643.29999999999995</c:v>
                </c:pt>
                <c:pt idx="1203">
                  <c:v>639.80999999999995</c:v>
                </c:pt>
                <c:pt idx="1204">
                  <c:v>638.11</c:v>
                </c:pt>
                <c:pt idx="1205">
                  <c:v>635.54999999999995</c:v>
                </c:pt>
                <c:pt idx="1206">
                  <c:v>645.30999999999995</c:v>
                </c:pt>
                <c:pt idx="1207">
                  <c:v>642.47</c:v>
                </c:pt>
                <c:pt idx="1208">
                  <c:v>645.16</c:v>
                </c:pt>
                <c:pt idx="1209">
                  <c:v>646.63</c:v>
                </c:pt>
                <c:pt idx="1210">
                  <c:v>648.91999999999996</c:v>
                </c:pt>
                <c:pt idx="1211">
                  <c:v>645.04999999999995</c:v>
                </c:pt>
                <c:pt idx="1212">
                  <c:v>640.27</c:v>
                </c:pt>
                <c:pt idx="1213">
                  <c:v>643.74</c:v>
                </c:pt>
                <c:pt idx="1214">
                  <c:v>649.12</c:v>
                </c:pt>
                <c:pt idx="1215">
                  <c:v>647.24</c:v>
                </c:pt>
                <c:pt idx="1216">
                  <c:v>648.83000000000004</c:v>
                </c:pt>
                <c:pt idx="1217">
                  <c:v>650.33000000000004</c:v>
                </c:pt>
                <c:pt idx="1218">
                  <c:v>652.21</c:v>
                </c:pt>
                <c:pt idx="1219">
                  <c:v>657.63</c:v>
                </c:pt>
                <c:pt idx="1220">
                  <c:v>657.41</c:v>
                </c:pt>
                <c:pt idx="1221">
                  <c:v>660.91</c:v>
                </c:pt>
                <c:pt idx="1222">
                  <c:v>660</c:v>
                </c:pt>
                <c:pt idx="1223">
                  <c:v>659.18</c:v>
                </c:pt>
                <c:pt idx="1224">
                  <c:v>662.26</c:v>
                </c:pt>
                <c:pt idx="1225">
                  <c:v>663.7</c:v>
                </c:pt>
                <c:pt idx="1226">
                  <c:v>666.84</c:v>
                </c:pt>
                <c:pt idx="1227">
                  <c:v>663.21</c:v>
                </c:pt>
                <c:pt idx="1228">
                  <c:v>661.1</c:v>
                </c:pt>
                <c:pt idx="1229">
                  <c:v>658.05</c:v>
                </c:pt>
                <c:pt idx="1230">
                  <c:v>661.82</c:v>
                </c:pt>
                <c:pt idx="1231">
                  <c:v>663.68</c:v>
                </c:pt>
                <c:pt idx="1232">
                  <c:v>666.18</c:v>
                </c:pt>
                <c:pt idx="1233">
                  <c:v>668.45</c:v>
                </c:pt>
                <c:pt idx="1234">
                  <c:v>669.22</c:v>
                </c:pt>
                <c:pt idx="1235">
                  <c:v>669.21</c:v>
                </c:pt>
                <c:pt idx="1236">
                  <c:v>671.61</c:v>
                </c:pt>
                <c:pt idx="1237">
                  <c:v>669.12</c:v>
                </c:pt>
                <c:pt idx="1238">
                  <c:v>673.11</c:v>
                </c:pt>
                <c:pt idx="1239">
                  <c:v>671.16</c:v>
                </c:pt>
                <c:pt idx="1240">
                  <c:v>653.02</c:v>
                </c:pt>
                <c:pt idx="1241">
                  <c:v>663.04</c:v>
                </c:pt>
                <c:pt idx="1242">
                  <c:v>662.23</c:v>
                </c:pt>
                <c:pt idx="1243">
                  <c:v>665.17</c:v>
                </c:pt>
                <c:pt idx="1244">
                  <c:v>660.64</c:v>
                </c:pt>
                <c:pt idx="1245">
                  <c:v>664.39</c:v>
                </c:pt>
                <c:pt idx="1246">
                  <c:v>671.3</c:v>
                </c:pt>
                <c:pt idx="1247">
                  <c:v>671.29</c:v>
                </c:pt>
                <c:pt idx="1248">
                  <c:v>667.8</c:v>
                </c:pt>
                <c:pt idx="1249">
                  <c:v>671.76</c:v>
                </c:pt>
                <c:pt idx="1250">
                  <c:v>677.25</c:v>
                </c:pt>
                <c:pt idx="1251">
                  <c:v>685.24</c:v>
                </c:pt>
                <c:pt idx="1252">
                  <c:v>687.06</c:v>
                </c:pt>
                <c:pt idx="1253">
                  <c:v>687.39</c:v>
                </c:pt>
                <c:pt idx="1254">
                  <c:v>679.83</c:v>
                </c:pt>
                <c:pt idx="1255">
                  <c:v>682.06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95-45A0-8533-C467442FB603}"/>
            </c:ext>
          </c:extLst>
        </c:ser>
        <c:ser>
          <c:idx val="1"/>
          <c:order val="1"/>
          <c:tx>
            <c:strRef>
              <c:f>'Data Analysis Addin'!$C$2</c:f>
              <c:strCache>
                <c:ptCount val="1"/>
                <c:pt idx="0">
                  <c:v>50-Day MA</c:v>
                </c:pt>
              </c:strCache>
            </c:strRef>
          </c:tx>
          <c:marker>
            <c:symbol val="none"/>
          </c:marker>
          <c:cat>
            <c:numRef>
              <c:f>'Data Analysis Addin'!$A$3:$A$1258</c:f>
              <c:numCache>
                <c:formatCode>m/d/yyyy</c:formatCode>
                <c:ptCount val="1256"/>
                <c:pt idx="0">
                  <c:v>44137</c:v>
                </c:pt>
                <c:pt idx="1">
                  <c:v>44138</c:v>
                </c:pt>
                <c:pt idx="2">
                  <c:v>44139</c:v>
                </c:pt>
                <c:pt idx="3">
                  <c:v>44140</c:v>
                </c:pt>
                <c:pt idx="4">
                  <c:v>44141</c:v>
                </c:pt>
                <c:pt idx="5">
                  <c:v>44144</c:v>
                </c:pt>
                <c:pt idx="6">
                  <c:v>44145</c:v>
                </c:pt>
                <c:pt idx="7">
                  <c:v>44146</c:v>
                </c:pt>
                <c:pt idx="8">
                  <c:v>44147</c:v>
                </c:pt>
                <c:pt idx="9">
                  <c:v>44148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44158</c:v>
                </c:pt>
                <c:pt idx="16">
                  <c:v>44159</c:v>
                </c:pt>
                <c:pt idx="17">
                  <c:v>44160</c:v>
                </c:pt>
                <c:pt idx="18">
                  <c:v>44162</c:v>
                </c:pt>
                <c:pt idx="19">
                  <c:v>44165</c:v>
                </c:pt>
                <c:pt idx="20">
                  <c:v>44166</c:v>
                </c:pt>
                <c:pt idx="21">
                  <c:v>44167</c:v>
                </c:pt>
                <c:pt idx="22">
                  <c:v>44168</c:v>
                </c:pt>
                <c:pt idx="23">
                  <c:v>44169</c:v>
                </c:pt>
                <c:pt idx="24">
                  <c:v>44172</c:v>
                </c:pt>
                <c:pt idx="25">
                  <c:v>44173</c:v>
                </c:pt>
                <c:pt idx="26">
                  <c:v>44174</c:v>
                </c:pt>
                <c:pt idx="27">
                  <c:v>44175</c:v>
                </c:pt>
                <c:pt idx="28">
                  <c:v>44176</c:v>
                </c:pt>
                <c:pt idx="29">
                  <c:v>44179</c:v>
                </c:pt>
                <c:pt idx="30">
                  <c:v>44180</c:v>
                </c:pt>
                <c:pt idx="31">
                  <c:v>44181</c:v>
                </c:pt>
                <c:pt idx="32">
                  <c:v>44182</c:v>
                </c:pt>
                <c:pt idx="33">
                  <c:v>44183</c:v>
                </c:pt>
                <c:pt idx="34">
                  <c:v>44186</c:v>
                </c:pt>
                <c:pt idx="35">
                  <c:v>44187</c:v>
                </c:pt>
                <c:pt idx="36">
                  <c:v>44188</c:v>
                </c:pt>
                <c:pt idx="37">
                  <c:v>44189</c:v>
                </c:pt>
                <c:pt idx="38">
                  <c:v>44193</c:v>
                </c:pt>
                <c:pt idx="39">
                  <c:v>44194</c:v>
                </c:pt>
                <c:pt idx="40">
                  <c:v>44195</c:v>
                </c:pt>
                <c:pt idx="41">
                  <c:v>44196</c:v>
                </c:pt>
                <c:pt idx="42">
                  <c:v>44200</c:v>
                </c:pt>
                <c:pt idx="43">
                  <c:v>44201</c:v>
                </c:pt>
                <c:pt idx="44">
                  <c:v>44202</c:v>
                </c:pt>
                <c:pt idx="45">
                  <c:v>44203</c:v>
                </c:pt>
                <c:pt idx="46">
                  <c:v>44204</c:v>
                </c:pt>
                <c:pt idx="47">
                  <c:v>44207</c:v>
                </c:pt>
                <c:pt idx="48">
                  <c:v>44208</c:v>
                </c:pt>
                <c:pt idx="49">
                  <c:v>44209</c:v>
                </c:pt>
                <c:pt idx="50">
                  <c:v>44210</c:v>
                </c:pt>
                <c:pt idx="51">
                  <c:v>44211</c:v>
                </c:pt>
                <c:pt idx="52">
                  <c:v>44215</c:v>
                </c:pt>
                <c:pt idx="53">
                  <c:v>44216</c:v>
                </c:pt>
                <c:pt idx="54">
                  <c:v>44217</c:v>
                </c:pt>
                <c:pt idx="55">
                  <c:v>44218</c:v>
                </c:pt>
                <c:pt idx="56">
                  <c:v>44221</c:v>
                </c:pt>
                <c:pt idx="57">
                  <c:v>44222</c:v>
                </c:pt>
                <c:pt idx="58">
                  <c:v>44223</c:v>
                </c:pt>
                <c:pt idx="59">
                  <c:v>44224</c:v>
                </c:pt>
                <c:pt idx="60">
                  <c:v>44225</c:v>
                </c:pt>
                <c:pt idx="61">
                  <c:v>44228</c:v>
                </c:pt>
                <c:pt idx="62">
                  <c:v>44229</c:v>
                </c:pt>
                <c:pt idx="63">
                  <c:v>44230</c:v>
                </c:pt>
                <c:pt idx="64">
                  <c:v>44231</c:v>
                </c:pt>
                <c:pt idx="65">
                  <c:v>44232</c:v>
                </c:pt>
                <c:pt idx="66">
                  <c:v>44235</c:v>
                </c:pt>
                <c:pt idx="67">
                  <c:v>44236</c:v>
                </c:pt>
                <c:pt idx="68">
                  <c:v>44237</c:v>
                </c:pt>
                <c:pt idx="69">
                  <c:v>44238</c:v>
                </c:pt>
                <c:pt idx="70">
                  <c:v>44239</c:v>
                </c:pt>
                <c:pt idx="71">
                  <c:v>44243</c:v>
                </c:pt>
                <c:pt idx="72">
                  <c:v>44244</c:v>
                </c:pt>
                <c:pt idx="73">
                  <c:v>44245</c:v>
                </c:pt>
                <c:pt idx="74">
                  <c:v>44246</c:v>
                </c:pt>
                <c:pt idx="75">
                  <c:v>44249</c:v>
                </c:pt>
                <c:pt idx="76">
                  <c:v>44250</c:v>
                </c:pt>
                <c:pt idx="77">
                  <c:v>44251</c:v>
                </c:pt>
                <c:pt idx="78">
                  <c:v>44252</c:v>
                </c:pt>
                <c:pt idx="79">
                  <c:v>44253</c:v>
                </c:pt>
                <c:pt idx="80">
                  <c:v>44256</c:v>
                </c:pt>
                <c:pt idx="81">
                  <c:v>44257</c:v>
                </c:pt>
                <c:pt idx="82">
                  <c:v>44258</c:v>
                </c:pt>
                <c:pt idx="83">
                  <c:v>44259</c:v>
                </c:pt>
                <c:pt idx="84">
                  <c:v>44260</c:v>
                </c:pt>
                <c:pt idx="85">
                  <c:v>44263</c:v>
                </c:pt>
                <c:pt idx="86">
                  <c:v>44264</c:v>
                </c:pt>
                <c:pt idx="87">
                  <c:v>44265</c:v>
                </c:pt>
                <c:pt idx="88">
                  <c:v>44266</c:v>
                </c:pt>
                <c:pt idx="89">
                  <c:v>44267</c:v>
                </c:pt>
                <c:pt idx="90">
                  <c:v>44270</c:v>
                </c:pt>
                <c:pt idx="91">
                  <c:v>44271</c:v>
                </c:pt>
                <c:pt idx="92">
                  <c:v>44272</c:v>
                </c:pt>
                <c:pt idx="93">
                  <c:v>44273</c:v>
                </c:pt>
                <c:pt idx="94">
                  <c:v>44274</c:v>
                </c:pt>
                <c:pt idx="95">
                  <c:v>44277</c:v>
                </c:pt>
                <c:pt idx="96">
                  <c:v>44278</c:v>
                </c:pt>
                <c:pt idx="97">
                  <c:v>44279</c:v>
                </c:pt>
                <c:pt idx="98">
                  <c:v>44280</c:v>
                </c:pt>
                <c:pt idx="99">
                  <c:v>44281</c:v>
                </c:pt>
                <c:pt idx="100">
                  <c:v>44284</c:v>
                </c:pt>
                <c:pt idx="101">
                  <c:v>44285</c:v>
                </c:pt>
                <c:pt idx="102">
                  <c:v>44286</c:v>
                </c:pt>
                <c:pt idx="103">
                  <c:v>44287</c:v>
                </c:pt>
                <c:pt idx="104">
                  <c:v>44291</c:v>
                </c:pt>
                <c:pt idx="105">
                  <c:v>44292</c:v>
                </c:pt>
                <c:pt idx="106">
                  <c:v>44293</c:v>
                </c:pt>
                <c:pt idx="107">
                  <c:v>44294</c:v>
                </c:pt>
                <c:pt idx="108">
                  <c:v>44295</c:v>
                </c:pt>
                <c:pt idx="109">
                  <c:v>44298</c:v>
                </c:pt>
                <c:pt idx="110">
                  <c:v>44299</c:v>
                </c:pt>
                <c:pt idx="111">
                  <c:v>44300</c:v>
                </c:pt>
                <c:pt idx="112">
                  <c:v>44301</c:v>
                </c:pt>
                <c:pt idx="113">
                  <c:v>44302</c:v>
                </c:pt>
                <c:pt idx="114">
                  <c:v>44305</c:v>
                </c:pt>
                <c:pt idx="115">
                  <c:v>44306</c:v>
                </c:pt>
                <c:pt idx="116">
                  <c:v>44307</c:v>
                </c:pt>
                <c:pt idx="117">
                  <c:v>44308</c:v>
                </c:pt>
                <c:pt idx="118">
                  <c:v>44309</c:v>
                </c:pt>
                <c:pt idx="119">
                  <c:v>44312</c:v>
                </c:pt>
                <c:pt idx="120">
                  <c:v>44313</c:v>
                </c:pt>
                <c:pt idx="121">
                  <c:v>44314</c:v>
                </c:pt>
                <c:pt idx="122">
                  <c:v>44315</c:v>
                </c:pt>
                <c:pt idx="123">
                  <c:v>44316</c:v>
                </c:pt>
                <c:pt idx="124">
                  <c:v>44319</c:v>
                </c:pt>
                <c:pt idx="125">
                  <c:v>44320</c:v>
                </c:pt>
                <c:pt idx="126">
                  <c:v>44321</c:v>
                </c:pt>
                <c:pt idx="127">
                  <c:v>44322</c:v>
                </c:pt>
                <c:pt idx="128">
                  <c:v>44323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44333</c:v>
                </c:pt>
                <c:pt idx="135">
                  <c:v>44334</c:v>
                </c:pt>
                <c:pt idx="136">
                  <c:v>44335</c:v>
                </c:pt>
                <c:pt idx="137">
                  <c:v>44336</c:v>
                </c:pt>
                <c:pt idx="138">
                  <c:v>44337</c:v>
                </c:pt>
                <c:pt idx="139">
                  <c:v>44340</c:v>
                </c:pt>
                <c:pt idx="140">
                  <c:v>44341</c:v>
                </c:pt>
                <c:pt idx="141">
                  <c:v>44342</c:v>
                </c:pt>
                <c:pt idx="142">
                  <c:v>44343</c:v>
                </c:pt>
                <c:pt idx="143">
                  <c:v>44344</c:v>
                </c:pt>
                <c:pt idx="144">
                  <c:v>44348</c:v>
                </c:pt>
                <c:pt idx="145">
                  <c:v>44349</c:v>
                </c:pt>
                <c:pt idx="146">
                  <c:v>44350</c:v>
                </c:pt>
                <c:pt idx="147">
                  <c:v>44351</c:v>
                </c:pt>
                <c:pt idx="148">
                  <c:v>44354</c:v>
                </c:pt>
                <c:pt idx="149">
                  <c:v>44355</c:v>
                </c:pt>
                <c:pt idx="150">
                  <c:v>44356</c:v>
                </c:pt>
                <c:pt idx="151">
                  <c:v>44357</c:v>
                </c:pt>
                <c:pt idx="152">
                  <c:v>44358</c:v>
                </c:pt>
                <c:pt idx="153">
                  <c:v>44361</c:v>
                </c:pt>
                <c:pt idx="154">
                  <c:v>44362</c:v>
                </c:pt>
                <c:pt idx="155">
                  <c:v>44363</c:v>
                </c:pt>
                <c:pt idx="156">
                  <c:v>44364</c:v>
                </c:pt>
                <c:pt idx="157">
                  <c:v>44365</c:v>
                </c:pt>
                <c:pt idx="158">
                  <c:v>44368</c:v>
                </c:pt>
                <c:pt idx="159">
                  <c:v>44369</c:v>
                </c:pt>
                <c:pt idx="160">
                  <c:v>44370</c:v>
                </c:pt>
                <c:pt idx="161">
                  <c:v>44371</c:v>
                </c:pt>
                <c:pt idx="162">
                  <c:v>44372</c:v>
                </c:pt>
                <c:pt idx="163">
                  <c:v>44375</c:v>
                </c:pt>
                <c:pt idx="164">
                  <c:v>44376</c:v>
                </c:pt>
                <c:pt idx="165">
                  <c:v>44377</c:v>
                </c:pt>
                <c:pt idx="166">
                  <c:v>44378</c:v>
                </c:pt>
                <c:pt idx="167">
                  <c:v>44379</c:v>
                </c:pt>
                <c:pt idx="168">
                  <c:v>44383</c:v>
                </c:pt>
                <c:pt idx="169">
                  <c:v>44384</c:v>
                </c:pt>
                <c:pt idx="170">
                  <c:v>44385</c:v>
                </c:pt>
                <c:pt idx="171">
                  <c:v>44386</c:v>
                </c:pt>
                <c:pt idx="172">
                  <c:v>44389</c:v>
                </c:pt>
                <c:pt idx="173">
                  <c:v>44390</c:v>
                </c:pt>
                <c:pt idx="174">
                  <c:v>44391</c:v>
                </c:pt>
                <c:pt idx="175">
                  <c:v>44392</c:v>
                </c:pt>
                <c:pt idx="176">
                  <c:v>44393</c:v>
                </c:pt>
                <c:pt idx="177">
                  <c:v>44396</c:v>
                </c:pt>
                <c:pt idx="178">
                  <c:v>44397</c:v>
                </c:pt>
                <c:pt idx="179">
                  <c:v>44398</c:v>
                </c:pt>
                <c:pt idx="180">
                  <c:v>44399</c:v>
                </c:pt>
                <c:pt idx="181">
                  <c:v>44400</c:v>
                </c:pt>
                <c:pt idx="182">
                  <c:v>44403</c:v>
                </c:pt>
                <c:pt idx="183">
                  <c:v>44404</c:v>
                </c:pt>
                <c:pt idx="184">
                  <c:v>44405</c:v>
                </c:pt>
                <c:pt idx="185">
                  <c:v>44406</c:v>
                </c:pt>
                <c:pt idx="186">
                  <c:v>44407</c:v>
                </c:pt>
                <c:pt idx="187">
                  <c:v>44410</c:v>
                </c:pt>
                <c:pt idx="188">
                  <c:v>44411</c:v>
                </c:pt>
                <c:pt idx="189">
                  <c:v>44412</c:v>
                </c:pt>
                <c:pt idx="190">
                  <c:v>44413</c:v>
                </c:pt>
                <c:pt idx="191">
                  <c:v>44414</c:v>
                </c:pt>
                <c:pt idx="192">
                  <c:v>44417</c:v>
                </c:pt>
                <c:pt idx="193">
                  <c:v>44418</c:v>
                </c:pt>
                <c:pt idx="194">
                  <c:v>44419</c:v>
                </c:pt>
                <c:pt idx="195">
                  <c:v>44420</c:v>
                </c:pt>
                <c:pt idx="196">
                  <c:v>44421</c:v>
                </c:pt>
                <c:pt idx="197">
                  <c:v>44424</c:v>
                </c:pt>
                <c:pt idx="198">
                  <c:v>44425</c:v>
                </c:pt>
                <c:pt idx="199">
                  <c:v>44426</c:v>
                </c:pt>
                <c:pt idx="200">
                  <c:v>44427</c:v>
                </c:pt>
                <c:pt idx="201">
                  <c:v>44428</c:v>
                </c:pt>
                <c:pt idx="202">
                  <c:v>44431</c:v>
                </c:pt>
                <c:pt idx="203">
                  <c:v>44432</c:v>
                </c:pt>
                <c:pt idx="204">
                  <c:v>44433</c:v>
                </c:pt>
                <c:pt idx="205">
                  <c:v>44434</c:v>
                </c:pt>
                <c:pt idx="206">
                  <c:v>44435</c:v>
                </c:pt>
                <c:pt idx="207">
                  <c:v>44438</c:v>
                </c:pt>
                <c:pt idx="208">
                  <c:v>44439</c:v>
                </c:pt>
                <c:pt idx="209">
                  <c:v>44440</c:v>
                </c:pt>
                <c:pt idx="210">
                  <c:v>44441</c:v>
                </c:pt>
                <c:pt idx="211">
                  <c:v>44442</c:v>
                </c:pt>
                <c:pt idx="212">
                  <c:v>44446</c:v>
                </c:pt>
                <c:pt idx="213">
                  <c:v>44447</c:v>
                </c:pt>
                <c:pt idx="214">
                  <c:v>44448</c:v>
                </c:pt>
                <c:pt idx="215">
                  <c:v>44449</c:v>
                </c:pt>
                <c:pt idx="216">
                  <c:v>44452</c:v>
                </c:pt>
                <c:pt idx="217">
                  <c:v>44453</c:v>
                </c:pt>
                <c:pt idx="218">
                  <c:v>44454</c:v>
                </c:pt>
                <c:pt idx="219">
                  <c:v>44455</c:v>
                </c:pt>
                <c:pt idx="220">
                  <c:v>44456</c:v>
                </c:pt>
                <c:pt idx="221">
                  <c:v>44459</c:v>
                </c:pt>
                <c:pt idx="222">
                  <c:v>44460</c:v>
                </c:pt>
                <c:pt idx="223">
                  <c:v>44461</c:v>
                </c:pt>
                <c:pt idx="224">
                  <c:v>44462</c:v>
                </c:pt>
                <c:pt idx="225">
                  <c:v>44463</c:v>
                </c:pt>
                <c:pt idx="226">
                  <c:v>44466</c:v>
                </c:pt>
                <c:pt idx="227">
                  <c:v>44467</c:v>
                </c:pt>
                <c:pt idx="228">
                  <c:v>44468</c:v>
                </c:pt>
                <c:pt idx="229">
                  <c:v>44469</c:v>
                </c:pt>
                <c:pt idx="230">
                  <c:v>44470</c:v>
                </c:pt>
                <c:pt idx="231">
                  <c:v>44473</c:v>
                </c:pt>
                <c:pt idx="232">
                  <c:v>44474</c:v>
                </c:pt>
                <c:pt idx="233">
                  <c:v>44475</c:v>
                </c:pt>
                <c:pt idx="234">
                  <c:v>44476</c:v>
                </c:pt>
                <c:pt idx="235">
                  <c:v>44477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44487</c:v>
                </c:pt>
                <c:pt idx="242">
                  <c:v>44488</c:v>
                </c:pt>
                <c:pt idx="243">
                  <c:v>44489</c:v>
                </c:pt>
                <c:pt idx="244">
                  <c:v>44490</c:v>
                </c:pt>
                <c:pt idx="245">
                  <c:v>44491</c:v>
                </c:pt>
                <c:pt idx="246">
                  <c:v>44494</c:v>
                </c:pt>
                <c:pt idx="247">
                  <c:v>44495</c:v>
                </c:pt>
                <c:pt idx="248">
                  <c:v>44496</c:v>
                </c:pt>
                <c:pt idx="249">
                  <c:v>44497</c:v>
                </c:pt>
                <c:pt idx="250">
                  <c:v>44498</c:v>
                </c:pt>
                <c:pt idx="251">
                  <c:v>44501</c:v>
                </c:pt>
                <c:pt idx="252">
                  <c:v>44502</c:v>
                </c:pt>
                <c:pt idx="253">
                  <c:v>44503</c:v>
                </c:pt>
                <c:pt idx="254">
                  <c:v>44504</c:v>
                </c:pt>
                <c:pt idx="255">
                  <c:v>44505</c:v>
                </c:pt>
                <c:pt idx="256">
                  <c:v>44508</c:v>
                </c:pt>
                <c:pt idx="257">
                  <c:v>44509</c:v>
                </c:pt>
                <c:pt idx="258">
                  <c:v>44510</c:v>
                </c:pt>
                <c:pt idx="259">
                  <c:v>44511</c:v>
                </c:pt>
                <c:pt idx="260">
                  <c:v>44512</c:v>
                </c:pt>
                <c:pt idx="261">
                  <c:v>44515</c:v>
                </c:pt>
                <c:pt idx="262">
                  <c:v>44516</c:v>
                </c:pt>
                <c:pt idx="263">
                  <c:v>44517</c:v>
                </c:pt>
                <c:pt idx="264">
                  <c:v>44518</c:v>
                </c:pt>
                <c:pt idx="265">
                  <c:v>44519</c:v>
                </c:pt>
                <c:pt idx="266">
                  <c:v>44522</c:v>
                </c:pt>
                <c:pt idx="267">
                  <c:v>44523</c:v>
                </c:pt>
                <c:pt idx="268">
                  <c:v>44524</c:v>
                </c:pt>
                <c:pt idx="269">
                  <c:v>44526</c:v>
                </c:pt>
                <c:pt idx="270">
                  <c:v>44529</c:v>
                </c:pt>
                <c:pt idx="271">
                  <c:v>44530</c:v>
                </c:pt>
                <c:pt idx="272">
                  <c:v>44531</c:v>
                </c:pt>
                <c:pt idx="273">
                  <c:v>44532</c:v>
                </c:pt>
                <c:pt idx="274">
                  <c:v>44533</c:v>
                </c:pt>
                <c:pt idx="275">
                  <c:v>44536</c:v>
                </c:pt>
                <c:pt idx="276">
                  <c:v>44537</c:v>
                </c:pt>
                <c:pt idx="277">
                  <c:v>44538</c:v>
                </c:pt>
                <c:pt idx="278">
                  <c:v>44539</c:v>
                </c:pt>
                <c:pt idx="279">
                  <c:v>44540</c:v>
                </c:pt>
                <c:pt idx="280">
                  <c:v>44543</c:v>
                </c:pt>
                <c:pt idx="281">
                  <c:v>44544</c:v>
                </c:pt>
                <c:pt idx="282">
                  <c:v>44545</c:v>
                </c:pt>
                <c:pt idx="283">
                  <c:v>44546</c:v>
                </c:pt>
                <c:pt idx="284">
                  <c:v>44547</c:v>
                </c:pt>
                <c:pt idx="285">
                  <c:v>44550</c:v>
                </c:pt>
                <c:pt idx="286">
                  <c:v>44551</c:v>
                </c:pt>
                <c:pt idx="287">
                  <c:v>44552</c:v>
                </c:pt>
                <c:pt idx="288">
                  <c:v>44553</c:v>
                </c:pt>
                <c:pt idx="289">
                  <c:v>44557</c:v>
                </c:pt>
                <c:pt idx="290">
                  <c:v>44558</c:v>
                </c:pt>
                <c:pt idx="291">
                  <c:v>44559</c:v>
                </c:pt>
                <c:pt idx="292">
                  <c:v>44560</c:v>
                </c:pt>
                <c:pt idx="293">
                  <c:v>44561</c:v>
                </c:pt>
                <c:pt idx="294">
                  <c:v>44564</c:v>
                </c:pt>
                <c:pt idx="295">
                  <c:v>44565</c:v>
                </c:pt>
                <c:pt idx="296">
                  <c:v>44566</c:v>
                </c:pt>
                <c:pt idx="297">
                  <c:v>44567</c:v>
                </c:pt>
                <c:pt idx="298">
                  <c:v>44568</c:v>
                </c:pt>
                <c:pt idx="299">
                  <c:v>44571</c:v>
                </c:pt>
                <c:pt idx="300">
                  <c:v>44572</c:v>
                </c:pt>
                <c:pt idx="301">
                  <c:v>44573</c:v>
                </c:pt>
                <c:pt idx="302">
                  <c:v>44574</c:v>
                </c:pt>
                <c:pt idx="303">
                  <c:v>44575</c:v>
                </c:pt>
                <c:pt idx="304">
                  <c:v>44579</c:v>
                </c:pt>
                <c:pt idx="305">
                  <c:v>44580</c:v>
                </c:pt>
                <c:pt idx="306">
                  <c:v>44581</c:v>
                </c:pt>
                <c:pt idx="307">
                  <c:v>44582</c:v>
                </c:pt>
                <c:pt idx="308">
                  <c:v>44585</c:v>
                </c:pt>
                <c:pt idx="309">
                  <c:v>44586</c:v>
                </c:pt>
                <c:pt idx="310">
                  <c:v>44587</c:v>
                </c:pt>
                <c:pt idx="311">
                  <c:v>44588</c:v>
                </c:pt>
                <c:pt idx="312">
                  <c:v>44589</c:v>
                </c:pt>
                <c:pt idx="313">
                  <c:v>44592</c:v>
                </c:pt>
                <c:pt idx="314">
                  <c:v>44593</c:v>
                </c:pt>
                <c:pt idx="315">
                  <c:v>44594</c:v>
                </c:pt>
                <c:pt idx="316">
                  <c:v>44595</c:v>
                </c:pt>
                <c:pt idx="317">
                  <c:v>44596</c:v>
                </c:pt>
                <c:pt idx="318">
                  <c:v>44599</c:v>
                </c:pt>
                <c:pt idx="319">
                  <c:v>44600</c:v>
                </c:pt>
                <c:pt idx="320">
                  <c:v>44601</c:v>
                </c:pt>
                <c:pt idx="321">
                  <c:v>44602</c:v>
                </c:pt>
                <c:pt idx="322">
                  <c:v>44603</c:v>
                </c:pt>
                <c:pt idx="323">
                  <c:v>44606</c:v>
                </c:pt>
                <c:pt idx="324">
                  <c:v>44607</c:v>
                </c:pt>
                <c:pt idx="325">
                  <c:v>44608</c:v>
                </c:pt>
                <c:pt idx="326">
                  <c:v>44609</c:v>
                </c:pt>
                <c:pt idx="327">
                  <c:v>44610</c:v>
                </c:pt>
                <c:pt idx="328">
                  <c:v>44614</c:v>
                </c:pt>
                <c:pt idx="329">
                  <c:v>44615</c:v>
                </c:pt>
                <c:pt idx="330">
                  <c:v>44616</c:v>
                </c:pt>
                <c:pt idx="331">
                  <c:v>44617</c:v>
                </c:pt>
                <c:pt idx="332">
                  <c:v>44620</c:v>
                </c:pt>
                <c:pt idx="333">
                  <c:v>44621</c:v>
                </c:pt>
                <c:pt idx="334">
                  <c:v>44622</c:v>
                </c:pt>
                <c:pt idx="335">
                  <c:v>44623</c:v>
                </c:pt>
                <c:pt idx="336">
                  <c:v>44624</c:v>
                </c:pt>
                <c:pt idx="337">
                  <c:v>44627</c:v>
                </c:pt>
                <c:pt idx="338">
                  <c:v>44628</c:v>
                </c:pt>
                <c:pt idx="339">
                  <c:v>44629</c:v>
                </c:pt>
                <c:pt idx="340">
                  <c:v>44630</c:v>
                </c:pt>
                <c:pt idx="341">
                  <c:v>44631</c:v>
                </c:pt>
                <c:pt idx="342">
                  <c:v>44634</c:v>
                </c:pt>
                <c:pt idx="343">
                  <c:v>44635</c:v>
                </c:pt>
                <c:pt idx="344">
                  <c:v>44636</c:v>
                </c:pt>
                <c:pt idx="345">
                  <c:v>44637</c:v>
                </c:pt>
                <c:pt idx="346">
                  <c:v>44638</c:v>
                </c:pt>
                <c:pt idx="347">
                  <c:v>44641</c:v>
                </c:pt>
                <c:pt idx="348">
                  <c:v>44642</c:v>
                </c:pt>
                <c:pt idx="349">
                  <c:v>44643</c:v>
                </c:pt>
                <c:pt idx="350">
                  <c:v>44644</c:v>
                </c:pt>
                <c:pt idx="351">
                  <c:v>44645</c:v>
                </c:pt>
                <c:pt idx="352">
                  <c:v>44648</c:v>
                </c:pt>
                <c:pt idx="353">
                  <c:v>44649</c:v>
                </c:pt>
                <c:pt idx="354">
                  <c:v>44650</c:v>
                </c:pt>
                <c:pt idx="355">
                  <c:v>44651</c:v>
                </c:pt>
                <c:pt idx="356">
                  <c:v>44652</c:v>
                </c:pt>
                <c:pt idx="357">
                  <c:v>44655</c:v>
                </c:pt>
                <c:pt idx="358">
                  <c:v>44656</c:v>
                </c:pt>
                <c:pt idx="359">
                  <c:v>44657</c:v>
                </c:pt>
                <c:pt idx="360">
                  <c:v>44658</c:v>
                </c:pt>
                <c:pt idx="361">
                  <c:v>44659</c:v>
                </c:pt>
                <c:pt idx="362">
                  <c:v>44662</c:v>
                </c:pt>
                <c:pt idx="363">
                  <c:v>44663</c:v>
                </c:pt>
                <c:pt idx="364">
                  <c:v>44664</c:v>
                </c:pt>
                <c:pt idx="365">
                  <c:v>44665</c:v>
                </c:pt>
                <c:pt idx="366">
                  <c:v>44669</c:v>
                </c:pt>
                <c:pt idx="367">
                  <c:v>44670</c:v>
                </c:pt>
                <c:pt idx="368">
                  <c:v>44671</c:v>
                </c:pt>
                <c:pt idx="369">
                  <c:v>44672</c:v>
                </c:pt>
                <c:pt idx="370">
                  <c:v>44673</c:v>
                </c:pt>
                <c:pt idx="371">
                  <c:v>44676</c:v>
                </c:pt>
                <c:pt idx="372">
                  <c:v>44677</c:v>
                </c:pt>
                <c:pt idx="373">
                  <c:v>44678</c:v>
                </c:pt>
                <c:pt idx="374">
                  <c:v>44679</c:v>
                </c:pt>
                <c:pt idx="375">
                  <c:v>44680</c:v>
                </c:pt>
                <c:pt idx="376">
                  <c:v>44683</c:v>
                </c:pt>
                <c:pt idx="377">
                  <c:v>44684</c:v>
                </c:pt>
                <c:pt idx="378">
                  <c:v>44685</c:v>
                </c:pt>
                <c:pt idx="379">
                  <c:v>44686</c:v>
                </c:pt>
                <c:pt idx="380">
                  <c:v>44687</c:v>
                </c:pt>
                <c:pt idx="381">
                  <c:v>44690</c:v>
                </c:pt>
                <c:pt idx="382">
                  <c:v>44691</c:v>
                </c:pt>
                <c:pt idx="383">
                  <c:v>44692</c:v>
                </c:pt>
                <c:pt idx="384">
                  <c:v>44693</c:v>
                </c:pt>
                <c:pt idx="385">
                  <c:v>44694</c:v>
                </c:pt>
                <c:pt idx="386">
                  <c:v>44697</c:v>
                </c:pt>
                <c:pt idx="387">
                  <c:v>44698</c:v>
                </c:pt>
                <c:pt idx="388">
                  <c:v>44699</c:v>
                </c:pt>
                <c:pt idx="389">
                  <c:v>44700</c:v>
                </c:pt>
                <c:pt idx="390">
                  <c:v>44701</c:v>
                </c:pt>
                <c:pt idx="391">
                  <c:v>44704</c:v>
                </c:pt>
                <c:pt idx="392">
                  <c:v>44705</c:v>
                </c:pt>
                <c:pt idx="393">
                  <c:v>44706</c:v>
                </c:pt>
                <c:pt idx="394">
                  <c:v>44707</c:v>
                </c:pt>
                <c:pt idx="395">
                  <c:v>44708</c:v>
                </c:pt>
                <c:pt idx="396">
                  <c:v>44712</c:v>
                </c:pt>
                <c:pt idx="397">
                  <c:v>44713</c:v>
                </c:pt>
                <c:pt idx="398">
                  <c:v>44714</c:v>
                </c:pt>
                <c:pt idx="399">
                  <c:v>44715</c:v>
                </c:pt>
                <c:pt idx="400">
                  <c:v>44718</c:v>
                </c:pt>
                <c:pt idx="401">
                  <c:v>44719</c:v>
                </c:pt>
                <c:pt idx="402">
                  <c:v>44720</c:v>
                </c:pt>
                <c:pt idx="403">
                  <c:v>44721</c:v>
                </c:pt>
                <c:pt idx="404">
                  <c:v>44722</c:v>
                </c:pt>
                <c:pt idx="405">
                  <c:v>44725</c:v>
                </c:pt>
                <c:pt idx="406">
                  <c:v>44726</c:v>
                </c:pt>
                <c:pt idx="407">
                  <c:v>44727</c:v>
                </c:pt>
                <c:pt idx="408">
                  <c:v>44728</c:v>
                </c:pt>
                <c:pt idx="409">
                  <c:v>44729</c:v>
                </c:pt>
                <c:pt idx="410">
                  <c:v>44733</c:v>
                </c:pt>
                <c:pt idx="411">
                  <c:v>44734</c:v>
                </c:pt>
                <c:pt idx="412">
                  <c:v>44735</c:v>
                </c:pt>
                <c:pt idx="413">
                  <c:v>44736</c:v>
                </c:pt>
                <c:pt idx="414">
                  <c:v>44739</c:v>
                </c:pt>
                <c:pt idx="415">
                  <c:v>44740</c:v>
                </c:pt>
                <c:pt idx="416">
                  <c:v>44741</c:v>
                </c:pt>
                <c:pt idx="417">
                  <c:v>44742</c:v>
                </c:pt>
                <c:pt idx="418">
                  <c:v>44743</c:v>
                </c:pt>
                <c:pt idx="419">
                  <c:v>44747</c:v>
                </c:pt>
                <c:pt idx="420">
                  <c:v>44748</c:v>
                </c:pt>
                <c:pt idx="421">
                  <c:v>44749</c:v>
                </c:pt>
                <c:pt idx="422">
                  <c:v>44750</c:v>
                </c:pt>
                <c:pt idx="423">
                  <c:v>44753</c:v>
                </c:pt>
                <c:pt idx="424">
                  <c:v>44754</c:v>
                </c:pt>
                <c:pt idx="425">
                  <c:v>44755</c:v>
                </c:pt>
                <c:pt idx="426">
                  <c:v>44756</c:v>
                </c:pt>
                <c:pt idx="427">
                  <c:v>44757</c:v>
                </c:pt>
                <c:pt idx="428">
                  <c:v>44760</c:v>
                </c:pt>
                <c:pt idx="429">
                  <c:v>44761</c:v>
                </c:pt>
                <c:pt idx="430">
                  <c:v>44762</c:v>
                </c:pt>
                <c:pt idx="431">
                  <c:v>44763</c:v>
                </c:pt>
                <c:pt idx="432">
                  <c:v>44764</c:v>
                </c:pt>
                <c:pt idx="433">
                  <c:v>44767</c:v>
                </c:pt>
                <c:pt idx="434">
                  <c:v>44768</c:v>
                </c:pt>
                <c:pt idx="435">
                  <c:v>44769</c:v>
                </c:pt>
                <c:pt idx="436">
                  <c:v>44770</c:v>
                </c:pt>
                <c:pt idx="437">
                  <c:v>44771</c:v>
                </c:pt>
                <c:pt idx="438">
                  <c:v>44774</c:v>
                </c:pt>
                <c:pt idx="439">
                  <c:v>44775</c:v>
                </c:pt>
                <c:pt idx="440">
                  <c:v>44776</c:v>
                </c:pt>
                <c:pt idx="441">
                  <c:v>44777</c:v>
                </c:pt>
                <c:pt idx="442">
                  <c:v>44778</c:v>
                </c:pt>
                <c:pt idx="443">
                  <c:v>44781</c:v>
                </c:pt>
                <c:pt idx="444">
                  <c:v>44782</c:v>
                </c:pt>
                <c:pt idx="445">
                  <c:v>44783</c:v>
                </c:pt>
                <c:pt idx="446">
                  <c:v>44784</c:v>
                </c:pt>
                <c:pt idx="447">
                  <c:v>44785</c:v>
                </c:pt>
                <c:pt idx="448">
                  <c:v>44788</c:v>
                </c:pt>
                <c:pt idx="449">
                  <c:v>44789</c:v>
                </c:pt>
                <c:pt idx="450">
                  <c:v>44790</c:v>
                </c:pt>
                <c:pt idx="451">
                  <c:v>44791</c:v>
                </c:pt>
                <c:pt idx="452">
                  <c:v>44792</c:v>
                </c:pt>
                <c:pt idx="453">
                  <c:v>44795</c:v>
                </c:pt>
                <c:pt idx="454">
                  <c:v>44796</c:v>
                </c:pt>
                <c:pt idx="455">
                  <c:v>44797</c:v>
                </c:pt>
                <c:pt idx="456">
                  <c:v>44798</c:v>
                </c:pt>
                <c:pt idx="457">
                  <c:v>44799</c:v>
                </c:pt>
                <c:pt idx="458">
                  <c:v>44802</c:v>
                </c:pt>
                <c:pt idx="459">
                  <c:v>44803</c:v>
                </c:pt>
                <c:pt idx="460">
                  <c:v>44804</c:v>
                </c:pt>
                <c:pt idx="461">
                  <c:v>44805</c:v>
                </c:pt>
                <c:pt idx="462">
                  <c:v>44806</c:v>
                </c:pt>
                <c:pt idx="463">
                  <c:v>44810</c:v>
                </c:pt>
                <c:pt idx="464">
                  <c:v>44811</c:v>
                </c:pt>
                <c:pt idx="465">
                  <c:v>44812</c:v>
                </c:pt>
                <c:pt idx="466">
                  <c:v>44813</c:v>
                </c:pt>
                <c:pt idx="467">
                  <c:v>44816</c:v>
                </c:pt>
                <c:pt idx="468">
                  <c:v>44817</c:v>
                </c:pt>
                <c:pt idx="469">
                  <c:v>44818</c:v>
                </c:pt>
                <c:pt idx="470">
                  <c:v>44819</c:v>
                </c:pt>
                <c:pt idx="471">
                  <c:v>44820</c:v>
                </c:pt>
                <c:pt idx="472">
                  <c:v>44823</c:v>
                </c:pt>
                <c:pt idx="473">
                  <c:v>44824</c:v>
                </c:pt>
                <c:pt idx="474">
                  <c:v>44825</c:v>
                </c:pt>
                <c:pt idx="475">
                  <c:v>44826</c:v>
                </c:pt>
                <c:pt idx="476">
                  <c:v>44827</c:v>
                </c:pt>
                <c:pt idx="477">
                  <c:v>44830</c:v>
                </c:pt>
                <c:pt idx="478">
                  <c:v>44831</c:v>
                </c:pt>
                <c:pt idx="479">
                  <c:v>44832</c:v>
                </c:pt>
                <c:pt idx="480">
                  <c:v>44833</c:v>
                </c:pt>
                <c:pt idx="481">
                  <c:v>44834</c:v>
                </c:pt>
                <c:pt idx="482">
                  <c:v>44837</c:v>
                </c:pt>
                <c:pt idx="483">
                  <c:v>44838</c:v>
                </c:pt>
                <c:pt idx="484">
                  <c:v>44839</c:v>
                </c:pt>
                <c:pt idx="485">
                  <c:v>44840</c:v>
                </c:pt>
                <c:pt idx="486">
                  <c:v>44841</c:v>
                </c:pt>
                <c:pt idx="487">
                  <c:v>44844</c:v>
                </c:pt>
                <c:pt idx="488">
                  <c:v>44845</c:v>
                </c:pt>
                <c:pt idx="489">
                  <c:v>44846</c:v>
                </c:pt>
                <c:pt idx="490">
                  <c:v>44847</c:v>
                </c:pt>
                <c:pt idx="491">
                  <c:v>44848</c:v>
                </c:pt>
                <c:pt idx="492">
                  <c:v>44851</c:v>
                </c:pt>
                <c:pt idx="493">
                  <c:v>44852</c:v>
                </c:pt>
                <c:pt idx="494">
                  <c:v>44853</c:v>
                </c:pt>
                <c:pt idx="495">
                  <c:v>44854</c:v>
                </c:pt>
                <c:pt idx="496">
                  <c:v>44855</c:v>
                </c:pt>
                <c:pt idx="497">
                  <c:v>44858</c:v>
                </c:pt>
                <c:pt idx="498">
                  <c:v>44859</c:v>
                </c:pt>
                <c:pt idx="499">
                  <c:v>44860</c:v>
                </c:pt>
                <c:pt idx="500">
                  <c:v>44861</c:v>
                </c:pt>
                <c:pt idx="501">
                  <c:v>44862</c:v>
                </c:pt>
                <c:pt idx="502">
                  <c:v>44865</c:v>
                </c:pt>
                <c:pt idx="503">
                  <c:v>44866</c:v>
                </c:pt>
                <c:pt idx="504">
                  <c:v>44867</c:v>
                </c:pt>
                <c:pt idx="505">
                  <c:v>44868</c:v>
                </c:pt>
                <c:pt idx="506">
                  <c:v>44869</c:v>
                </c:pt>
                <c:pt idx="507">
                  <c:v>44872</c:v>
                </c:pt>
                <c:pt idx="508">
                  <c:v>44873</c:v>
                </c:pt>
                <c:pt idx="509">
                  <c:v>44874</c:v>
                </c:pt>
                <c:pt idx="510">
                  <c:v>44875</c:v>
                </c:pt>
                <c:pt idx="511">
                  <c:v>44876</c:v>
                </c:pt>
                <c:pt idx="512">
                  <c:v>44879</c:v>
                </c:pt>
                <c:pt idx="513">
                  <c:v>44880</c:v>
                </c:pt>
                <c:pt idx="514">
                  <c:v>44881</c:v>
                </c:pt>
                <c:pt idx="515">
                  <c:v>44882</c:v>
                </c:pt>
                <c:pt idx="516">
                  <c:v>44883</c:v>
                </c:pt>
                <c:pt idx="517">
                  <c:v>44886</c:v>
                </c:pt>
                <c:pt idx="518">
                  <c:v>44887</c:v>
                </c:pt>
                <c:pt idx="519">
                  <c:v>44888</c:v>
                </c:pt>
                <c:pt idx="520">
                  <c:v>44890</c:v>
                </c:pt>
                <c:pt idx="521">
                  <c:v>44893</c:v>
                </c:pt>
                <c:pt idx="522">
                  <c:v>44894</c:v>
                </c:pt>
                <c:pt idx="523">
                  <c:v>44895</c:v>
                </c:pt>
                <c:pt idx="524">
                  <c:v>44896</c:v>
                </c:pt>
                <c:pt idx="525">
                  <c:v>44897</c:v>
                </c:pt>
                <c:pt idx="526">
                  <c:v>44900</c:v>
                </c:pt>
                <c:pt idx="527">
                  <c:v>44901</c:v>
                </c:pt>
                <c:pt idx="528">
                  <c:v>44902</c:v>
                </c:pt>
                <c:pt idx="529">
                  <c:v>44903</c:v>
                </c:pt>
                <c:pt idx="530">
                  <c:v>44904</c:v>
                </c:pt>
                <c:pt idx="531">
                  <c:v>44907</c:v>
                </c:pt>
                <c:pt idx="532">
                  <c:v>44908</c:v>
                </c:pt>
                <c:pt idx="533">
                  <c:v>44909</c:v>
                </c:pt>
                <c:pt idx="534">
                  <c:v>44910</c:v>
                </c:pt>
                <c:pt idx="535">
                  <c:v>44911</c:v>
                </c:pt>
                <c:pt idx="536">
                  <c:v>44914</c:v>
                </c:pt>
                <c:pt idx="537">
                  <c:v>44915</c:v>
                </c:pt>
                <c:pt idx="538">
                  <c:v>44916</c:v>
                </c:pt>
                <c:pt idx="539">
                  <c:v>44917</c:v>
                </c:pt>
                <c:pt idx="540">
                  <c:v>44918</c:v>
                </c:pt>
                <c:pt idx="541">
                  <c:v>44922</c:v>
                </c:pt>
                <c:pt idx="542">
                  <c:v>44923</c:v>
                </c:pt>
                <c:pt idx="543">
                  <c:v>44924</c:v>
                </c:pt>
                <c:pt idx="544">
                  <c:v>44925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44943</c:v>
                </c:pt>
                <c:pt idx="555">
                  <c:v>44944</c:v>
                </c:pt>
                <c:pt idx="556">
                  <c:v>44945</c:v>
                </c:pt>
                <c:pt idx="557">
                  <c:v>44946</c:v>
                </c:pt>
                <c:pt idx="558">
                  <c:v>44949</c:v>
                </c:pt>
                <c:pt idx="559">
                  <c:v>44950</c:v>
                </c:pt>
                <c:pt idx="560">
                  <c:v>44951</c:v>
                </c:pt>
                <c:pt idx="561">
                  <c:v>44952</c:v>
                </c:pt>
                <c:pt idx="562">
                  <c:v>44953</c:v>
                </c:pt>
                <c:pt idx="563">
                  <c:v>44956</c:v>
                </c:pt>
                <c:pt idx="564">
                  <c:v>44957</c:v>
                </c:pt>
                <c:pt idx="565">
                  <c:v>44958</c:v>
                </c:pt>
                <c:pt idx="566">
                  <c:v>44959</c:v>
                </c:pt>
                <c:pt idx="567">
                  <c:v>44960</c:v>
                </c:pt>
                <c:pt idx="568">
                  <c:v>44963</c:v>
                </c:pt>
                <c:pt idx="569">
                  <c:v>44964</c:v>
                </c:pt>
                <c:pt idx="570">
                  <c:v>44965</c:v>
                </c:pt>
                <c:pt idx="571">
                  <c:v>44966</c:v>
                </c:pt>
                <c:pt idx="572">
                  <c:v>44967</c:v>
                </c:pt>
                <c:pt idx="573">
                  <c:v>44970</c:v>
                </c:pt>
                <c:pt idx="574">
                  <c:v>44971</c:v>
                </c:pt>
                <c:pt idx="575">
                  <c:v>44972</c:v>
                </c:pt>
                <c:pt idx="576">
                  <c:v>44973</c:v>
                </c:pt>
                <c:pt idx="577">
                  <c:v>44974</c:v>
                </c:pt>
                <c:pt idx="578">
                  <c:v>44978</c:v>
                </c:pt>
                <c:pt idx="579">
                  <c:v>44979</c:v>
                </c:pt>
                <c:pt idx="580">
                  <c:v>44980</c:v>
                </c:pt>
                <c:pt idx="581">
                  <c:v>44981</c:v>
                </c:pt>
                <c:pt idx="582">
                  <c:v>44984</c:v>
                </c:pt>
                <c:pt idx="583">
                  <c:v>44985</c:v>
                </c:pt>
                <c:pt idx="584">
                  <c:v>44986</c:v>
                </c:pt>
                <c:pt idx="585">
                  <c:v>44987</c:v>
                </c:pt>
                <c:pt idx="586">
                  <c:v>44988</c:v>
                </c:pt>
                <c:pt idx="587">
                  <c:v>44991</c:v>
                </c:pt>
                <c:pt idx="588">
                  <c:v>44992</c:v>
                </c:pt>
                <c:pt idx="589">
                  <c:v>44993</c:v>
                </c:pt>
                <c:pt idx="590">
                  <c:v>44994</c:v>
                </c:pt>
                <c:pt idx="591">
                  <c:v>44995</c:v>
                </c:pt>
                <c:pt idx="592">
                  <c:v>44998</c:v>
                </c:pt>
                <c:pt idx="593">
                  <c:v>44999</c:v>
                </c:pt>
                <c:pt idx="594">
                  <c:v>45000</c:v>
                </c:pt>
                <c:pt idx="595">
                  <c:v>45001</c:v>
                </c:pt>
                <c:pt idx="596">
                  <c:v>45002</c:v>
                </c:pt>
                <c:pt idx="597">
                  <c:v>45005</c:v>
                </c:pt>
                <c:pt idx="598">
                  <c:v>45006</c:v>
                </c:pt>
                <c:pt idx="599">
                  <c:v>45007</c:v>
                </c:pt>
                <c:pt idx="600">
                  <c:v>45008</c:v>
                </c:pt>
                <c:pt idx="601">
                  <c:v>45009</c:v>
                </c:pt>
                <c:pt idx="602">
                  <c:v>45012</c:v>
                </c:pt>
                <c:pt idx="603">
                  <c:v>45013</c:v>
                </c:pt>
                <c:pt idx="604">
                  <c:v>45014</c:v>
                </c:pt>
                <c:pt idx="605">
                  <c:v>45015</c:v>
                </c:pt>
                <c:pt idx="606">
                  <c:v>45016</c:v>
                </c:pt>
                <c:pt idx="607">
                  <c:v>45019</c:v>
                </c:pt>
                <c:pt idx="608">
                  <c:v>45020</c:v>
                </c:pt>
                <c:pt idx="609">
                  <c:v>45021</c:v>
                </c:pt>
                <c:pt idx="610">
                  <c:v>45022</c:v>
                </c:pt>
                <c:pt idx="611">
                  <c:v>45026</c:v>
                </c:pt>
                <c:pt idx="612">
                  <c:v>45027</c:v>
                </c:pt>
                <c:pt idx="613">
                  <c:v>45028</c:v>
                </c:pt>
                <c:pt idx="614">
                  <c:v>45029</c:v>
                </c:pt>
                <c:pt idx="615">
                  <c:v>45030</c:v>
                </c:pt>
                <c:pt idx="616">
                  <c:v>45033</c:v>
                </c:pt>
                <c:pt idx="617">
                  <c:v>45034</c:v>
                </c:pt>
                <c:pt idx="618">
                  <c:v>45035</c:v>
                </c:pt>
                <c:pt idx="619">
                  <c:v>45036</c:v>
                </c:pt>
                <c:pt idx="620">
                  <c:v>45037</c:v>
                </c:pt>
                <c:pt idx="621">
                  <c:v>45040</c:v>
                </c:pt>
                <c:pt idx="622">
                  <c:v>45041</c:v>
                </c:pt>
                <c:pt idx="623">
                  <c:v>45042</c:v>
                </c:pt>
                <c:pt idx="624">
                  <c:v>45043</c:v>
                </c:pt>
                <c:pt idx="625">
                  <c:v>45044</c:v>
                </c:pt>
                <c:pt idx="626">
                  <c:v>45047</c:v>
                </c:pt>
                <c:pt idx="627">
                  <c:v>45048</c:v>
                </c:pt>
                <c:pt idx="628">
                  <c:v>45049</c:v>
                </c:pt>
                <c:pt idx="629">
                  <c:v>45050</c:v>
                </c:pt>
                <c:pt idx="630">
                  <c:v>45051</c:v>
                </c:pt>
                <c:pt idx="631">
                  <c:v>45054</c:v>
                </c:pt>
                <c:pt idx="632">
                  <c:v>45055</c:v>
                </c:pt>
                <c:pt idx="633">
                  <c:v>45056</c:v>
                </c:pt>
                <c:pt idx="634">
                  <c:v>45057</c:v>
                </c:pt>
                <c:pt idx="635">
                  <c:v>45058</c:v>
                </c:pt>
                <c:pt idx="636">
                  <c:v>45061</c:v>
                </c:pt>
                <c:pt idx="637">
                  <c:v>45062</c:v>
                </c:pt>
                <c:pt idx="638">
                  <c:v>45063</c:v>
                </c:pt>
                <c:pt idx="639">
                  <c:v>45064</c:v>
                </c:pt>
                <c:pt idx="640">
                  <c:v>45065</c:v>
                </c:pt>
                <c:pt idx="641">
                  <c:v>45068</c:v>
                </c:pt>
                <c:pt idx="642">
                  <c:v>45069</c:v>
                </c:pt>
                <c:pt idx="643">
                  <c:v>45070</c:v>
                </c:pt>
                <c:pt idx="644">
                  <c:v>45071</c:v>
                </c:pt>
                <c:pt idx="645">
                  <c:v>45072</c:v>
                </c:pt>
                <c:pt idx="646">
                  <c:v>45076</c:v>
                </c:pt>
                <c:pt idx="647">
                  <c:v>45077</c:v>
                </c:pt>
                <c:pt idx="648">
                  <c:v>45078</c:v>
                </c:pt>
                <c:pt idx="649">
                  <c:v>45079</c:v>
                </c:pt>
                <c:pt idx="650">
                  <c:v>45082</c:v>
                </c:pt>
                <c:pt idx="651">
                  <c:v>45083</c:v>
                </c:pt>
                <c:pt idx="652">
                  <c:v>45084</c:v>
                </c:pt>
                <c:pt idx="653">
                  <c:v>45085</c:v>
                </c:pt>
                <c:pt idx="654">
                  <c:v>45086</c:v>
                </c:pt>
                <c:pt idx="655">
                  <c:v>45089</c:v>
                </c:pt>
                <c:pt idx="656">
                  <c:v>45090</c:v>
                </c:pt>
                <c:pt idx="657">
                  <c:v>45091</c:v>
                </c:pt>
                <c:pt idx="658">
                  <c:v>45092</c:v>
                </c:pt>
                <c:pt idx="659">
                  <c:v>45093</c:v>
                </c:pt>
                <c:pt idx="660">
                  <c:v>45097</c:v>
                </c:pt>
                <c:pt idx="661">
                  <c:v>45098</c:v>
                </c:pt>
                <c:pt idx="662">
                  <c:v>45099</c:v>
                </c:pt>
                <c:pt idx="663">
                  <c:v>45100</c:v>
                </c:pt>
                <c:pt idx="664">
                  <c:v>45103</c:v>
                </c:pt>
                <c:pt idx="665">
                  <c:v>45104</c:v>
                </c:pt>
                <c:pt idx="666">
                  <c:v>45105</c:v>
                </c:pt>
                <c:pt idx="667">
                  <c:v>45106</c:v>
                </c:pt>
                <c:pt idx="668">
                  <c:v>45107</c:v>
                </c:pt>
                <c:pt idx="669">
                  <c:v>45110</c:v>
                </c:pt>
                <c:pt idx="670">
                  <c:v>45112</c:v>
                </c:pt>
                <c:pt idx="671">
                  <c:v>45113</c:v>
                </c:pt>
                <c:pt idx="672">
                  <c:v>45114</c:v>
                </c:pt>
                <c:pt idx="673">
                  <c:v>45117</c:v>
                </c:pt>
                <c:pt idx="674">
                  <c:v>45118</c:v>
                </c:pt>
                <c:pt idx="675">
                  <c:v>45119</c:v>
                </c:pt>
                <c:pt idx="676">
                  <c:v>45120</c:v>
                </c:pt>
                <c:pt idx="677">
                  <c:v>45121</c:v>
                </c:pt>
                <c:pt idx="678">
                  <c:v>45124</c:v>
                </c:pt>
                <c:pt idx="679">
                  <c:v>45125</c:v>
                </c:pt>
                <c:pt idx="680">
                  <c:v>45126</c:v>
                </c:pt>
                <c:pt idx="681">
                  <c:v>45127</c:v>
                </c:pt>
                <c:pt idx="682">
                  <c:v>45128</c:v>
                </c:pt>
                <c:pt idx="683">
                  <c:v>45131</c:v>
                </c:pt>
                <c:pt idx="684">
                  <c:v>45132</c:v>
                </c:pt>
                <c:pt idx="685">
                  <c:v>45133</c:v>
                </c:pt>
                <c:pt idx="686">
                  <c:v>45134</c:v>
                </c:pt>
                <c:pt idx="687">
                  <c:v>45135</c:v>
                </c:pt>
                <c:pt idx="688">
                  <c:v>45138</c:v>
                </c:pt>
                <c:pt idx="689">
                  <c:v>45139</c:v>
                </c:pt>
                <c:pt idx="690">
                  <c:v>45140</c:v>
                </c:pt>
                <c:pt idx="691">
                  <c:v>45141</c:v>
                </c:pt>
                <c:pt idx="692">
                  <c:v>45142</c:v>
                </c:pt>
                <c:pt idx="693">
                  <c:v>45145</c:v>
                </c:pt>
                <c:pt idx="694">
                  <c:v>45146</c:v>
                </c:pt>
                <c:pt idx="695">
                  <c:v>45147</c:v>
                </c:pt>
                <c:pt idx="696">
                  <c:v>45148</c:v>
                </c:pt>
                <c:pt idx="697">
                  <c:v>45149</c:v>
                </c:pt>
                <c:pt idx="698">
                  <c:v>45152</c:v>
                </c:pt>
                <c:pt idx="699">
                  <c:v>45153</c:v>
                </c:pt>
                <c:pt idx="700">
                  <c:v>45154</c:v>
                </c:pt>
                <c:pt idx="701">
                  <c:v>45155</c:v>
                </c:pt>
                <c:pt idx="702">
                  <c:v>45156</c:v>
                </c:pt>
                <c:pt idx="703">
                  <c:v>45159</c:v>
                </c:pt>
                <c:pt idx="704">
                  <c:v>45160</c:v>
                </c:pt>
                <c:pt idx="705">
                  <c:v>45161</c:v>
                </c:pt>
                <c:pt idx="706">
                  <c:v>45162</c:v>
                </c:pt>
                <c:pt idx="707">
                  <c:v>45163</c:v>
                </c:pt>
                <c:pt idx="708">
                  <c:v>45166</c:v>
                </c:pt>
                <c:pt idx="709">
                  <c:v>45167</c:v>
                </c:pt>
                <c:pt idx="710">
                  <c:v>45168</c:v>
                </c:pt>
                <c:pt idx="711">
                  <c:v>45169</c:v>
                </c:pt>
                <c:pt idx="712">
                  <c:v>45170</c:v>
                </c:pt>
                <c:pt idx="713">
                  <c:v>45174</c:v>
                </c:pt>
                <c:pt idx="714">
                  <c:v>45175</c:v>
                </c:pt>
                <c:pt idx="715">
                  <c:v>45176</c:v>
                </c:pt>
                <c:pt idx="716">
                  <c:v>45177</c:v>
                </c:pt>
                <c:pt idx="717">
                  <c:v>45180</c:v>
                </c:pt>
                <c:pt idx="718">
                  <c:v>45181</c:v>
                </c:pt>
                <c:pt idx="719">
                  <c:v>45182</c:v>
                </c:pt>
                <c:pt idx="720">
                  <c:v>45183</c:v>
                </c:pt>
                <c:pt idx="721">
                  <c:v>45184</c:v>
                </c:pt>
                <c:pt idx="722">
                  <c:v>45187</c:v>
                </c:pt>
                <c:pt idx="723">
                  <c:v>45188</c:v>
                </c:pt>
                <c:pt idx="724">
                  <c:v>45189</c:v>
                </c:pt>
                <c:pt idx="725">
                  <c:v>45190</c:v>
                </c:pt>
                <c:pt idx="726">
                  <c:v>45191</c:v>
                </c:pt>
                <c:pt idx="727">
                  <c:v>45194</c:v>
                </c:pt>
                <c:pt idx="728">
                  <c:v>45195</c:v>
                </c:pt>
                <c:pt idx="729">
                  <c:v>45196</c:v>
                </c:pt>
                <c:pt idx="730">
                  <c:v>45197</c:v>
                </c:pt>
                <c:pt idx="731">
                  <c:v>45198</c:v>
                </c:pt>
                <c:pt idx="732">
                  <c:v>45201</c:v>
                </c:pt>
                <c:pt idx="733">
                  <c:v>45202</c:v>
                </c:pt>
                <c:pt idx="734">
                  <c:v>45203</c:v>
                </c:pt>
                <c:pt idx="735">
                  <c:v>45204</c:v>
                </c:pt>
                <c:pt idx="736">
                  <c:v>45205</c:v>
                </c:pt>
                <c:pt idx="737">
                  <c:v>45208</c:v>
                </c:pt>
                <c:pt idx="738">
                  <c:v>45209</c:v>
                </c:pt>
                <c:pt idx="739">
                  <c:v>45210</c:v>
                </c:pt>
                <c:pt idx="740">
                  <c:v>45211</c:v>
                </c:pt>
                <c:pt idx="741">
                  <c:v>45212</c:v>
                </c:pt>
                <c:pt idx="742">
                  <c:v>45215</c:v>
                </c:pt>
                <c:pt idx="743">
                  <c:v>45216</c:v>
                </c:pt>
                <c:pt idx="744">
                  <c:v>45217</c:v>
                </c:pt>
                <c:pt idx="745">
                  <c:v>45218</c:v>
                </c:pt>
                <c:pt idx="746">
                  <c:v>45219</c:v>
                </c:pt>
                <c:pt idx="747">
                  <c:v>45222</c:v>
                </c:pt>
                <c:pt idx="748">
                  <c:v>45223</c:v>
                </c:pt>
                <c:pt idx="749">
                  <c:v>45224</c:v>
                </c:pt>
                <c:pt idx="750">
                  <c:v>45225</c:v>
                </c:pt>
                <c:pt idx="751">
                  <c:v>45226</c:v>
                </c:pt>
                <c:pt idx="752">
                  <c:v>45229</c:v>
                </c:pt>
                <c:pt idx="753">
                  <c:v>45230</c:v>
                </c:pt>
                <c:pt idx="754">
                  <c:v>45231</c:v>
                </c:pt>
                <c:pt idx="755">
                  <c:v>45232</c:v>
                </c:pt>
                <c:pt idx="756">
                  <c:v>45233</c:v>
                </c:pt>
                <c:pt idx="757">
                  <c:v>45236</c:v>
                </c:pt>
                <c:pt idx="758">
                  <c:v>45237</c:v>
                </c:pt>
                <c:pt idx="759">
                  <c:v>45238</c:v>
                </c:pt>
                <c:pt idx="760">
                  <c:v>45239</c:v>
                </c:pt>
                <c:pt idx="761">
                  <c:v>45240</c:v>
                </c:pt>
                <c:pt idx="762">
                  <c:v>45243</c:v>
                </c:pt>
                <c:pt idx="763">
                  <c:v>45244</c:v>
                </c:pt>
                <c:pt idx="764">
                  <c:v>45245</c:v>
                </c:pt>
                <c:pt idx="765">
                  <c:v>45246</c:v>
                </c:pt>
                <c:pt idx="766">
                  <c:v>45247</c:v>
                </c:pt>
                <c:pt idx="767">
                  <c:v>45250</c:v>
                </c:pt>
                <c:pt idx="768">
                  <c:v>45251</c:v>
                </c:pt>
                <c:pt idx="769">
                  <c:v>45252</c:v>
                </c:pt>
                <c:pt idx="770">
                  <c:v>45254</c:v>
                </c:pt>
                <c:pt idx="771">
                  <c:v>45257</c:v>
                </c:pt>
                <c:pt idx="772">
                  <c:v>45258</c:v>
                </c:pt>
                <c:pt idx="773">
                  <c:v>45259</c:v>
                </c:pt>
                <c:pt idx="774">
                  <c:v>45260</c:v>
                </c:pt>
                <c:pt idx="775">
                  <c:v>45261</c:v>
                </c:pt>
                <c:pt idx="776">
                  <c:v>45264</c:v>
                </c:pt>
                <c:pt idx="777">
                  <c:v>45265</c:v>
                </c:pt>
                <c:pt idx="778">
                  <c:v>45266</c:v>
                </c:pt>
                <c:pt idx="779">
                  <c:v>45267</c:v>
                </c:pt>
                <c:pt idx="780">
                  <c:v>45268</c:v>
                </c:pt>
                <c:pt idx="781">
                  <c:v>45271</c:v>
                </c:pt>
                <c:pt idx="782">
                  <c:v>45272</c:v>
                </c:pt>
                <c:pt idx="783">
                  <c:v>45273</c:v>
                </c:pt>
                <c:pt idx="784">
                  <c:v>45274</c:v>
                </c:pt>
                <c:pt idx="785">
                  <c:v>45275</c:v>
                </c:pt>
                <c:pt idx="786">
                  <c:v>45278</c:v>
                </c:pt>
                <c:pt idx="787">
                  <c:v>45279</c:v>
                </c:pt>
                <c:pt idx="788">
                  <c:v>45280</c:v>
                </c:pt>
                <c:pt idx="789">
                  <c:v>45281</c:v>
                </c:pt>
                <c:pt idx="790">
                  <c:v>45282</c:v>
                </c:pt>
                <c:pt idx="791">
                  <c:v>45286</c:v>
                </c:pt>
                <c:pt idx="792">
                  <c:v>45287</c:v>
                </c:pt>
                <c:pt idx="793">
                  <c:v>45288</c:v>
                </c:pt>
                <c:pt idx="794">
                  <c:v>45289</c:v>
                </c:pt>
                <c:pt idx="795">
                  <c:v>45293</c:v>
                </c:pt>
                <c:pt idx="796">
                  <c:v>45294</c:v>
                </c:pt>
                <c:pt idx="797">
                  <c:v>45295</c:v>
                </c:pt>
                <c:pt idx="798">
                  <c:v>45296</c:v>
                </c:pt>
                <c:pt idx="799">
                  <c:v>45299</c:v>
                </c:pt>
                <c:pt idx="800">
                  <c:v>45300</c:v>
                </c:pt>
                <c:pt idx="801">
                  <c:v>45301</c:v>
                </c:pt>
                <c:pt idx="802">
                  <c:v>45302</c:v>
                </c:pt>
                <c:pt idx="803">
                  <c:v>45303</c:v>
                </c:pt>
                <c:pt idx="804">
                  <c:v>45307</c:v>
                </c:pt>
                <c:pt idx="805">
                  <c:v>45308</c:v>
                </c:pt>
                <c:pt idx="806">
                  <c:v>45309</c:v>
                </c:pt>
                <c:pt idx="807">
                  <c:v>45310</c:v>
                </c:pt>
                <c:pt idx="808">
                  <c:v>45313</c:v>
                </c:pt>
                <c:pt idx="809">
                  <c:v>45314</c:v>
                </c:pt>
                <c:pt idx="810">
                  <c:v>45315</c:v>
                </c:pt>
                <c:pt idx="811">
                  <c:v>45316</c:v>
                </c:pt>
                <c:pt idx="812">
                  <c:v>45317</c:v>
                </c:pt>
                <c:pt idx="813">
                  <c:v>45320</c:v>
                </c:pt>
                <c:pt idx="814">
                  <c:v>45321</c:v>
                </c:pt>
                <c:pt idx="815">
                  <c:v>45322</c:v>
                </c:pt>
                <c:pt idx="816">
                  <c:v>45323</c:v>
                </c:pt>
                <c:pt idx="817">
                  <c:v>45324</c:v>
                </c:pt>
                <c:pt idx="818">
                  <c:v>45327</c:v>
                </c:pt>
                <c:pt idx="819">
                  <c:v>45328</c:v>
                </c:pt>
                <c:pt idx="820">
                  <c:v>45329</c:v>
                </c:pt>
                <c:pt idx="821">
                  <c:v>45330</c:v>
                </c:pt>
                <c:pt idx="822">
                  <c:v>45331</c:v>
                </c:pt>
                <c:pt idx="823">
                  <c:v>45334</c:v>
                </c:pt>
                <c:pt idx="824">
                  <c:v>45335</c:v>
                </c:pt>
                <c:pt idx="825">
                  <c:v>45336</c:v>
                </c:pt>
                <c:pt idx="826">
                  <c:v>45337</c:v>
                </c:pt>
                <c:pt idx="827">
                  <c:v>45338</c:v>
                </c:pt>
                <c:pt idx="828">
                  <c:v>45342</c:v>
                </c:pt>
                <c:pt idx="829">
                  <c:v>45343</c:v>
                </c:pt>
                <c:pt idx="830">
                  <c:v>45344</c:v>
                </c:pt>
                <c:pt idx="831">
                  <c:v>45345</c:v>
                </c:pt>
                <c:pt idx="832">
                  <c:v>45348</c:v>
                </c:pt>
                <c:pt idx="833">
                  <c:v>45349</c:v>
                </c:pt>
                <c:pt idx="834">
                  <c:v>45350</c:v>
                </c:pt>
                <c:pt idx="835">
                  <c:v>45351</c:v>
                </c:pt>
                <c:pt idx="836">
                  <c:v>45352</c:v>
                </c:pt>
                <c:pt idx="837">
                  <c:v>45355</c:v>
                </c:pt>
                <c:pt idx="838">
                  <c:v>45356</c:v>
                </c:pt>
                <c:pt idx="839">
                  <c:v>45357</c:v>
                </c:pt>
                <c:pt idx="840">
                  <c:v>45358</c:v>
                </c:pt>
                <c:pt idx="841">
                  <c:v>45359</c:v>
                </c:pt>
                <c:pt idx="842">
                  <c:v>45362</c:v>
                </c:pt>
                <c:pt idx="843">
                  <c:v>45363</c:v>
                </c:pt>
                <c:pt idx="844">
                  <c:v>45364</c:v>
                </c:pt>
                <c:pt idx="845">
                  <c:v>45365</c:v>
                </c:pt>
                <c:pt idx="846">
                  <c:v>45366</c:v>
                </c:pt>
                <c:pt idx="847">
                  <c:v>45369</c:v>
                </c:pt>
                <c:pt idx="848">
                  <c:v>45370</c:v>
                </c:pt>
                <c:pt idx="849">
                  <c:v>45371</c:v>
                </c:pt>
                <c:pt idx="850">
                  <c:v>45372</c:v>
                </c:pt>
                <c:pt idx="851">
                  <c:v>45373</c:v>
                </c:pt>
                <c:pt idx="852">
                  <c:v>45376</c:v>
                </c:pt>
                <c:pt idx="853">
                  <c:v>45377</c:v>
                </c:pt>
                <c:pt idx="854">
                  <c:v>45378</c:v>
                </c:pt>
                <c:pt idx="855">
                  <c:v>45379</c:v>
                </c:pt>
                <c:pt idx="856">
                  <c:v>45383</c:v>
                </c:pt>
                <c:pt idx="857">
                  <c:v>45384</c:v>
                </c:pt>
                <c:pt idx="858">
                  <c:v>45385</c:v>
                </c:pt>
                <c:pt idx="859">
                  <c:v>45386</c:v>
                </c:pt>
                <c:pt idx="860">
                  <c:v>45387</c:v>
                </c:pt>
                <c:pt idx="861">
                  <c:v>45390</c:v>
                </c:pt>
                <c:pt idx="862">
                  <c:v>45391</c:v>
                </c:pt>
                <c:pt idx="863">
                  <c:v>45392</c:v>
                </c:pt>
                <c:pt idx="864">
                  <c:v>45393</c:v>
                </c:pt>
                <c:pt idx="865">
                  <c:v>45394</c:v>
                </c:pt>
                <c:pt idx="866">
                  <c:v>45397</c:v>
                </c:pt>
                <c:pt idx="867">
                  <c:v>45398</c:v>
                </c:pt>
                <c:pt idx="868">
                  <c:v>45399</c:v>
                </c:pt>
                <c:pt idx="869">
                  <c:v>45400</c:v>
                </c:pt>
                <c:pt idx="870">
                  <c:v>45401</c:v>
                </c:pt>
                <c:pt idx="871">
                  <c:v>45404</c:v>
                </c:pt>
                <c:pt idx="872">
                  <c:v>45405</c:v>
                </c:pt>
                <c:pt idx="873">
                  <c:v>45406</c:v>
                </c:pt>
                <c:pt idx="874">
                  <c:v>45407</c:v>
                </c:pt>
                <c:pt idx="875">
                  <c:v>45408</c:v>
                </c:pt>
                <c:pt idx="876">
                  <c:v>45411</c:v>
                </c:pt>
                <c:pt idx="877">
                  <c:v>45412</c:v>
                </c:pt>
                <c:pt idx="878">
                  <c:v>45413</c:v>
                </c:pt>
                <c:pt idx="879">
                  <c:v>45414</c:v>
                </c:pt>
                <c:pt idx="880">
                  <c:v>45415</c:v>
                </c:pt>
                <c:pt idx="881">
                  <c:v>45418</c:v>
                </c:pt>
                <c:pt idx="882">
                  <c:v>45419</c:v>
                </c:pt>
                <c:pt idx="883">
                  <c:v>45420</c:v>
                </c:pt>
                <c:pt idx="884">
                  <c:v>45421</c:v>
                </c:pt>
                <c:pt idx="885">
                  <c:v>45422</c:v>
                </c:pt>
                <c:pt idx="886">
                  <c:v>45425</c:v>
                </c:pt>
                <c:pt idx="887">
                  <c:v>45426</c:v>
                </c:pt>
                <c:pt idx="888">
                  <c:v>45427</c:v>
                </c:pt>
                <c:pt idx="889">
                  <c:v>45428</c:v>
                </c:pt>
                <c:pt idx="890">
                  <c:v>45429</c:v>
                </c:pt>
                <c:pt idx="891">
                  <c:v>45432</c:v>
                </c:pt>
                <c:pt idx="892">
                  <c:v>45433</c:v>
                </c:pt>
                <c:pt idx="893">
                  <c:v>45434</c:v>
                </c:pt>
                <c:pt idx="894">
                  <c:v>45435</c:v>
                </c:pt>
                <c:pt idx="895">
                  <c:v>45436</c:v>
                </c:pt>
                <c:pt idx="896">
                  <c:v>45440</c:v>
                </c:pt>
                <c:pt idx="897">
                  <c:v>45441</c:v>
                </c:pt>
                <c:pt idx="898">
                  <c:v>45442</c:v>
                </c:pt>
                <c:pt idx="899">
                  <c:v>45443</c:v>
                </c:pt>
                <c:pt idx="900">
                  <c:v>45446</c:v>
                </c:pt>
                <c:pt idx="901">
                  <c:v>45447</c:v>
                </c:pt>
                <c:pt idx="902">
                  <c:v>45448</c:v>
                </c:pt>
                <c:pt idx="903">
                  <c:v>45449</c:v>
                </c:pt>
                <c:pt idx="904">
                  <c:v>45450</c:v>
                </c:pt>
                <c:pt idx="905">
                  <c:v>45453</c:v>
                </c:pt>
                <c:pt idx="906">
                  <c:v>45454</c:v>
                </c:pt>
                <c:pt idx="907">
                  <c:v>45455</c:v>
                </c:pt>
                <c:pt idx="908">
                  <c:v>45456</c:v>
                </c:pt>
                <c:pt idx="909">
                  <c:v>45457</c:v>
                </c:pt>
                <c:pt idx="910">
                  <c:v>45460</c:v>
                </c:pt>
                <c:pt idx="911">
                  <c:v>45461</c:v>
                </c:pt>
                <c:pt idx="912">
                  <c:v>45463</c:v>
                </c:pt>
                <c:pt idx="913">
                  <c:v>45464</c:v>
                </c:pt>
                <c:pt idx="914">
                  <c:v>45467</c:v>
                </c:pt>
                <c:pt idx="915">
                  <c:v>45468</c:v>
                </c:pt>
                <c:pt idx="916">
                  <c:v>45469</c:v>
                </c:pt>
                <c:pt idx="917">
                  <c:v>45470</c:v>
                </c:pt>
                <c:pt idx="918">
                  <c:v>45471</c:v>
                </c:pt>
                <c:pt idx="919">
                  <c:v>45474</c:v>
                </c:pt>
                <c:pt idx="920">
                  <c:v>45475</c:v>
                </c:pt>
                <c:pt idx="921">
                  <c:v>45476</c:v>
                </c:pt>
                <c:pt idx="922">
                  <c:v>45478</c:v>
                </c:pt>
                <c:pt idx="923">
                  <c:v>45481</c:v>
                </c:pt>
                <c:pt idx="924">
                  <c:v>45482</c:v>
                </c:pt>
                <c:pt idx="925">
                  <c:v>45483</c:v>
                </c:pt>
                <c:pt idx="926">
                  <c:v>45484</c:v>
                </c:pt>
                <c:pt idx="927">
                  <c:v>45485</c:v>
                </c:pt>
                <c:pt idx="928">
                  <c:v>45488</c:v>
                </c:pt>
                <c:pt idx="929">
                  <c:v>45489</c:v>
                </c:pt>
                <c:pt idx="930">
                  <c:v>45490</c:v>
                </c:pt>
                <c:pt idx="931">
                  <c:v>45491</c:v>
                </c:pt>
                <c:pt idx="932">
                  <c:v>45492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45502</c:v>
                </c:pt>
                <c:pt idx="939">
                  <c:v>45503</c:v>
                </c:pt>
                <c:pt idx="940">
                  <c:v>45504</c:v>
                </c:pt>
                <c:pt idx="941">
                  <c:v>45505</c:v>
                </c:pt>
                <c:pt idx="942">
                  <c:v>45506</c:v>
                </c:pt>
                <c:pt idx="943">
                  <c:v>45509</c:v>
                </c:pt>
                <c:pt idx="944">
                  <c:v>45510</c:v>
                </c:pt>
                <c:pt idx="945">
                  <c:v>45511</c:v>
                </c:pt>
                <c:pt idx="946">
                  <c:v>45512</c:v>
                </c:pt>
                <c:pt idx="947">
                  <c:v>45513</c:v>
                </c:pt>
                <c:pt idx="948">
                  <c:v>45516</c:v>
                </c:pt>
                <c:pt idx="949">
                  <c:v>45517</c:v>
                </c:pt>
                <c:pt idx="950">
                  <c:v>45518</c:v>
                </c:pt>
                <c:pt idx="951">
                  <c:v>45519</c:v>
                </c:pt>
                <c:pt idx="952">
                  <c:v>45520</c:v>
                </c:pt>
                <c:pt idx="953">
                  <c:v>45523</c:v>
                </c:pt>
                <c:pt idx="954">
                  <c:v>45524</c:v>
                </c:pt>
                <c:pt idx="955">
                  <c:v>45525</c:v>
                </c:pt>
                <c:pt idx="956">
                  <c:v>45526</c:v>
                </c:pt>
                <c:pt idx="957">
                  <c:v>45527</c:v>
                </c:pt>
                <c:pt idx="958">
                  <c:v>45530</c:v>
                </c:pt>
                <c:pt idx="959">
                  <c:v>45531</c:v>
                </c:pt>
                <c:pt idx="960">
                  <c:v>45532</c:v>
                </c:pt>
                <c:pt idx="961">
                  <c:v>45533</c:v>
                </c:pt>
                <c:pt idx="962">
                  <c:v>45534</c:v>
                </c:pt>
                <c:pt idx="963">
                  <c:v>45538</c:v>
                </c:pt>
                <c:pt idx="964">
                  <c:v>45539</c:v>
                </c:pt>
                <c:pt idx="965">
                  <c:v>45540</c:v>
                </c:pt>
                <c:pt idx="966">
                  <c:v>45541</c:v>
                </c:pt>
                <c:pt idx="967">
                  <c:v>45544</c:v>
                </c:pt>
                <c:pt idx="968">
                  <c:v>45545</c:v>
                </c:pt>
                <c:pt idx="969">
                  <c:v>45546</c:v>
                </c:pt>
                <c:pt idx="970">
                  <c:v>45547</c:v>
                </c:pt>
                <c:pt idx="971">
                  <c:v>45548</c:v>
                </c:pt>
                <c:pt idx="972">
                  <c:v>45551</c:v>
                </c:pt>
                <c:pt idx="973">
                  <c:v>45552</c:v>
                </c:pt>
                <c:pt idx="974">
                  <c:v>45553</c:v>
                </c:pt>
                <c:pt idx="975">
                  <c:v>45554</c:v>
                </c:pt>
                <c:pt idx="976">
                  <c:v>45555</c:v>
                </c:pt>
                <c:pt idx="977">
                  <c:v>45558</c:v>
                </c:pt>
                <c:pt idx="978">
                  <c:v>45559</c:v>
                </c:pt>
                <c:pt idx="979">
                  <c:v>45560</c:v>
                </c:pt>
                <c:pt idx="980">
                  <c:v>45561</c:v>
                </c:pt>
                <c:pt idx="981">
                  <c:v>45562</c:v>
                </c:pt>
                <c:pt idx="982">
                  <c:v>45565</c:v>
                </c:pt>
                <c:pt idx="983">
                  <c:v>45566</c:v>
                </c:pt>
                <c:pt idx="984">
                  <c:v>45567</c:v>
                </c:pt>
                <c:pt idx="985">
                  <c:v>45568</c:v>
                </c:pt>
                <c:pt idx="986">
                  <c:v>45569</c:v>
                </c:pt>
                <c:pt idx="987">
                  <c:v>45572</c:v>
                </c:pt>
                <c:pt idx="988">
                  <c:v>45573</c:v>
                </c:pt>
                <c:pt idx="989">
                  <c:v>45574</c:v>
                </c:pt>
                <c:pt idx="990">
                  <c:v>45575</c:v>
                </c:pt>
                <c:pt idx="991">
                  <c:v>45576</c:v>
                </c:pt>
                <c:pt idx="992">
                  <c:v>45579</c:v>
                </c:pt>
                <c:pt idx="993">
                  <c:v>45580</c:v>
                </c:pt>
                <c:pt idx="994">
                  <c:v>45581</c:v>
                </c:pt>
                <c:pt idx="995">
                  <c:v>45582</c:v>
                </c:pt>
                <c:pt idx="996">
                  <c:v>45583</c:v>
                </c:pt>
                <c:pt idx="997">
                  <c:v>45586</c:v>
                </c:pt>
                <c:pt idx="998">
                  <c:v>45587</c:v>
                </c:pt>
                <c:pt idx="999">
                  <c:v>45588</c:v>
                </c:pt>
                <c:pt idx="1000">
                  <c:v>45589</c:v>
                </c:pt>
                <c:pt idx="1001">
                  <c:v>45590</c:v>
                </c:pt>
                <c:pt idx="1002">
                  <c:v>45593</c:v>
                </c:pt>
                <c:pt idx="1003">
                  <c:v>45594</c:v>
                </c:pt>
                <c:pt idx="1004">
                  <c:v>45595</c:v>
                </c:pt>
                <c:pt idx="1005">
                  <c:v>45596</c:v>
                </c:pt>
                <c:pt idx="1006">
                  <c:v>45597</c:v>
                </c:pt>
                <c:pt idx="1007">
                  <c:v>45600</c:v>
                </c:pt>
                <c:pt idx="1008">
                  <c:v>45601</c:v>
                </c:pt>
                <c:pt idx="1009">
                  <c:v>45602</c:v>
                </c:pt>
                <c:pt idx="1010">
                  <c:v>45603</c:v>
                </c:pt>
                <c:pt idx="1011">
                  <c:v>45604</c:v>
                </c:pt>
                <c:pt idx="1012">
                  <c:v>45607</c:v>
                </c:pt>
                <c:pt idx="1013">
                  <c:v>45608</c:v>
                </c:pt>
                <c:pt idx="1014">
                  <c:v>45609</c:v>
                </c:pt>
                <c:pt idx="1015">
                  <c:v>45610</c:v>
                </c:pt>
                <c:pt idx="1016">
                  <c:v>45611</c:v>
                </c:pt>
                <c:pt idx="1017">
                  <c:v>45614</c:v>
                </c:pt>
                <c:pt idx="1018">
                  <c:v>45615</c:v>
                </c:pt>
                <c:pt idx="1019">
                  <c:v>45616</c:v>
                </c:pt>
                <c:pt idx="1020">
                  <c:v>45617</c:v>
                </c:pt>
                <c:pt idx="1021">
                  <c:v>45618</c:v>
                </c:pt>
                <c:pt idx="1022">
                  <c:v>45621</c:v>
                </c:pt>
                <c:pt idx="1023">
                  <c:v>45622</c:v>
                </c:pt>
                <c:pt idx="1024">
                  <c:v>45623</c:v>
                </c:pt>
                <c:pt idx="1025">
                  <c:v>45625</c:v>
                </c:pt>
                <c:pt idx="1026">
                  <c:v>45628</c:v>
                </c:pt>
                <c:pt idx="1027">
                  <c:v>45629</c:v>
                </c:pt>
                <c:pt idx="1028">
                  <c:v>45630</c:v>
                </c:pt>
                <c:pt idx="1029">
                  <c:v>45631</c:v>
                </c:pt>
                <c:pt idx="1030">
                  <c:v>45632</c:v>
                </c:pt>
                <c:pt idx="1031">
                  <c:v>45635</c:v>
                </c:pt>
                <c:pt idx="1032">
                  <c:v>45636</c:v>
                </c:pt>
                <c:pt idx="1033">
                  <c:v>45637</c:v>
                </c:pt>
                <c:pt idx="1034">
                  <c:v>45638</c:v>
                </c:pt>
                <c:pt idx="1035">
                  <c:v>45639</c:v>
                </c:pt>
                <c:pt idx="1036">
                  <c:v>45642</c:v>
                </c:pt>
                <c:pt idx="1037">
                  <c:v>45643</c:v>
                </c:pt>
                <c:pt idx="1038">
                  <c:v>45644</c:v>
                </c:pt>
                <c:pt idx="1039">
                  <c:v>45645</c:v>
                </c:pt>
                <c:pt idx="1040">
                  <c:v>45646</c:v>
                </c:pt>
                <c:pt idx="1041">
                  <c:v>45649</c:v>
                </c:pt>
                <c:pt idx="1042">
                  <c:v>45650</c:v>
                </c:pt>
                <c:pt idx="1043">
                  <c:v>45652</c:v>
                </c:pt>
                <c:pt idx="1044">
                  <c:v>45653</c:v>
                </c:pt>
                <c:pt idx="1045">
                  <c:v>45656</c:v>
                </c:pt>
                <c:pt idx="1046">
                  <c:v>45657</c:v>
                </c:pt>
                <c:pt idx="1047">
                  <c:v>45659</c:v>
                </c:pt>
                <c:pt idx="1048">
                  <c:v>45660</c:v>
                </c:pt>
                <c:pt idx="1049">
                  <c:v>45663</c:v>
                </c:pt>
                <c:pt idx="1050">
                  <c:v>45664</c:v>
                </c:pt>
                <c:pt idx="1051">
                  <c:v>45665</c:v>
                </c:pt>
                <c:pt idx="1052">
                  <c:v>45667</c:v>
                </c:pt>
                <c:pt idx="1053">
                  <c:v>45670</c:v>
                </c:pt>
                <c:pt idx="1054">
                  <c:v>45671</c:v>
                </c:pt>
                <c:pt idx="1055">
                  <c:v>45672</c:v>
                </c:pt>
                <c:pt idx="1056">
                  <c:v>45673</c:v>
                </c:pt>
                <c:pt idx="1057">
                  <c:v>45674</c:v>
                </c:pt>
                <c:pt idx="1058">
                  <c:v>45678</c:v>
                </c:pt>
                <c:pt idx="1059">
                  <c:v>45679</c:v>
                </c:pt>
                <c:pt idx="1060">
                  <c:v>45680</c:v>
                </c:pt>
                <c:pt idx="1061">
                  <c:v>45681</c:v>
                </c:pt>
                <c:pt idx="1062">
                  <c:v>45684</c:v>
                </c:pt>
                <c:pt idx="1063">
                  <c:v>45685</c:v>
                </c:pt>
                <c:pt idx="1064">
                  <c:v>45686</c:v>
                </c:pt>
                <c:pt idx="1065">
                  <c:v>45687</c:v>
                </c:pt>
                <c:pt idx="1066">
                  <c:v>45688</c:v>
                </c:pt>
                <c:pt idx="1067">
                  <c:v>45691</c:v>
                </c:pt>
                <c:pt idx="1068">
                  <c:v>45692</c:v>
                </c:pt>
                <c:pt idx="1069">
                  <c:v>45693</c:v>
                </c:pt>
                <c:pt idx="1070">
                  <c:v>45694</c:v>
                </c:pt>
                <c:pt idx="1071">
                  <c:v>45695</c:v>
                </c:pt>
                <c:pt idx="1072">
                  <c:v>45698</c:v>
                </c:pt>
                <c:pt idx="1073">
                  <c:v>45699</c:v>
                </c:pt>
                <c:pt idx="1074">
                  <c:v>45700</c:v>
                </c:pt>
                <c:pt idx="1075">
                  <c:v>45701</c:v>
                </c:pt>
                <c:pt idx="1076">
                  <c:v>45702</c:v>
                </c:pt>
                <c:pt idx="1077">
                  <c:v>45706</c:v>
                </c:pt>
                <c:pt idx="1078">
                  <c:v>45707</c:v>
                </c:pt>
                <c:pt idx="1079">
                  <c:v>45708</c:v>
                </c:pt>
                <c:pt idx="1080">
                  <c:v>45709</c:v>
                </c:pt>
                <c:pt idx="1081">
                  <c:v>45712</c:v>
                </c:pt>
                <c:pt idx="1082">
                  <c:v>45713</c:v>
                </c:pt>
                <c:pt idx="1083">
                  <c:v>45714</c:v>
                </c:pt>
                <c:pt idx="1084">
                  <c:v>45715</c:v>
                </c:pt>
                <c:pt idx="1085">
                  <c:v>45716</c:v>
                </c:pt>
                <c:pt idx="1086">
                  <c:v>45719</c:v>
                </c:pt>
                <c:pt idx="1087">
                  <c:v>45720</c:v>
                </c:pt>
                <c:pt idx="1088">
                  <c:v>45721</c:v>
                </c:pt>
                <c:pt idx="1089">
                  <c:v>45722</c:v>
                </c:pt>
                <c:pt idx="1090">
                  <c:v>45723</c:v>
                </c:pt>
                <c:pt idx="1091">
                  <c:v>45726</c:v>
                </c:pt>
                <c:pt idx="1092">
                  <c:v>45727</c:v>
                </c:pt>
                <c:pt idx="1093">
                  <c:v>45728</c:v>
                </c:pt>
                <c:pt idx="1094">
                  <c:v>45729</c:v>
                </c:pt>
                <c:pt idx="1095">
                  <c:v>45730</c:v>
                </c:pt>
                <c:pt idx="1096">
                  <c:v>45733</c:v>
                </c:pt>
                <c:pt idx="1097">
                  <c:v>45734</c:v>
                </c:pt>
                <c:pt idx="1098">
                  <c:v>45735</c:v>
                </c:pt>
                <c:pt idx="1099">
                  <c:v>45736</c:v>
                </c:pt>
                <c:pt idx="1100">
                  <c:v>45737</c:v>
                </c:pt>
                <c:pt idx="1101">
                  <c:v>45740</c:v>
                </c:pt>
                <c:pt idx="1102">
                  <c:v>45741</c:v>
                </c:pt>
                <c:pt idx="1103">
                  <c:v>45742</c:v>
                </c:pt>
                <c:pt idx="1104">
                  <c:v>45743</c:v>
                </c:pt>
                <c:pt idx="1105">
                  <c:v>45744</c:v>
                </c:pt>
                <c:pt idx="1106">
                  <c:v>45747</c:v>
                </c:pt>
                <c:pt idx="1107">
                  <c:v>45748</c:v>
                </c:pt>
                <c:pt idx="1108">
                  <c:v>45749</c:v>
                </c:pt>
                <c:pt idx="1109">
                  <c:v>45750</c:v>
                </c:pt>
                <c:pt idx="1110">
                  <c:v>45751</c:v>
                </c:pt>
                <c:pt idx="1111">
                  <c:v>45754</c:v>
                </c:pt>
                <c:pt idx="1112">
                  <c:v>45755</c:v>
                </c:pt>
                <c:pt idx="1113">
                  <c:v>45756</c:v>
                </c:pt>
                <c:pt idx="1114">
                  <c:v>45757</c:v>
                </c:pt>
                <c:pt idx="1115">
                  <c:v>45758</c:v>
                </c:pt>
                <c:pt idx="1116">
                  <c:v>45761</c:v>
                </c:pt>
                <c:pt idx="1117">
                  <c:v>45762</c:v>
                </c:pt>
                <c:pt idx="1118">
                  <c:v>45763</c:v>
                </c:pt>
                <c:pt idx="1119">
                  <c:v>45764</c:v>
                </c:pt>
                <c:pt idx="1120">
                  <c:v>45768</c:v>
                </c:pt>
                <c:pt idx="1121">
                  <c:v>45769</c:v>
                </c:pt>
                <c:pt idx="1122">
                  <c:v>45770</c:v>
                </c:pt>
                <c:pt idx="1123">
                  <c:v>45771</c:v>
                </c:pt>
                <c:pt idx="1124">
                  <c:v>45772</c:v>
                </c:pt>
                <c:pt idx="1125">
                  <c:v>45775</c:v>
                </c:pt>
                <c:pt idx="1126">
                  <c:v>45776</c:v>
                </c:pt>
                <c:pt idx="1127">
                  <c:v>45777</c:v>
                </c:pt>
                <c:pt idx="1128">
                  <c:v>45778</c:v>
                </c:pt>
                <c:pt idx="1129">
                  <c:v>45779</c:v>
                </c:pt>
                <c:pt idx="1130">
                  <c:v>45782</c:v>
                </c:pt>
                <c:pt idx="1131">
                  <c:v>45783</c:v>
                </c:pt>
                <c:pt idx="1132">
                  <c:v>45784</c:v>
                </c:pt>
                <c:pt idx="1133">
                  <c:v>45785</c:v>
                </c:pt>
                <c:pt idx="1134">
                  <c:v>45786</c:v>
                </c:pt>
                <c:pt idx="1135">
                  <c:v>45789</c:v>
                </c:pt>
                <c:pt idx="1136">
                  <c:v>45790</c:v>
                </c:pt>
                <c:pt idx="1137">
                  <c:v>45791</c:v>
                </c:pt>
                <c:pt idx="1138">
                  <c:v>45792</c:v>
                </c:pt>
                <c:pt idx="1139">
                  <c:v>45793</c:v>
                </c:pt>
                <c:pt idx="1140">
                  <c:v>45796</c:v>
                </c:pt>
                <c:pt idx="1141">
                  <c:v>45797</c:v>
                </c:pt>
                <c:pt idx="1142">
                  <c:v>45798</c:v>
                </c:pt>
                <c:pt idx="1143">
                  <c:v>45799</c:v>
                </c:pt>
                <c:pt idx="1144">
                  <c:v>45800</c:v>
                </c:pt>
                <c:pt idx="1145">
                  <c:v>45804</c:v>
                </c:pt>
                <c:pt idx="1146">
                  <c:v>45805</c:v>
                </c:pt>
                <c:pt idx="1147">
                  <c:v>45806</c:v>
                </c:pt>
                <c:pt idx="1148">
                  <c:v>45807</c:v>
                </c:pt>
                <c:pt idx="1149">
                  <c:v>45810</c:v>
                </c:pt>
                <c:pt idx="1150">
                  <c:v>45811</c:v>
                </c:pt>
                <c:pt idx="1151">
                  <c:v>45812</c:v>
                </c:pt>
                <c:pt idx="1152">
                  <c:v>45813</c:v>
                </c:pt>
                <c:pt idx="1153">
                  <c:v>45814</c:v>
                </c:pt>
                <c:pt idx="1154">
                  <c:v>45817</c:v>
                </c:pt>
                <c:pt idx="1155">
                  <c:v>45818</c:v>
                </c:pt>
                <c:pt idx="1156">
                  <c:v>45819</c:v>
                </c:pt>
                <c:pt idx="1157">
                  <c:v>45820</c:v>
                </c:pt>
                <c:pt idx="1158">
                  <c:v>45821</c:v>
                </c:pt>
                <c:pt idx="1159">
                  <c:v>45824</c:v>
                </c:pt>
                <c:pt idx="1160">
                  <c:v>45825</c:v>
                </c:pt>
                <c:pt idx="1161">
                  <c:v>45826</c:v>
                </c:pt>
                <c:pt idx="1162">
                  <c:v>45828</c:v>
                </c:pt>
                <c:pt idx="1163">
                  <c:v>45831</c:v>
                </c:pt>
                <c:pt idx="1164">
                  <c:v>45832</c:v>
                </c:pt>
                <c:pt idx="1165">
                  <c:v>45833</c:v>
                </c:pt>
                <c:pt idx="1166">
                  <c:v>45834</c:v>
                </c:pt>
                <c:pt idx="1167">
                  <c:v>45835</c:v>
                </c:pt>
                <c:pt idx="1168">
                  <c:v>45838</c:v>
                </c:pt>
                <c:pt idx="1169">
                  <c:v>45839</c:v>
                </c:pt>
                <c:pt idx="1170">
                  <c:v>45840</c:v>
                </c:pt>
                <c:pt idx="1171">
                  <c:v>45841</c:v>
                </c:pt>
                <c:pt idx="1172">
                  <c:v>45845</c:v>
                </c:pt>
                <c:pt idx="1173">
                  <c:v>45846</c:v>
                </c:pt>
                <c:pt idx="1174">
                  <c:v>45847</c:v>
                </c:pt>
                <c:pt idx="1175">
                  <c:v>45848</c:v>
                </c:pt>
                <c:pt idx="1176">
                  <c:v>45849</c:v>
                </c:pt>
                <c:pt idx="1177">
                  <c:v>45852</c:v>
                </c:pt>
                <c:pt idx="1178">
                  <c:v>45853</c:v>
                </c:pt>
                <c:pt idx="1179">
                  <c:v>45854</c:v>
                </c:pt>
                <c:pt idx="1180">
                  <c:v>45855</c:v>
                </c:pt>
                <c:pt idx="1181">
                  <c:v>45856</c:v>
                </c:pt>
                <c:pt idx="1182">
                  <c:v>45859</c:v>
                </c:pt>
                <c:pt idx="1183">
                  <c:v>45860</c:v>
                </c:pt>
                <c:pt idx="1184">
                  <c:v>45861</c:v>
                </c:pt>
                <c:pt idx="1185">
                  <c:v>45862</c:v>
                </c:pt>
                <c:pt idx="1186">
                  <c:v>45863</c:v>
                </c:pt>
                <c:pt idx="1187">
                  <c:v>45866</c:v>
                </c:pt>
                <c:pt idx="1188">
                  <c:v>45867</c:v>
                </c:pt>
                <c:pt idx="1189">
                  <c:v>45868</c:v>
                </c:pt>
                <c:pt idx="1190">
                  <c:v>45869</c:v>
                </c:pt>
                <c:pt idx="1191">
                  <c:v>45870</c:v>
                </c:pt>
                <c:pt idx="1192">
                  <c:v>45873</c:v>
                </c:pt>
                <c:pt idx="1193">
                  <c:v>45874</c:v>
                </c:pt>
                <c:pt idx="1194">
                  <c:v>45875</c:v>
                </c:pt>
                <c:pt idx="1195">
                  <c:v>45876</c:v>
                </c:pt>
                <c:pt idx="1196">
                  <c:v>45877</c:v>
                </c:pt>
                <c:pt idx="1197">
                  <c:v>45880</c:v>
                </c:pt>
                <c:pt idx="1198">
                  <c:v>45881</c:v>
                </c:pt>
                <c:pt idx="1199">
                  <c:v>45882</c:v>
                </c:pt>
                <c:pt idx="1200">
                  <c:v>45883</c:v>
                </c:pt>
                <c:pt idx="1201">
                  <c:v>45884</c:v>
                </c:pt>
                <c:pt idx="1202">
                  <c:v>45887</c:v>
                </c:pt>
                <c:pt idx="1203">
                  <c:v>45888</c:v>
                </c:pt>
                <c:pt idx="1204">
                  <c:v>45889</c:v>
                </c:pt>
                <c:pt idx="1205">
                  <c:v>45890</c:v>
                </c:pt>
                <c:pt idx="1206">
                  <c:v>45891</c:v>
                </c:pt>
                <c:pt idx="1207">
                  <c:v>45894</c:v>
                </c:pt>
                <c:pt idx="1208">
                  <c:v>45895</c:v>
                </c:pt>
                <c:pt idx="1209">
                  <c:v>45896</c:v>
                </c:pt>
                <c:pt idx="1210">
                  <c:v>45897</c:v>
                </c:pt>
                <c:pt idx="1211">
                  <c:v>45898</c:v>
                </c:pt>
                <c:pt idx="1212">
                  <c:v>45902</c:v>
                </c:pt>
                <c:pt idx="1213">
                  <c:v>45903</c:v>
                </c:pt>
                <c:pt idx="1214">
                  <c:v>45904</c:v>
                </c:pt>
                <c:pt idx="1215">
                  <c:v>45905</c:v>
                </c:pt>
                <c:pt idx="1216">
                  <c:v>45908</c:v>
                </c:pt>
                <c:pt idx="1217">
                  <c:v>45909</c:v>
                </c:pt>
                <c:pt idx="1218">
                  <c:v>45910</c:v>
                </c:pt>
                <c:pt idx="1219">
                  <c:v>45911</c:v>
                </c:pt>
                <c:pt idx="1220">
                  <c:v>45912</c:v>
                </c:pt>
                <c:pt idx="1221">
                  <c:v>45915</c:v>
                </c:pt>
                <c:pt idx="1222">
                  <c:v>45916</c:v>
                </c:pt>
                <c:pt idx="1223">
                  <c:v>45917</c:v>
                </c:pt>
                <c:pt idx="1224">
                  <c:v>45918</c:v>
                </c:pt>
                <c:pt idx="1225">
                  <c:v>45919</c:v>
                </c:pt>
                <c:pt idx="1226">
                  <c:v>45922</c:v>
                </c:pt>
                <c:pt idx="1227">
                  <c:v>45923</c:v>
                </c:pt>
                <c:pt idx="1228">
                  <c:v>45924</c:v>
                </c:pt>
                <c:pt idx="1229">
                  <c:v>45925</c:v>
                </c:pt>
                <c:pt idx="1230">
                  <c:v>45926</c:v>
                </c:pt>
                <c:pt idx="1231">
                  <c:v>45929</c:v>
                </c:pt>
                <c:pt idx="1232">
                  <c:v>45930</c:v>
                </c:pt>
                <c:pt idx="1233">
                  <c:v>45931</c:v>
                </c:pt>
                <c:pt idx="1234">
                  <c:v>45932</c:v>
                </c:pt>
                <c:pt idx="1235">
                  <c:v>45933</c:v>
                </c:pt>
                <c:pt idx="1236">
                  <c:v>45936</c:v>
                </c:pt>
                <c:pt idx="1237">
                  <c:v>45937</c:v>
                </c:pt>
                <c:pt idx="1238">
                  <c:v>45938</c:v>
                </c:pt>
                <c:pt idx="1239">
                  <c:v>45939</c:v>
                </c:pt>
                <c:pt idx="1240">
                  <c:v>45940</c:v>
                </c:pt>
                <c:pt idx="1241">
                  <c:v>45943</c:v>
                </c:pt>
                <c:pt idx="1242">
                  <c:v>45944</c:v>
                </c:pt>
                <c:pt idx="1243">
                  <c:v>45945</c:v>
                </c:pt>
                <c:pt idx="1244">
                  <c:v>45946</c:v>
                </c:pt>
                <c:pt idx="1245">
                  <c:v>45947</c:v>
                </c:pt>
                <c:pt idx="1246">
                  <c:v>45950</c:v>
                </c:pt>
                <c:pt idx="1247">
                  <c:v>45951</c:v>
                </c:pt>
                <c:pt idx="1248">
                  <c:v>45952</c:v>
                </c:pt>
                <c:pt idx="1249">
                  <c:v>45953</c:v>
                </c:pt>
                <c:pt idx="1250">
                  <c:v>45954</c:v>
                </c:pt>
                <c:pt idx="1251">
                  <c:v>45957</c:v>
                </c:pt>
                <c:pt idx="1252">
                  <c:v>45958</c:v>
                </c:pt>
                <c:pt idx="1253">
                  <c:v>45959</c:v>
                </c:pt>
                <c:pt idx="1254">
                  <c:v>45960</c:v>
                </c:pt>
                <c:pt idx="1255">
                  <c:v>45961</c:v>
                </c:pt>
              </c:numCache>
            </c:numRef>
          </c:cat>
          <c:val>
            <c:numRef>
              <c:f>'Data Analysis Addin'!$C$3:$C$1258</c:f>
              <c:numCache>
                <c:formatCode>General</c:formatCode>
                <c:ptCount val="125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 formatCode="_-[$$-409]* #,##0.00_ ;_-[$$-409]* \-#,##0.00\ ;_-[$$-409]* &quot;-&quot;??_ ;_-@_ ">
                  <c:v>364.30359999999996</c:v>
                </c:pt>
                <c:pt idx="50" formatCode="_-[$$-409]* #,##0.00_ ;_-[$$-409]* \-#,##0.00\ ;_-[$$-409]* &quot;-&quot;??_ ;_-@_ ">
                  <c:v>365.2688</c:v>
                </c:pt>
                <c:pt idx="51" formatCode="_-[$$-409]* #,##0.00_ ;_-[$$-409]* \-#,##0.00\ ;_-[$$-409]* &quot;-&quot;??_ ;_-@_ ">
                  <c:v>366.06219999999996</c:v>
                </c:pt>
                <c:pt idx="52" formatCode="_-[$$-409]* #,##0.00_ ;_-[$$-409]* \-#,##0.00\ ;_-[$$-409]* &quot;-&quot;??_ ;_-@_ ">
                  <c:v>366.76440000000002</c:v>
                </c:pt>
                <c:pt idx="53" formatCode="_-[$$-409]* #,##0.00_ ;_-[$$-409]* \-#,##0.00\ ;_-[$$-409]* &quot;-&quot;??_ ;_-@_ ">
                  <c:v>367.43739999999997</c:v>
                </c:pt>
                <c:pt idx="54" formatCode="_-[$$-409]* #,##0.00_ ;_-[$$-409]* \-#,##0.00\ ;_-[$$-409]* &quot;-&quot;??_ ;_-@_ ">
                  <c:v>368.11900000000003</c:v>
                </c:pt>
                <c:pt idx="55" formatCode="_-[$$-409]* #,##0.00_ ;_-[$$-409]* \-#,##0.00\ ;_-[$$-409]* &quot;-&quot;??_ ;_-@_ ">
                  <c:v>368.68540000000007</c:v>
                </c:pt>
                <c:pt idx="56" formatCode="_-[$$-409]* #,##0.00_ ;_-[$$-409]* \-#,##0.00\ ;_-[$$-409]* &quot;-&quot;??_ ;_-@_ ">
                  <c:v>369.29240000000004</c:v>
                </c:pt>
                <c:pt idx="57" formatCode="_-[$$-409]* #,##0.00_ ;_-[$$-409]* \-#,##0.00\ ;_-[$$-409]* &quot;-&quot;??_ ;_-@_ ">
                  <c:v>369.83480000000003</c:v>
                </c:pt>
                <c:pt idx="58" formatCode="_-[$$-409]* #,##0.00_ ;_-[$$-409]* \-#,##0.00\ ;_-[$$-409]* &quot;-&quot;??_ ;_-@_ ">
                  <c:v>370.25880000000006</c:v>
                </c:pt>
                <c:pt idx="59" formatCode="_-[$$-409]* #,##0.00_ ;_-[$$-409]* \-#,##0.00\ ;_-[$$-409]* &quot;-&quot;??_ ;_-@_ ">
                  <c:v>370.64940000000007</c:v>
                </c:pt>
                <c:pt idx="60" formatCode="_-[$$-409]* #,##0.00_ ;_-[$$-409]* \-#,##0.00\ ;_-[$$-409]* &quot;-&quot;??_ ;_-@_ ">
                  <c:v>370.79940000000005</c:v>
                </c:pt>
                <c:pt idx="61" formatCode="_-[$$-409]* #,##0.00_ ;_-[$$-409]* \-#,##0.00\ ;_-[$$-409]* &quot;-&quot;??_ ;_-@_ ">
                  <c:v>371.11160000000001</c:v>
                </c:pt>
                <c:pt idx="62" formatCode="_-[$$-409]* #,##0.00_ ;_-[$$-409]* \-#,##0.00\ ;_-[$$-409]* &quot;-&quot;??_ ;_-@_ ">
                  <c:v>371.61699999999996</c:v>
                </c:pt>
                <c:pt idx="63" formatCode="_-[$$-409]* #,##0.00_ ;_-[$$-409]* \-#,##0.00\ ;_-[$$-409]* &quot;-&quot;??_ ;_-@_ ">
                  <c:v>372.09839999999997</c:v>
                </c:pt>
                <c:pt idx="64" formatCode="_-[$$-409]* #,##0.00_ ;_-[$$-409]* \-#,##0.00\ ;_-[$$-409]* &quot;-&quot;??_ ;_-@_ ">
                  <c:v>372.71559999999988</c:v>
                </c:pt>
                <c:pt idx="65" formatCode="_-[$$-409]* #,##0.00_ ;_-[$$-409]* \-#,##0.00\ ;_-[$$-409]* &quot;-&quot;??_ ;_-@_ ">
                  <c:v>373.32059999999984</c:v>
                </c:pt>
                <c:pt idx="66" formatCode="_-[$$-409]* #,##0.00_ ;_-[$$-409]* \-#,##0.00\ ;_-[$$-409]* &quot;-&quot;??_ ;_-@_ ">
                  <c:v>373.86639999999983</c:v>
                </c:pt>
                <c:pt idx="67" formatCode="_-[$$-409]* #,##0.00_ ;_-[$$-409]* \-#,##0.00\ ;_-[$$-409]* &quot;-&quot;??_ ;_-@_ ">
                  <c:v>374.41819999999984</c:v>
                </c:pt>
                <c:pt idx="68" formatCode="_-[$$-409]* #,##0.00_ ;_-[$$-409]* \-#,##0.00\ ;_-[$$-409]* &quot;-&quot;??_ ;_-@_ ">
                  <c:v>374.94639999999993</c:v>
                </c:pt>
                <c:pt idx="69" formatCode="_-[$$-409]* #,##0.00_ ;_-[$$-409]* \-#,##0.00\ ;_-[$$-409]* &quot;-&quot;??_ ;_-@_ ">
                  <c:v>375.51939999999991</c:v>
                </c:pt>
                <c:pt idx="70" formatCode="_-[$$-409]* #,##0.00_ ;_-[$$-409]* \-#,##0.00\ ;_-[$$-409]* &quot;-&quot;??_ ;_-@_ ">
                  <c:v>376.05179999999996</c:v>
                </c:pt>
                <c:pt idx="71" formatCode="_-[$$-409]* #,##0.00_ ;_-[$$-409]* \-#,##0.00\ ;_-[$$-409]* &quot;-&quot;??_ ;_-@_ ">
                  <c:v>376.5619999999999</c:v>
                </c:pt>
                <c:pt idx="72" formatCode="_-[$$-409]* #,##0.00_ ;_-[$$-409]* \-#,##0.00\ ;_-[$$-409]* &quot;-&quot;??_ ;_-@_ ">
                  <c:v>377.07599999999991</c:v>
                </c:pt>
                <c:pt idx="73" formatCode="_-[$$-409]* #,##0.00_ ;_-[$$-409]* \-#,##0.00\ ;_-[$$-409]* &quot;-&quot;??_ ;_-@_ ">
                  <c:v>377.49339999999995</c:v>
                </c:pt>
                <c:pt idx="74" formatCode="_-[$$-409]* #,##0.00_ ;_-[$$-409]* \-#,##0.00\ ;_-[$$-409]* &quot;-&quot;??_ ;_-@_ ">
                  <c:v>377.91219999999993</c:v>
                </c:pt>
                <c:pt idx="75" formatCode="_-[$$-409]* #,##0.00_ ;_-[$$-409]* \-#,##0.00\ ;_-[$$-409]* &quot;-&quot;??_ ;_-@_ ">
                  <c:v>378.24939999999987</c:v>
                </c:pt>
                <c:pt idx="76" formatCode="_-[$$-409]* #,##0.00_ ;_-[$$-409]* \-#,##0.00\ ;_-[$$-409]* &quot;-&quot;??_ ;_-@_ ">
                  <c:v>378.66239999999993</c:v>
                </c:pt>
                <c:pt idx="77" formatCode="_-[$$-409]* #,##0.00_ ;_-[$$-409]* \-#,##0.00\ ;_-[$$-409]* &quot;-&quot;??_ ;_-@_ ">
                  <c:v>379.16319999999985</c:v>
                </c:pt>
                <c:pt idx="78" formatCode="_-[$$-409]* #,##0.00_ ;_-[$$-409]* \-#,##0.00\ ;_-[$$-409]* &quot;-&quot;??_ ;_-@_ ">
                  <c:v>379.48379999999997</c:v>
                </c:pt>
                <c:pt idx="79" formatCode="_-[$$-409]* #,##0.00_ ;_-[$$-409]* \-#,##0.00\ ;_-[$$-409]* &quot;-&quot;??_ ;_-@_ ">
                  <c:v>379.79779999999994</c:v>
                </c:pt>
                <c:pt idx="80" formatCode="_-[$$-409]* #,##0.00_ ;_-[$$-409]* \-#,##0.00\ ;_-[$$-409]* &quot;-&quot;??_ ;_-@_ ">
                  <c:v>380.19759999999997</c:v>
                </c:pt>
                <c:pt idx="81" formatCode="_-[$$-409]* #,##0.00_ ;_-[$$-409]* \-#,##0.00\ ;_-[$$-409]* &quot;-&quot;??_ ;_-@_ ">
                  <c:v>380.52499999999998</c:v>
                </c:pt>
                <c:pt idx="82" formatCode="_-[$$-409]* #,##0.00_ ;_-[$$-409]* \-#,##0.00\ ;_-[$$-409]* &quot;-&quot;??_ ;_-@_ ">
                  <c:v>380.70859999999993</c:v>
                </c:pt>
                <c:pt idx="83" formatCode="_-[$$-409]* #,##0.00_ ;_-[$$-409]* \-#,##0.00\ ;_-[$$-409]* &quot;-&quot;??_ ;_-@_ ">
                  <c:v>380.85899999999992</c:v>
                </c:pt>
                <c:pt idx="84" formatCode="_-[$$-409]* #,##0.00_ ;_-[$$-409]* \-#,##0.00\ ;_-[$$-409]* &quot;-&quot;??_ ;_-@_ ">
                  <c:v>381.17440000000005</c:v>
                </c:pt>
                <c:pt idx="85" formatCode="_-[$$-409]* #,##0.00_ ;_-[$$-409]* \-#,##0.00\ ;_-[$$-409]* &quot;-&quot;??_ ;_-@_ ">
                  <c:v>381.464</c:v>
                </c:pt>
                <c:pt idx="86" formatCode="_-[$$-409]* #,##0.00_ ;_-[$$-409]* \-#,##0.00\ ;_-[$$-409]* &quot;-&quot;??_ ;_-@_ ">
                  <c:v>381.85599999999999</c:v>
                </c:pt>
                <c:pt idx="87" formatCode="_-[$$-409]* #,##0.00_ ;_-[$$-409]* \-#,##0.00\ ;_-[$$-409]* &quot;-&quot;??_ ;_-@_ ">
                  <c:v>382.26760000000002</c:v>
                </c:pt>
                <c:pt idx="88" formatCode="_-[$$-409]* #,##0.00_ ;_-[$$-409]* \-#,##0.00\ ;_-[$$-409]* &quot;-&quot;??_ ;_-@_ ">
                  <c:v>382.69479999999999</c:v>
                </c:pt>
                <c:pt idx="89" formatCode="_-[$$-409]* #,##0.00_ ;_-[$$-409]* \-#,##0.00\ ;_-[$$-409]* &quot;-&quot;??_ ;_-@_ ">
                  <c:v>383.14679999999998</c:v>
                </c:pt>
                <c:pt idx="90" formatCode="_-[$$-409]* #,##0.00_ ;_-[$$-409]* \-#,##0.00\ ;_-[$$-409]* &quot;-&quot;??_ ;_-@_ ">
                  <c:v>383.63520000000005</c:v>
                </c:pt>
                <c:pt idx="91" formatCode="_-[$$-409]* #,##0.00_ ;_-[$$-409]* \-#,##0.00\ ;_-[$$-409]* &quot;-&quot;??_ ;_-@_ ">
                  <c:v>384.07580000000002</c:v>
                </c:pt>
                <c:pt idx="92" formatCode="_-[$$-409]* #,##0.00_ ;_-[$$-409]* \-#,##0.00\ ;_-[$$-409]* &quot;-&quot;??_ ;_-@_ ">
                  <c:v>384.64519999999999</c:v>
                </c:pt>
                <c:pt idx="93" formatCode="_-[$$-409]* #,##0.00_ ;_-[$$-409]* \-#,##0.00\ ;_-[$$-409]* &quot;-&quot;??_ ;_-@_ ">
                  <c:v>385.04819999999995</c:v>
                </c:pt>
                <c:pt idx="94" formatCode="_-[$$-409]* #,##0.00_ ;_-[$$-409]* \-#,##0.00\ ;_-[$$-409]* &quot;-&quot;??_ ;_-@_ ">
                  <c:v>385.36679999999996</c:v>
                </c:pt>
                <c:pt idx="95" formatCode="_-[$$-409]* #,##0.00_ ;_-[$$-409]* \-#,##0.00\ ;_-[$$-409]* &quot;-&quot;??_ ;_-@_ ">
                  <c:v>385.63659999999999</c:v>
                </c:pt>
                <c:pt idx="96" formatCode="_-[$$-409]* #,##0.00_ ;_-[$$-409]* \-#,##0.00\ ;_-[$$-409]* &quot;-&quot;??_ ;_-@_ ">
                  <c:v>385.8014</c:v>
                </c:pt>
                <c:pt idx="97" formatCode="_-[$$-409]* #,##0.00_ ;_-[$$-409]* \-#,##0.00\ ;_-[$$-409]* &quot;-&quot;??_ ;_-@_ ">
                  <c:v>385.97799999999995</c:v>
                </c:pt>
                <c:pt idx="98" formatCode="_-[$$-409]* #,##0.00_ ;_-[$$-409]* \-#,##0.00\ ;_-[$$-409]* &quot;-&quot;??_ ;_-@_ ">
                  <c:v>386.19659999999999</c:v>
                </c:pt>
                <c:pt idx="99" formatCode="_-[$$-409]* #,##0.00_ ;_-[$$-409]* \-#,##0.00\ ;_-[$$-409]* &quot;-&quot;??_ ;_-@_ ">
                  <c:v>386.5204</c:v>
                </c:pt>
                <c:pt idx="100" formatCode="_-[$$-409]* #,##0.00_ ;_-[$$-409]* \-#,##0.00\ ;_-[$$-409]* &quot;-&quot;??_ ;_-@_ ">
                  <c:v>386.86680000000001</c:v>
                </c:pt>
                <c:pt idx="101" formatCode="_-[$$-409]* #,##0.00_ ;_-[$$-409]* \-#,##0.00\ ;_-[$$-409]* &quot;-&quot;??_ ;_-@_ ">
                  <c:v>387.24740000000003</c:v>
                </c:pt>
                <c:pt idx="102" formatCode="_-[$$-409]* #,##0.00_ ;_-[$$-409]* \-#,##0.00\ ;_-[$$-409]* &quot;-&quot;??_ ;_-@_ ">
                  <c:v>387.60100000000006</c:v>
                </c:pt>
                <c:pt idx="103" formatCode="_-[$$-409]* #,##0.00_ ;_-[$$-409]* \-#,##0.00\ ;_-[$$-409]* &quot;-&quot;??_ ;_-@_ ">
                  <c:v>387.93540000000007</c:v>
                </c:pt>
                <c:pt idx="104" formatCode="_-[$$-409]* #,##0.00_ ;_-[$$-409]* \-#,##0.00\ ;_-[$$-409]* &quot;-&quot;??_ ;_-@_ ">
                  <c:v>388.37780000000004</c:v>
                </c:pt>
                <c:pt idx="105" formatCode="_-[$$-409]* #,##0.00_ ;_-[$$-409]* \-#,##0.00\ ;_-[$$-409]* &quot;-&quot;??_ ;_-@_ ">
                  <c:v>388.8426</c:v>
                </c:pt>
                <c:pt idx="106" formatCode="_-[$$-409]* #,##0.00_ ;_-[$$-409]* \-#,##0.00\ ;_-[$$-409]* &quot;-&quot;??_ ;_-@_ ">
                  <c:v>389.28660000000002</c:v>
                </c:pt>
                <c:pt idx="107" formatCode="_-[$$-409]* #,##0.00_ ;_-[$$-409]* \-#,##0.00\ ;_-[$$-409]* &quot;-&quot;??_ ;_-@_ ">
                  <c:v>389.78120000000001</c:v>
                </c:pt>
                <c:pt idx="108" formatCode="_-[$$-409]* #,##0.00_ ;_-[$$-409]* \-#,##0.00\ ;_-[$$-409]* &quot;-&quot;??_ ;_-@_ ">
                  <c:v>390.52280000000013</c:v>
                </c:pt>
                <c:pt idx="109" formatCode="_-[$$-409]* #,##0.00_ ;_-[$$-409]* \-#,##0.00\ ;_-[$$-409]* &quot;-&quot;??_ ;_-@_ ">
                  <c:v>391.20300000000003</c:v>
                </c:pt>
                <c:pt idx="110" formatCode="_-[$$-409]* #,##0.00_ ;_-[$$-409]* \-#,##0.00\ ;_-[$$-409]* &quot;-&quot;??_ ;_-@_ ">
                  <c:v>392.05879999999996</c:v>
                </c:pt>
                <c:pt idx="111" formatCode="_-[$$-409]* #,##0.00_ ;_-[$$-409]* \-#,##0.00\ ;_-[$$-409]* &quot;-&quot;??_ ;_-@_ ">
                  <c:v>392.76319999999998</c:v>
                </c:pt>
                <c:pt idx="112" formatCode="_-[$$-409]* #,##0.00_ ;_-[$$-409]* \-#,##0.00\ ;_-[$$-409]* &quot;-&quot;??_ ;_-@_ ">
                  <c:v>393.44959999999998</c:v>
                </c:pt>
                <c:pt idx="113" formatCode="_-[$$-409]* #,##0.00_ ;_-[$$-409]* \-#,##0.00\ ;_-[$$-409]* &quot;-&quot;??_ ;_-@_ ">
                  <c:v>394.15780000000001</c:v>
                </c:pt>
                <c:pt idx="114" formatCode="_-[$$-409]* #,##0.00_ ;_-[$$-409]* \-#,##0.00\ ;_-[$$-409]* &quot;-&quot;??_ ;_-@_ ">
                  <c:v>394.73820000000001</c:v>
                </c:pt>
                <c:pt idx="115" formatCode="_-[$$-409]* #,##0.00_ ;_-[$$-409]* \-#,##0.00\ ;_-[$$-409]* &quot;-&quot;??_ ;_-@_ ">
                  <c:v>395.22739999999999</c:v>
                </c:pt>
                <c:pt idx="116" formatCode="_-[$$-409]* #,##0.00_ ;_-[$$-409]* \-#,##0.00\ ;_-[$$-409]* &quot;-&quot;??_ ;_-@_ ">
                  <c:v>395.73859999999991</c:v>
                </c:pt>
                <c:pt idx="117" formatCode="_-[$$-409]* #,##0.00_ ;_-[$$-409]* \-#,##0.00\ ;_-[$$-409]* &quot;-&quot;??_ ;_-@_ ">
                  <c:v>396.17899999999992</c:v>
                </c:pt>
                <c:pt idx="118" formatCode="_-[$$-409]* #,##0.00_ ;_-[$$-409]* \-#,##0.00\ ;_-[$$-409]* &quot;-&quot;??_ ;_-@_ ">
                  <c:v>396.7122</c:v>
                </c:pt>
                <c:pt idx="119" formatCode="_-[$$-409]* #,##0.00_ ;_-[$$-409]* \-#,##0.00\ ;_-[$$-409]* &quot;-&quot;??_ ;_-@_ ">
                  <c:v>397.25019999999995</c:v>
                </c:pt>
                <c:pt idx="120" formatCode="_-[$$-409]* #,##0.00_ ;_-[$$-409]* \-#,##0.00\ ;_-[$$-409]* &quot;-&quot;??_ ;_-@_ ">
                  <c:v>397.74780000000004</c:v>
                </c:pt>
                <c:pt idx="121" formatCode="_-[$$-409]* #,##0.00_ ;_-[$$-409]* \-#,##0.00\ ;_-[$$-409]* &quot;-&quot;??_ ;_-@_ ">
                  <c:v>398.24980000000011</c:v>
                </c:pt>
                <c:pt idx="122" formatCode="_-[$$-409]* #,##0.00_ ;_-[$$-409]* \-#,##0.00\ ;_-[$$-409]* &quot;-&quot;??_ ;_-@_ ">
                  <c:v>398.80320000000023</c:v>
                </c:pt>
                <c:pt idx="123" formatCode="_-[$$-409]* #,##0.00_ ;_-[$$-409]* \-#,##0.00\ ;_-[$$-409]* &quot;-&quot;??_ ;_-@_ ">
                  <c:v>399.3348000000002</c:v>
                </c:pt>
                <c:pt idx="124" formatCode="_-[$$-409]* #,##0.00_ ;_-[$$-409]* \-#,##0.00\ ;_-[$$-409]* &quot;-&quot;??_ ;_-@_ ">
                  <c:v>399.8982000000002</c:v>
                </c:pt>
                <c:pt idx="125" formatCode="_-[$$-409]* #,##0.00_ ;_-[$$-409]* \-#,##0.00\ ;_-[$$-409]* &quot;-&quot;??_ ;_-@_ ">
                  <c:v>400.47000000000014</c:v>
                </c:pt>
                <c:pt idx="126" formatCode="_-[$$-409]* #,##0.00_ ;_-[$$-409]* \-#,##0.00\ ;_-[$$-409]* &quot;-&quot;??_ ;_-@_ ">
                  <c:v>401.03500000000014</c:v>
                </c:pt>
                <c:pt idx="127" formatCode="_-[$$-409]* #,##0.00_ ;_-[$$-409]* \-#,##0.00\ ;_-[$$-409]* &quot;-&quot;??_ ;_-@_ ">
                  <c:v>401.58100000000013</c:v>
                </c:pt>
                <c:pt idx="128" formatCode="_-[$$-409]* #,##0.00_ ;_-[$$-409]* \-#,##0.00\ ;_-[$$-409]* &quot;-&quot;??_ ;_-@_ ">
                  <c:v>402.37680000000006</c:v>
                </c:pt>
                <c:pt idx="129" formatCode="_-[$$-409]* #,##0.00_ ;_-[$$-409]* \-#,##0.00\ ;_-[$$-409]* &quot;-&quot;??_ ;_-@_ ">
                  <c:v>403.12840000000006</c:v>
                </c:pt>
                <c:pt idx="130" formatCode="_-[$$-409]* #,##0.00_ ;_-[$$-409]* \-#,##0.00\ ;_-[$$-409]* &quot;-&quot;??_ ;_-@_ ">
                  <c:v>403.62100000000004</c:v>
                </c:pt>
                <c:pt idx="131" formatCode="_-[$$-409]* #,##0.00_ ;_-[$$-409]* \-#,##0.00\ ;_-[$$-409]* &quot;-&quot;??_ ;_-@_ ">
                  <c:v>403.99839999999995</c:v>
                </c:pt>
                <c:pt idx="132" formatCode="_-[$$-409]* #,##0.00_ ;_-[$$-409]* \-#,##0.00\ ;_-[$$-409]* &quot;-&quot;??_ ;_-@_ ">
                  <c:v>404.57559999999995</c:v>
                </c:pt>
                <c:pt idx="133" formatCode="_-[$$-409]* #,##0.00_ ;_-[$$-409]* \-#,##0.00\ ;_-[$$-409]* &quot;-&quot;??_ ;_-@_ ">
                  <c:v>405.37319999999994</c:v>
                </c:pt>
                <c:pt idx="134" formatCode="_-[$$-409]* #,##0.00_ ;_-[$$-409]* \-#,##0.00\ ;_-[$$-409]* &quot;-&quot;??_ ;_-@_ ">
                  <c:v>406.01099999999997</c:v>
                </c:pt>
                <c:pt idx="135" formatCode="_-[$$-409]* #,##0.00_ ;_-[$$-409]* \-#,##0.00\ ;_-[$$-409]* &quot;-&quot;??_ ;_-@_ ">
                  <c:v>406.61539999999991</c:v>
                </c:pt>
                <c:pt idx="136" formatCode="_-[$$-409]* #,##0.00_ ;_-[$$-409]* \-#,##0.00\ ;_-[$$-409]* &quot;-&quot;??_ ;_-@_ ">
                  <c:v>407.08920000000001</c:v>
                </c:pt>
                <c:pt idx="137" formatCode="_-[$$-409]* #,##0.00_ ;_-[$$-409]* \-#,##0.00\ ;_-[$$-409]* &quot;-&quot;??_ ;_-@_ ">
                  <c:v>407.6031999999999</c:v>
                </c:pt>
                <c:pt idx="138" formatCode="_-[$$-409]* #,##0.00_ ;_-[$$-409]* \-#,##0.00\ ;_-[$$-409]* &quot;-&quot;??_ ;_-@_ ">
                  <c:v>408.03139999999991</c:v>
                </c:pt>
                <c:pt idx="139" formatCode="_-[$$-409]* #,##0.00_ ;_-[$$-409]* \-#,##0.00\ ;_-[$$-409]* &quot;-&quot;??_ ;_-@_ ">
                  <c:v>408.53359999999992</c:v>
                </c:pt>
                <c:pt idx="140" formatCode="_-[$$-409]* #,##0.00_ ;_-[$$-409]* \-#,##0.00\ ;_-[$$-409]* &quot;-&quot;??_ ;_-@_ ">
                  <c:v>408.97019999999998</c:v>
                </c:pt>
                <c:pt idx="141" formatCode="_-[$$-409]* #,##0.00_ ;_-[$$-409]* \-#,##0.00\ ;_-[$$-409]* &quot;-&quot;??_ ;_-@_ ">
                  <c:v>409.43339999999995</c:v>
                </c:pt>
                <c:pt idx="142" formatCode="_-[$$-409]* #,##0.00_ ;_-[$$-409]* \-#,##0.00\ ;_-[$$-409]* &quot;-&quot;??_ ;_-@_ ">
                  <c:v>409.87399999999997</c:v>
                </c:pt>
                <c:pt idx="143" formatCode="_-[$$-409]* #,##0.00_ ;_-[$$-409]* \-#,##0.00\ ;_-[$$-409]* &quot;-&quot;??_ ;_-@_ ">
                  <c:v>410.44519999999994</c:v>
                </c:pt>
                <c:pt idx="144" formatCode="_-[$$-409]* #,##0.00_ ;_-[$$-409]* \-#,##0.00\ ;_-[$$-409]* &quot;-&quot;??_ ;_-@_ ">
                  <c:v>411.04899999999992</c:v>
                </c:pt>
                <c:pt idx="145" formatCode="_-[$$-409]* #,##0.00_ ;_-[$$-409]* \-#,##0.00\ ;_-[$$-409]* &quot;-&quot;??_ ;_-@_ ">
                  <c:v>411.60380000000004</c:v>
                </c:pt>
                <c:pt idx="146" formatCode="_-[$$-409]* #,##0.00_ ;_-[$$-409]* \-#,##0.00\ ;_-[$$-409]* &quot;-&quot;??_ ;_-@_ ">
                  <c:v>412.18919999999997</c:v>
                </c:pt>
                <c:pt idx="147" formatCode="_-[$$-409]* #,##0.00_ ;_-[$$-409]* \-#,##0.00\ ;_-[$$-409]* &quot;-&quot;??_ ;_-@_ ">
                  <c:v>412.89080000000001</c:v>
                </c:pt>
                <c:pt idx="148" formatCode="_-[$$-409]* #,##0.00_ ;_-[$$-409]* \-#,##0.00\ ;_-[$$-409]* &quot;-&quot;??_ ;_-@_ ">
                  <c:v>413.54060000000004</c:v>
                </c:pt>
                <c:pt idx="149" formatCode="_-[$$-409]* #,##0.00_ ;_-[$$-409]* \-#,##0.00\ ;_-[$$-409]* &quot;-&quot;??_ ;_-@_ ">
                  <c:v>414.06660000000005</c:v>
                </c:pt>
                <c:pt idx="150" formatCode="_-[$$-409]* #,##0.00_ ;_-[$$-409]* \-#,##0.00\ ;_-[$$-409]* &quot;-&quot;??_ ;_-@_ ">
                  <c:v>414.584</c:v>
                </c:pt>
                <c:pt idx="151" formatCode="_-[$$-409]* #,##0.00_ ;_-[$$-409]* \-#,##0.00\ ;_-[$$-409]* &quot;-&quot;??_ ;_-@_ ">
                  <c:v>415.16160000000002</c:v>
                </c:pt>
                <c:pt idx="152" formatCode="_-[$$-409]* #,##0.00_ ;_-[$$-409]* \-#,##0.00\ ;_-[$$-409]* &quot;-&quot;??_ ;_-@_ ">
                  <c:v>415.72120000000001</c:v>
                </c:pt>
                <c:pt idx="153" formatCode="_-[$$-409]* #,##0.00_ ;_-[$$-409]* \-#,##0.00\ ;_-[$$-409]* &quot;-&quot;??_ ;_-@_ ">
                  <c:v>416.21420000000006</c:v>
                </c:pt>
                <c:pt idx="154" formatCode="_-[$$-409]* #,##0.00_ ;_-[$$-409]* \-#,##0.00\ ;_-[$$-409]* &quot;-&quot;??_ ;_-@_ ">
                  <c:v>416.5766000000001</c:v>
                </c:pt>
                <c:pt idx="155" formatCode="_-[$$-409]* #,##0.00_ ;_-[$$-409]* \-#,##0.00\ ;_-[$$-409]* &quot;-&quot;??_ ;_-@_ ">
                  <c:v>416.89640000000009</c:v>
                </c:pt>
                <c:pt idx="156" formatCode="_-[$$-409]* #,##0.00_ ;_-[$$-409]* \-#,##0.00\ ;_-[$$-409]* &quot;-&quot;??_ ;_-@_ ">
                  <c:v>417.20400000000001</c:v>
                </c:pt>
                <c:pt idx="157" formatCode="_-[$$-409]* #,##0.00_ ;_-[$$-409]* \-#,##0.00\ ;_-[$$-409]* &quot;-&quot;??_ ;_-@_ ">
                  <c:v>417.33200000000005</c:v>
                </c:pt>
                <c:pt idx="158" formatCode="_-[$$-409]* #,##0.00_ ;_-[$$-409]* \-#,##0.00\ ;_-[$$-409]* &quot;-&quot;??_ ;_-@_ ">
                  <c:v>417.51940000000008</c:v>
                </c:pt>
                <c:pt idx="159" formatCode="_-[$$-409]* #,##0.00_ ;_-[$$-409]* \-#,##0.00\ ;_-[$$-409]* &quot;-&quot;??_ ;_-@_ ">
                  <c:v>417.74880000000013</c:v>
                </c:pt>
                <c:pt idx="160" formatCode="_-[$$-409]* #,##0.00_ ;_-[$$-409]* \-#,##0.00\ ;_-[$$-409]* &quot;-&quot;??_ ;_-@_ ">
                  <c:v>417.94360000000006</c:v>
                </c:pt>
                <c:pt idx="161" formatCode="_-[$$-409]* #,##0.00_ ;_-[$$-409]* \-#,##0.00\ ;_-[$$-409]* &quot;-&quot;??_ ;_-@_ ">
                  <c:v>418.21660000000003</c:v>
                </c:pt>
                <c:pt idx="162" formatCode="_-[$$-409]* #,##0.00_ ;_-[$$-409]* \-#,##0.00\ ;_-[$$-409]* &quot;-&quot;??_ ;_-@_ ">
                  <c:v>418.43140000000005</c:v>
                </c:pt>
                <c:pt idx="163" formatCode="_-[$$-409]* #,##0.00_ ;_-[$$-409]* \-#,##0.00\ ;_-[$$-409]* &quot;-&quot;??_ ;_-@_ ">
                  <c:v>418.63560000000007</c:v>
                </c:pt>
                <c:pt idx="164" formatCode="_-[$$-409]* #,##0.00_ ;_-[$$-409]* \-#,##0.00\ ;_-[$$-409]* &quot;-&quot;??_ ;_-@_ ">
                  <c:v>418.88540000000006</c:v>
                </c:pt>
                <c:pt idx="165" formatCode="_-[$$-409]* #,##0.00_ ;_-[$$-409]* \-#,##0.00\ ;_-[$$-409]* &quot;-&quot;??_ ;_-@_ ">
                  <c:v>419.20320000000009</c:v>
                </c:pt>
                <c:pt idx="166" formatCode="_-[$$-409]* #,##0.00_ ;_-[$$-409]* \-#,##0.00\ ;_-[$$-409]* &quot;-&quot;??_ ;_-@_ ">
                  <c:v>419.49040000000008</c:v>
                </c:pt>
                <c:pt idx="167" formatCode="_-[$$-409]* #,##0.00_ ;_-[$$-409]* \-#,##0.00\ ;_-[$$-409]* &quot;-&quot;??_ ;_-@_ ">
                  <c:v>419.91940000000011</c:v>
                </c:pt>
                <c:pt idx="168" formatCode="_-[$$-409]* #,##0.00_ ;_-[$$-409]* \-#,##0.00\ ;_-[$$-409]* &quot;-&quot;??_ ;_-@_ ">
                  <c:v>420.24320000000006</c:v>
                </c:pt>
                <c:pt idx="169" formatCode="_-[$$-409]* #,##0.00_ ;_-[$$-409]* \-#,##0.00\ ;_-[$$-409]* &quot;-&quot;??_ ;_-@_ ">
                  <c:v>420.58020000000005</c:v>
                </c:pt>
                <c:pt idx="170" formatCode="_-[$$-409]* #,##0.00_ ;_-[$$-409]* \-#,##0.00\ ;_-[$$-409]* &quot;-&quot;??_ ;_-@_ ">
                  <c:v>420.84820000000008</c:v>
                </c:pt>
                <c:pt idx="171" formatCode="_-[$$-409]* #,##0.00_ ;_-[$$-409]* \-#,##0.00\ ;_-[$$-409]* &quot;-&quot;??_ ;_-@_ ">
                  <c:v>421.21060000000011</c:v>
                </c:pt>
                <c:pt idx="172" formatCode="_-[$$-409]* #,##0.00_ ;_-[$$-409]* \-#,##0.00\ ;_-[$$-409]* &quot;-&quot;??_ ;_-@_ ">
                  <c:v>421.55100000000016</c:v>
                </c:pt>
                <c:pt idx="173" formatCode="_-[$$-409]* #,##0.00_ ;_-[$$-409]* \-#,##0.00\ ;_-[$$-409]* &quot;-&quot;??_ ;_-@_ ">
                  <c:v>421.91680000000008</c:v>
                </c:pt>
                <c:pt idx="174" formatCode="_-[$$-409]* #,##0.00_ ;_-[$$-409]* \-#,##0.00\ ;_-[$$-409]* &quot;-&quot;??_ ;_-@_ ">
                  <c:v>422.27760000000012</c:v>
                </c:pt>
                <c:pt idx="175" formatCode="_-[$$-409]* #,##0.00_ ;_-[$$-409]* \-#,##0.00\ ;_-[$$-409]* &quot;-&quot;??_ ;_-@_ ">
                  <c:v>422.66020000000009</c:v>
                </c:pt>
                <c:pt idx="176" formatCode="_-[$$-409]* #,##0.00_ ;_-[$$-409]* \-#,##0.00\ ;_-[$$-409]* &quot;-&quot;??_ ;_-@_ ">
                  <c:v>422.97200000000004</c:v>
                </c:pt>
                <c:pt idx="177" formatCode="_-[$$-409]* #,##0.00_ ;_-[$$-409]* \-#,##0.00\ ;_-[$$-409]* &quot;-&quot;??_ ;_-@_ ">
                  <c:v>423.09000000000015</c:v>
                </c:pt>
                <c:pt idx="178" formatCode="_-[$$-409]* #,##0.00_ ;_-[$$-409]* \-#,##0.00\ ;_-[$$-409]* &quot;-&quot;??_ ;_-@_ ">
                  <c:v>423.26880000000011</c:v>
                </c:pt>
                <c:pt idx="179" formatCode="_-[$$-409]* #,##0.00_ ;_-[$$-409]* \-#,##0.00\ ;_-[$$-409]* &quot;-&quot;??_ ;_-@_ ">
                  <c:v>423.60100000000006</c:v>
                </c:pt>
                <c:pt idx="180" formatCode="_-[$$-409]* #,##0.00_ ;_-[$$-409]* \-#,##0.00\ ;_-[$$-409]* &quot;-&quot;??_ ;_-@_ ">
                  <c:v>424.02600000000007</c:v>
                </c:pt>
                <c:pt idx="181" formatCode="_-[$$-409]* #,##0.00_ ;_-[$$-409]* \-#,##0.00\ ;_-[$$-409]* &quot;-&quot;??_ ;_-@_ ">
                  <c:v>424.71660000000003</c:v>
                </c:pt>
                <c:pt idx="182" formatCode="_-[$$-409]* #,##0.00_ ;_-[$$-409]* \-#,##0.00\ ;_-[$$-409]* &quot;-&quot;??_ ;_-@_ ">
                  <c:v>425.33140000000009</c:v>
                </c:pt>
                <c:pt idx="183" formatCode="_-[$$-409]* #,##0.00_ ;_-[$$-409]* \-#,##0.00\ ;_-[$$-409]* &quot;-&quot;??_ ;_-@_ ">
                  <c:v>425.78000000000009</c:v>
                </c:pt>
                <c:pt idx="184" formatCode="_-[$$-409]* #,##0.00_ ;_-[$$-409]* \-#,##0.00\ ;_-[$$-409]* &quot;-&quot;??_ ;_-@_ ">
                  <c:v>426.24620000000004</c:v>
                </c:pt>
                <c:pt idx="185" formatCode="_-[$$-409]* #,##0.00_ ;_-[$$-409]* \-#,##0.00\ ;_-[$$-409]* &quot;-&quot;??_ ;_-@_ ">
                  <c:v>426.82040000000006</c:v>
                </c:pt>
                <c:pt idx="186" formatCode="_-[$$-409]* #,##0.00_ ;_-[$$-409]* \-#,##0.00\ ;_-[$$-409]* &quot;-&quot;??_ ;_-@_ ">
                  <c:v>427.37340000000006</c:v>
                </c:pt>
                <c:pt idx="187" formatCode="_-[$$-409]* #,##0.00_ ;_-[$$-409]* \-#,##0.00\ ;_-[$$-409]* &quot;-&quot;??_ ;_-@_ ">
                  <c:v>427.81959999999998</c:v>
                </c:pt>
                <c:pt idx="188" formatCode="_-[$$-409]* #,##0.00_ ;_-[$$-409]* \-#,##0.00\ ;_-[$$-409]* &quot;-&quot;??_ ;_-@_ ">
                  <c:v>428.34380000000004</c:v>
                </c:pt>
                <c:pt idx="189" formatCode="_-[$$-409]* #,##0.00_ ;_-[$$-409]* \-#,##0.00\ ;_-[$$-409]* &quot;-&quot;??_ ;_-@_ ">
                  <c:v>428.73999999999995</c:v>
                </c:pt>
                <c:pt idx="190" formatCode="_-[$$-409]* #,##0.00_ ;_-[$$-409]* \-#,##0.00\ ;_-[$$-409]* &quot;-&quot;??_ ;_-@_ ">
                  <c:v>429.21039999999994</c:v>
                </c:pt>
                <c:pt idx="191" formatCode="_-[$$-409]* #,##0.00_ ;_-[$$-409]* \-#,##0.00\ ;_-[$$-409]* &quot;-&quot;??_ ;_-@_ ">
                  <c:v>429.67879999999997</c:v>
                </c:pt>
                <c:pt idx="192" formatCode="_-[$$-409]* #,##0.00_ ;_-[$$-409]* \-#,##0.00\ ;_-[$$-409]* &quot;-&quot;??_ ;_-@_ ">
                  <c:v>430.13559999999995</c:v>
                </c:pt>
                <c:pt idx="193" formatCode="_-[$$-409]* #,##0.00_ ;_-[$$-409]* \-#,##0.00\ ;_-[$$-409]* &quot;-&quot;??_ ;_-@_ ">
                  <c:v>430.58839999999998</c:v>
                </c:pt>
                <c:pt idx="194" formatCode="_-[$$-409]* #,##0.00_ ;_-[$$-409]* \-#,##0.00\ ;_-[$$-409]* &quot;-&quot;??_ ;_-@_ ">
                  <c:v>431.07059999999996</c:v>
                </c:pt>
                <c:pt idx="195" formatCode="_-[$$-409]* #,##0.00_ ;_-[$$-409]* \-#,##0.00\ ;_-[$$-409]* &quot;-&quot;??_ ;_-@_ ">
                  <c:v>431.56620000000004</c:v>
                </c:pt>
                <c:pt idx="196" formatCode="_-[$$-409]* #,##0.00_ ;_-[$$-409]* \-#,##0.00\ ;_-[$$-409]* &quot;-&quot;??_ ;_-@_ ">
                  <c:v>432.10919999999993</c:v>
                </c:pt>
                <c:pt idx="197" formatCode="_-[$$-409]* #,##0.00_ ;_-[$$-409]* \-#,##0.00\ ;_-[$$-409]* &quot;-&quot;??_ ;_-@_ ">
                  <c:v>432.59659999999997</c:v>
                </c:pt>
                <c:pt idx="198" formatCode="_-[$$-409]* #,##0.00_ ;_-[$$-409]* \-#,##0.00\ ;_-[$$-409]* &quot;-&quot;??_ ;_-@_ ">
                  <c:v>433.03359999999998</c:v>
                </c:pt>
                <c:pt idx="199" formatCode="_-[$$-409]* #,##0.00_ ;_-[$$-409]* \-#,##0.00\ ;_-[$$-409]* &quot;-&quot;??_ ;_-@_ ">
                  <c:v>433.37160000000006</c:v>
                </c:pt>
                <c:pt idx="200" formatCode="_-[$$-409]* #,##0.00_ ;_-[$$-409]* \-#,##0.00\ ;_-[$$-409]* &quot;-&quot;??_ ;_-@_ ">
                  <c:v>433.73580000000004</c:v>
                </c:pt>
                <c:pt idx="201" formatCode="_-[$$-409]* #,##0.00_ ;_-[$$-409]* \-#,##0.00\ ;_-[$$-409]* &quot;-&quot;??_ ;_-@_ ">
                  <c:v>434.13080000000002</c:v>
                </c:pt>
                <c:pt idx="202" formatCode="_-[$$-409]* #,##0.00_ ;_-[$$-409]* \-#,##0.00\ ;_-[$$-409]* &quot;-&quot;??_ ;_-@_ ">
                  <c:v>434.58980000000003</c:v>
                </c:pt>
                <c:pt idx="203" formatCode="_-[$$-409]* #,##0.00_ ;_-[$$-409]* \-#,##0.00\ ;_-[$$-409]* &quot;-&quot;??_ ;_-@_ ">
                  <c:v>435.04400000000004</c:v>
                </c:pt>
                <c:pt idx="204" formatCode="_-[$$-409]* #,##0.00_ ;_-[$$-409]* \-#,##0.00\ ;_-[$$-409]* &quot;-&quot;??_ ;_-@_ ">
                  <c:v>435.5326</c:v>
                </c:pt>
                <c:pt idx="205" formatCode="_-[$$-409]* #,##0.00_ ;_-[$$-409]* \-#,##0.00\ ;_-[$$-409]* &quot;-&quot;??_ ;_-@_ ">
                  <c:v>436.01559999999989</c:v>
                </c:pt>
                <c:pt idx="206" formatCode="_-[$$-409]* #,##0.00_ ;_-[$$-409]* \-#,##0.00\ ;_-[$$-409]* &quot;-&quot;??_ ;_-@_ ">
                  <c:v>436.58119999999997</c:v>
                </c:pt>
                <c:pt idx="207" formatCode="_-[$$-409]* #,##0.00_ ;_-[$$-409]* \-#,##0.00\ ;_-[$$-409]* &quot;-&quot;??_ ;_-@_ ">
                  <c:v>437.3273999999999</c:v>
                </c:pt>
                <c:pt idx="208" formatCode="_-[$$-409]* #,##0.00_ ;_-[$$-409]* \-#,##0.00\ ;_-[$$-409]* &quot;-&quot;??_ ;_-@_ ">
                  <c:v>437.94140000000004</c:v>
                </c:pt>
                <c:pt idx="209" formatCode="_-[$$-409]* #,##0.00_ ;_-[$$-409]* \-#,##0.00\ ;_-[$$-409]* &quot;-&quot;??_ ;_-@_ ">
                  <c:v>438.51519999999999</c:v>
                </c:pt>
                <c:pt idx="210" formatCode="_-[$$-409]* #,##0.00_ ;_-[$$-409]* \-#,##0.00\ ;_-[$$-409]* &quot;-&quot;??_ ;_-@_ ">
                  <c:v>439.12699999999995</c:v>
                </c:pt>
                <c:pt idx="211" formatCode="_-[$$-409]* #,##0.00_ ;_-[$$-409]* \-#,##0.00\ ;_-[$$-409]* &quot;-&quot;??_ ;_-@_ ">
                  <c:v>439.68660000000006</c:v>
                </c:pt>
                <c:pt idx="212" formatCode="_-[$$-409]* #,##0.00_ ;_-[$$-409]* \-#,##0.00\ ;_-[$$-409]* &quot;-&quot;??_ ;_-@_ ">
                  <c:v>440.18360000000001</c:v>
                </c:pt>
                <c:pt idx="213" formatCode="_-[$$-409]* #,##0.00_ ;_-[$$-409]* \-#,##0.00\ ;_-[$$-409]* &quot;-&quot;??_ ;_-@_ ">
                  <c:v>440.6524</c:v>
                </c:pt>
                <c:pt idx="214" formatCode="_-[$$-409]* #,##0.00_ ;_-[$$-409]* \-#,##0.00\ ;_-[$$-409]* &quot;-&quot;??_ ;_-@_ ">
                  <c:v>441.07800000000003</c:v>
                </c:pt>
                <c:pt idx="215" formatCode="_-[$$-409]* #,##0.00_ ;_-[$$-409]* \-#,##0.00\ ;_-[$$-409]* &quot;-&quot;??_ ;_-@_ ">
                  <c:v>441.42559999999997</c:v>
                </c:pt>
                <c:pt idx="216" formatCode="_-[$$-409]* #,##0.00_ ;_-[$$-409]* \-#,##0.00\ ;_-[$$-409]* &quot;-&quot;??_ ;_-@_ ">
                  <c:v>441.74860000000001</c:v>
                </c:pt>
                <c:pt idx="217" formatCode="_-[$$-409]* #,##0.00_ ;_-[$$-409]* \-#,##0.00\ ;_-[$$-409]* &quot;-&quot;??_ ;_-@_ ">
                  <c:v>441.95759999999996</c:v>
                </c:pt>
                <c:pt idx="218" formatCode="_-[$$-409]* #,##0.00_ ;_-[$$-409]* \-#,##0.00\ ;_-[$$-409]* &quot;-&quot;??_ ;_-@_ ">
                  <c:v>442.25660000000005</c:v>
                </c:pt>
                <c:pt idx="219" formatCode="_-[$$-409]* #,##0.00_ ;_-[$$-409]* \-#,##0.00\ ;_-[$$-409]* &quot;-&quot;??_ ;_-@_ ">
                  <c:v>442.51079999999996</c:v>
                </c:pt>
                <c:pt idx="220" formatCode="_-[$$-409]* #,##0.00_ ;_-[$$-409]* \-#,##0.00\ ;_-[$$-409]* &quot;-&quot;??_ ;_-@_ ">
                  <c:v>442.72039999999993</c:v>
                </c:pt>
                <c:pt idx="221" formatCode="_-[$$-409]* #,##0.00_ ;_-[$$-409]* \-#,##0.00\ ;_-[$$-409]* &quot;-&quot;??_ ;_-@_ ">
                  <c:v>442.69080000000002</c:v>
                </c:pt>
                <c:pt idx="222" formatCode="_-[$$-409]* #,##0.00_ ;_-[$$-409]* \-#,##0.00\ ;_-[$$-409]* &quot;-&quot;??_ ;_-@_ ">
                  <c:v>442.62180000000001</c:v>
                </c:pt>
                <c:pt idx="223" formatCode="_-[$$-409]* #,##0.00_ ;_-[$$-409]* \-#,##0.00\ ;_-[$$-409]* &quot;-&quot;??_ ;_-@_ ">
                  <c:v>442.66720000000004</c:v>
                </c:pt>
                <c:pt idx="224" formatCode="_-[$$-409]* #,##0.00_ ;_-[$$-409]* \-#,##0.00\ ;_-[$$-409]* &quot;-&quot;??_ ;_-@_ ">
                  <c:v>442.80600000000004</c:v>
                </c:pt>
                <c:pt idx="225" formatCode="_-[$$-409]* #,##0.00_ ;_-[$$-409]* \-#,##0.00\ ;_-[$$-409]* &quot;-&quot;??_ ;_-@_ ">
                  <c:v>442.98920000000004</c:v>
                </c:pt>
                <c:pt idx="226" formatCode="_-[$$-409]* #,##0.00_ ;_-[$$-409]* \-#,##0.00\ ;_-[$$-409]* &quot;-&quot;??_ ;_-@_ ">
                  <c:v>443.21520000000004</c:v>
                </c:pt>
                <c:pt idx="227" formatCode="_-[$$-409]* #,##0.00_ ;_-[$$-409]* \-#,##0.00\ ;_-[$$-409]* &quot;-&quot;??_ ;_-@_ ">
                  <c:v>443.39020000000005</c:v>
                </c:pt>
                <c:pt idx="228" formatCode="_-[$$-409]* #,##0.00_ ;_-[$$-409]* \-#,##0.00\ ;_-[$$-409]* &quot;-&quot;??_ ;_-@_ ">
                  <c:v>443.45800000000008</c:v>
                </c:pt>
                <c:pt idx="229" formatCode="_-[$$-409]* #,##0.00_ ;_-[$$-409]* \-#,##0.00\ ;_-[$$-409]* &quot;-&quot;??_ ;_-@_ ">
                  <c:v>443.34980000000002</c:v>
                </c:pt>
                <c:pt idx="230" formatCode="_-[$$-409]* #,##0.00_ ;_-[$$-409]* \-#,##0.00\ ;_-[$$-409]* &quot;-&quot;??_ ;_-@_ ">
                  <c:v>443.32540000000006</c:v>
                </c:pt>
                <c:pt idx="231" formatCode="_-[$$-409]* #,##0.00_ ;_-[$$-409]* \-#,##0.00\ ;_-[$$-409]* &quot;-&quot;??_ ;_-@_ ">
                  <c:v>443.0994</c:v>
                </c:pt>
                <c:pt idx="232" formatCode="_-[$$-409]* #,##0.00_ ;_-[$$-409]* \-#,##0.00\ ;_-[$$-409]* &quot;-&quot;??_ ;_-@_ ">
                  <c:v>442.94099999999997</c:v>
                </c:pt>
                <c:pt idx="233" formatCode="_-[$$-409]* #,##0.00_ ;_-[$$-409]* \-#,##0.00\ ;_-[$$-409]* &quot;-&quot;??_ ;_-@_ ">
                  <c:v>442.85880000000003</c:v>
                </c:pt>
                <c:pt idx="234" formatCode="_-[$$-409]* #,##0.00_ ;_-[$$-409]* \-#,##0.00\ ;_-[$$-409]* &quot;-&quot;??_ ;_-@_ ">
                  <c:v>442.85540000000003</c:v>
                </c:pt>
                <c:pt idx="235" formatCode="_-[$$-409]* #,##0.00_ ;_-[$$-409]* \-#,##0.00\ ;_-[$$-409]* &quot;-&quot;??_ ;_-@_ ">
                  <c:v>442.7996</c:v>
                </c:pt>
                <c:pt idx="236" formatCode="_-[$$-409]* #,##0.00_ ;_-[$$-409]* \-#,##0.00\ ;_-[$$-409]* &quot;-&quot;??_ ;_-@_ ">
                  <c:v>442.72319999999991</c:v>
                </c:pt>
                <c:pt idx="237" formatCode="_-[$$-409]* #,##0.00_ ;_-[$$-409]* \-#,##0.00\ ;_-[$$-409]* &quot;-&quot;??_ ;_-@_ ">
                  <c:v>442.64379999999989</c:v>
                </c:pt>
                <c:pt idx="238" formatCode="_-[$$-409]* #,##0.00_ ;_-[$$-409]* \-#,##0.00\ ;_-[$$-409]* &quot;-&quot;??_ ;_-@_ ">
                  <c:v>442.52439999999996</c:v>
                </c:pt>
                <c:pt idx="239" formatCode="_-[$$-409]* #,##0.00_ ;_-[$$-409]* \-#,##0.00\ ;_-[$$-409]* &quot;-&quot;??_ ;_-@_ ">
                  <c:v>442.59479999999996</c:v>
                </c:pt>
                <c:pt idx="240" formatCode="_-[$$-409]* #,##0.00_ ;_-[$$-409]* \-#,##0.00\ ;_-[$$-409]* &quot;-&quot;??_ ;_-@_ ">
                  <c:v>442.67699999999996</c:v>
                </c:pt>
                <c:pt idx="241" formatCode="_-[$$-409]* #,##0.00_ ;_-[$$-409]* \-#,##0.00\ ;_-[$$-409]* &quot;-&quot;??_ ;_-@_ ">
                  <c:v>442.7709999999999</c:v>
                </c:pt>
                <c:pt idx="242" formatCode="_-[$$-409]* #,##0.00_ ;_-[$$-409]* \-#,##0.00\ ;_-[$$-409]* &quot;-&quot;??_ ;_-@_ ">
                  <c:v>442.94119999999998</c:v>
                </c:pt>
                <c:pt idx="243" formatCode="_-[$$-409]* #,##0.00_ ;_-[$$-409]* \-#,##0.00\ ;_-[$$-409]* &quot;-&quot;??_ ;_-@_ ">
                  <c:v>443.13579999999985</c:v>
                </c:pt>
                <c:pt idx="244" formatCode="_-[$$-409]* #,##0.00_ ;_-[$$-409]* \-#,##0.00\ ;_-[$$-409]* &quot;-&quot;??_ ;_-@_ ">
                  <c:v>443.33199999999988</c:v>
                </c:pt>
                <c:pt idx="245" formatCode="_-[$$-409]* #,##0.00_ ;_-[$$-409]* \-#,##0.00\ ;_-[$$-409]* &quot;-&quot;??_ ;_-@_ ">
                  <c:v>443.49219999999985</c:v>
                </c:pt>
                <c:pt idx="246" formatCode="_-[$$-409]* #,##0.00_ ;_-[$$-409]* \-#,##0.00\ ;_-[$$-409]* &quot;-&quot;??_ ;_-@_ ">
                  <c:v>443.68479999999988</c:v>
                </c:pt>
                <c:pt idx="247" formatCode="_-[$$-409]* #,##0.00_ ;_-[$$-409]* \-#,##0.00\ ;_-[$$-409]* &quot;-&quot;??_ ;_-@_ ">
                  <c:v>443.86459999999983</c:v>
                </c:pt>
                <c:pt idx="248" formatCode="_-[$$-409]* #,##0.00_ ;_-[$$-409]* \-#,##0.00\ ;_-[$$-409]* &quot;-&quot;??_ ;_-@_ ">
                  <c:v>444.06259999999975</c:v>
                </c:pt>
                <c:pt idx="249" formatCode="_-[$$-409]* #,##0.00_ ;_-[$$-409]* \-#,##0.00\ ;_-[$$-409]* &quot;-&quot;??_ ;_-@_ ">
                  <c:v>444.44539999999978</c:v>
                </c:pt>
                <c:pt idx="250" formatCode="_-[$$-409]* #,##0.00_ ;_-[$$-409]* \-#,##0.00\ ;_-[$$-409]* &quot;-&quot;??_ ;_-@_ ">
                  <c:v>444.83319999999986</c:v>
                </c:pt>
                <c:pt idx="251" formatCode="_-[$$-409]* #,##0.00_ ;_-[$$-409]* \-#,##0.00\ ;_-[$$-409]* &quot;-&quot;??_ ;_-@_ ">
                  <c:v>445.16679999999985</c:v>
                </c:pt>
                <c:pt idx="252" formatCode="_-[$$-409]* #,##0.00_ ;_-[$$-409]* \-#,##0.00\ ;_-[$$-409]* &quot;-&quot;??_ ;_-@_ ">
                  <c:v>445.45959999999991</c:v>
                </c:pt>
                <c:pt idx="253" formatCode="_-[$$-409]* #,##0.00_ ;_-[$$-409]* \-#,##0.00\ ;_-[$$-409]* &quot;-&quot;??_ ;_-@_ ">
                  <c:v>445.7946</c:v>
                </c:pt>
                <c:pt idx="254" formatCode="_-[$$-409]* #,##0.00_ ;_-[$$-409]* \-#,##0.00\ ;_-[$$-409]* &quot;-&quot;??_ ;_-@_ ">
                  <c:v>446.15460000000002</c:v>
                </c:pt>
                <c:pt idx="255" formatCode="_-[$$-409]* #,##0.00_ ;_-[$$-409]* \-#,##0.00\ ;_-[$$-409]* &quot;-&quot;??_ ;_-@_ ">
                  <c:v>446.6</c:v>
                </c:pt>
                <c:pt idx="256" formatCode="_-[$$-409]* #,##0.00_ ;_-[$$-409]* \-#,##0.00\ ;_-[$$-409]* &quot;-&quot;??_ ;_-@_ ">
                  <c:v>446.97360000000003</c:v>
                </c:pt>
                <c:pt idx="257" formatCode="_-[$$-409]* #,##0.00_ ;_-[$$-409]* \-#,##0.00\ ;_-[$$-409]* &quot;-&quot;??_ ;_-@_ ">
                  <c:v>447.27660000000003</c:v>
                </c:pt>
                <c:pt idx="258" formatCode="_-[$$-409]* #,##0.00_ ;_-[$$-409]* \-#,##0.00\ ;_-[$$-409]* &quot;-&quot;??_ ;_-@_ ">
                  <c:v>447.51780000000008</c:v>
                </c:pt>
                <c:pt idx="259" formatCode="_-[$$-409]* #,##0.00_ ;_-[$$-409]* \-#,##0.00\ ;_-[$$-409]* &quot;-&quot;??_ ;_-@_ ">
                  <c:v>447.75720000000007</c:v>
                </c:pt>
                <c:pt idx="260" formatCode="_-[$$-409]* #,##0.00_ ;_-[$$-409]* \-#,##0.00\ ;_-[$$-409]* &quot;-&quot;??_ ;_-@_ ">
                  <c:v>448.03880000000004</c:v>
                </c:pt>
                <c:pt idx="261" formatCode="_-[$$-409]* #,##0.00_ ;_-[$$-409]* \-#,##0.00\ ;_-[$$-409]* &quot;-&quot;??_ ;_-@_ ">
                  <c:v>448.32580000000019</c:v>
                </c:pt>
                <c:pt idx="262" formatCode="_-[$$-409]* #,##0.00_ ;_-[$$-409]* \-#,##0.00\ ;_-[$$-409]* &quot;-&quot;??_ ;_-@_ ">
                  <c:v>448.68220000000008</c:v>
                </c:pt>
                <c:pt idx="263" formatCode="_-[$$-409]* #,##0.00_ ;_-[$$-409]* \-#,##0.00\ ;_-[$$-409]* &quot;-&quot;??_ ;_-@_ ">
                  <c:v>449.02680000000015</c:v>
                </c:pt>
                <c:pt idx="264" formatCode="_-[$$-409]* #,##0.00_ ;_-[$$-409]* \-#,##0.00\ ;_-[$$-409]* &quot;-&quot;??_ ;_-@_ ">
                  <c:v>449.44180000000006</c:v>
                </c:pt>
                <c:pt idx="265" formatCode="_-[$$-409]* #,##0.00_ ;_-[$$-409]* \-#,##0.00\ ;_-[$$-409]* &quot;-&quot;??_ ;_-@_ ">
                  <c:v>449.91080000000011</c:v>
                </c:pt>
                <c:pt idx="266" formatCode="_-[$$-409]* #,##0.00_ ;_-[$$-409]* \-#,##0.00\ ;_-[$$-409]* &quot;-&quot;??_ ;_-@_ ">
                  <c:v>450.3306</c:v>
                </c:pt>
                <c:pt idx="267" formatCode="_-[$$-409]* #,##0.00_ ;_-[$$-409]* \-#,##0.00\ ;_-[$$-409]* &quot;-&quot;??_ ;_-@_ ">
                  <c:v>450.81099999999992</c:v>
                </c:pt>
                <c:pt idx="268" formatCode="_-[$$-409]* #,##0.00_ ;_-[$$-409]* \-#,##0.00\ ;_-[$$-409]* &quot;-&quot;??_ ;_-@_ ">
                  <c:v>451.24219999999985</c:v>
                </c:pt>
                <c:pt idx="269" formatCode="_-[$$-409]* #,##0.00_ ;_-[$$-409]* \-#,##0.00\ ;_-[$$-409]* &quot;-&quot;??_ ;_-@_ ">
                  <c:v>451.4781999999999</c:v>
                </c:pt>
                <c:pt idx="270" formatCode="_-[$$-409]* #,##0.00_ ;_-[$$-409]* \-#,##0.00\ ;_-[$$-409]* &quot;-&quot;??_ ;_-@_ ">
                  <c:v>451.94219999999984</c:v>
                </c:pt>
                <c:pt idx="271" formatCode="_-[$$-409]* #,##0.00_ ;_-[$$-409]* \-#,##0.00\ ;_-[$$-409]* &quot;-&quot;??_ ;_-@_ ">
                  <c:v>452.37259999999992</c:v>
                </c:pt>
                <c:pt idx="272" formatCode="_-[$$-409]* #,##0.00_ ;_-[$$-409]* \-#,##0.00\ ;_-[$$-409]* &quot;-&quot;??_ ;_-@_ ">
                  <c:v>452.70999999999987</c:v>
                </c:pt>
                <c:pt idx="273" formatCode="_-[$$-409]* #,##0.00_ ;_-[$$-409]* \-#,##0.00\ ;_-[$$-409]* &quot;-&quot;??_ ;_-@_ ">
                  <c:v>453.10079999999988</c:v>
                </c:pt>
                <c:pt idx="274" formatCode="_-[$$-409]* #,##0.00_ ;_-[$$-409]* \-#,##0.00\ ;_-[$$-409]* &quot;-&quot;??_ ;_-@_ ">
                  <c:v>453.30559999999991</c:v>
                </c:pt>
                <c:pt idx="275" formatCode="_-[$$-409]* #,##0.00_ ;_-[$$-409]* \-#,##0.00\ ;_-[$$-409]* &quot;-&quot;??_ ;_-@_ ">
                  <c:v>453.6031999999999</c:v>
                </c:pt>
                <c:pt idx="276" formatCode="_-[$$-409]* #,##0.00_ ;_-[$$-409]* \-#,##0.00\ ;_-[$$-409]* &quot;-&quot;??_ ;_-@_ ">
                  <c:v>454.11599999999999</c:v>
                </c:pt>
                <c:pt idx="277" formatCode="_-[$$-409]* #,##0.00_ ;_-[$$-409]* \-#,##0.00\ ;_-[$$-409]* &quot;-&quot;??_ ;_-@_ ">
                  <c:v>454.83199999999999</c:v>
                </c:pt>
                <c:pt idx="278" formatCode="_-[$$-409]* #,##0.00_ ;_-[$$-409]* \-#,##0.00\ ;_-[$$-409]* &quot;-&quot;??_ ;_-@_ ">
                  <c:v>455.46999999999991</c:v>
                </c:pt>
                <c:pt idx="279" formatCode="_-[$$-409]* #,##0.00_ ;_-[$$-409]* \-#,##0.00\ ;_-[$$-409]* &quot;-&quot;??_ ;_-@_ ">
                  <c:v>456.30199999999996</c:v>
                </c:pt>
                <c:pt idx="280" formatCode="_-[$$-409]* #,##0.00_ ;_-[$$-409]* \-#,##0.00\ ;_-[$$-409]* &quot;-&quot;??_ ;_-@_ ">
                  <c:v>456.9486</c:v>
                </c:pt>
                <c:pt idx="281" formatCode="_-[$$-409]* #,##0.00_ ;_-[$$-409]* \-#,##0.00\ ;_-[$$-409]* &quot;-&quot;??_ ;_-@_ ">
                  <c:v>457.64299999999997</c:v>
                </c:pt>
                <c:pt idx="282" formatCode="_-[$$-409]* #,##0.00_ ;_-[$$-409]* \-#,##0.00\ ;_-[$$-409]* &quot;-&quot;??_ ;_-@_ ">
                  <c:v>458.39299999999997</c:v>
                </c:pt>
                <c:pt idx="283" formatCode="_-[$$-409]* #,##0.00_ ;_-[$$-409]* \-#,##0.00\ ;_-[$$-409]* &quot;-&quot;??_ ;_-@_ ">
                  <c:v>459.024</c:v>
                </c:pt>
                <c:pt idx="284" formatCode="_-[$$-409]* #,##0.00_ ;_-[$$-409]* \-#,##0.00\ ;_-[$$-409]* &quot;-&quot;??_ ;_-@_ ">
                  <c:v>459.44819999999999</c:v>
                </c:pt>
                <c:pt idx="285" formatCode="_-[$$-409]* #,##0.00_ ;_-[$$-409]* \-#,##0.00\ ;_-[$$-409]* &quot;-&quot;??_ ;_-@_ ">
                  <c:v>459.79059999999998</c:v>
                </c:pt>
                <c:pt idx="286" formatCode="_-[$$-409]* #,##0.00_ ;_-[$$-409]* \-#,##0.00\ ;_-[$$-409]* &quot;-&quot;??_ ;_-@_ ">
                  <c:v>460.358</c:v>
                </c:pt>
                <c:pt idx="287" formatCode="_-[$$-409]* #,##0.00_ ;_-[$$-409]* \-#,##0.00\ ;_-[$$-409]* &quot;-&quot;??_ ;_-@_ ">
                  <c:v>461.03939999999994</c:v>
                </c:pt>
                <c:pt idx="288" formatCode="_-[$$-409]* #,##0.00_ ;_-[$$-409]* \-#,##0.00\ ;_-[$$-409]* &quot;-&quot;??_ ;_-@_ ">
                  <c:v>461.74779999999993</c:v>
                </c:pt>
                <c:pt idx="289" formatCode="_-[$$-409]* #,##0.00_ ;_-[$$-409]* \-#,##0.00\ ;_-[$$-409]* &quot;-&quot;??_ ;_-@_ ">
                  <c:v>462.44299999999987</c:v>
                </c:pt>
                <c:pt idx="290" formatCode="_-[$$-409]* #,##0.00_ ;_-[$$-409]* \-#,##0.00\ ;_-[$$-409]* &quot;-&quot;??_ ;_-@_ ">
                  <c:v>463.06299999999987</c:v>
                </c:pt>
                <c:pt idx="291" formatCode="_-[$$-409]* #,##0.00_ ;_-[$$-409]* \-#,##0.00\ ;_-[$$-409]* &quot;-&quot;??_ ;_-@_ ">
                  <c:v>463.66879999999992</c:v>
                </c:pt>
                <c:pt idx="292" formatCode="_-[$$-409]* #,##0.00_ ;_-[$$-409]* \-#,##0.00\ ;_-[$$-409]* &quot;-&quot;??_ ;_-@_ ">
                  <c:v>464.17919999999992</c:v>
                </c:pt>
                <c:pt idx="293" formatCode="_-[$$-409]* #,##0.00_ ;_-[$$-409]* \-#,##0.00\ ;_-[$$-409]* &quot;-&quot;??_ ;_-@_ ">
                  <c:v>464.63019999999989</c:v>
                </c:pt>
                <c:pt idx="294" formatCode="_-[$$-409]* #,##0.00_ ;_-[$$-409]* \-#,##0.00\ ;_-[$$-409]* &quot;-&quot;??_ ;_-@_ ">
                  <c:v>465.11259999999987</c:v>
                </c:pt>
                <c:pt idx="295" formatCode="_-[$$-409]* #,##0.00_ ;_-[$$-409]* \-#,##0.00\ ;_-[$$-409]* &quot;-&quot;??_ ;_-@_ ">
                  <c:v>465.60119999999984</c:v>
                </c:pt>
                <c:pt idx="296" formatCode="_-[$$-409]* #,##0.00_ ;_-[$$-409]* \-#,##0.00\ ;_-[$$-409]* &quot;-&quot;??_ ;_-@_ ">
                  <c:v>465.85779999999994</c:v>
                </c:pt>
                <c:pt idx="297" formatCode="_-[$$-409]* #,##0.00_ ;_-[$$-409]* \-#,##0.00\ ;_-[$$-409]* &quot;-&quot;??_ ;_-@_ ">
                  <c:v>466.09739999999982</c:v>
                </c:pt>
                <c:pt idx="298" formatCode="_-[$$-409]* #,##0.00_ ;_-[$$-409]* \-#,##0.00\ ;_-[$$-409]* &quot;-&quot;??_ ;_-@_ ">
                  <c:v>466.34039999999993</c:v>
                </c:pt>
                <c:pt idx="299" formatCode="_-[$$-409]* #,##0.00_ ;_-[$$-409]* \-#,##0.00\ ;_-[$$-409]* &quot;-&quot;??_ ;_-@_ ">
                  <c:v>466.48419999999993</c:v>
                </c:pt>
                <c:pt idx="300" formatCode="_-[$$-409]* #,##0.00_ ;_-[$$-409]* \-#,##0.00\ ;_-[$$-409]* &quot;-&quot;??_ ;_-@_ ">
                  <c:v>466.69419999999985</c:v>
                </c:pt>
                <c:pt idx="301" formatCode="_-[$$-409]* #,##0.00_ ;_-[$$-409]* \-#,##0.00\ ;_-[$$-409]* &quot;-&quot;??_ ;_-@_ ">
                  <c:v>466.91379999999992</c:v>
                </c:pt>
                <c:pt idx="302" formatCode="_-[$$-409]* #,##0.00_ ;_-[$$-409]* \-#,##0.00\ ;_-[$$-409]* &quot;-&quot;??_ ;_-@_ ">
                  <c:v>466.96639999999991</c:v>
                </c:pt>
                <c:pt idx="303" formatCode="_-[$$-409]* #,##0.00_ ;_-[$$-409]* \-#,##0.00\ ;_-[$$-409]* &quot;-&quot;??_ ;_-@_ ">
                  <c:v>466.96639999999991</c:v>
                </c:pt>
                <c:pt idx="304" formatCode="_-[$$-409]* #,##0.00_ ;_-[$$-409]* \-#,##0.00\ ;_-[$$-409]* &quot;-&quot;??_ ;_-@_ ">
                  <c:v>466.75800000000004</c:v>
                </c:pt>
                <c:pt idx="305" formatCode="_-[$$-409]* #,##0.00_ ;_-[$$-409]* \-#,##0.00\ ;_-[$$-409]* &quot;-&quot;??_ ;_-@_ ">
                  <c:v>466.42240000000004</c:v>
                </c:pt>
                <c:pt idx="306" formatCode="_-[$$-409]* #,##0.00_ ;_-[$$-409]* \-#,##0.00\ ;_-[$$-409]* &quot;-&quot;??_ ;_-@_ ">
                  <c:v>465.97880000000004</c:v>
                </c:pt>
                <c:pt idx="307" formatCode="_-[$$-409]* #,##0.00_ ;_-[$$-409]* \-#,##0.00\ ;_-[$$-409]* &quot;-&quot;??_ ;_-@_ ">
                  <c:v>465.39080000000001</c:v>
                </c:pt>
                <c:pt idx="308" formatCode="_-[$$-409]* #,##0.00_ ;_-[$$-409]* \-#,##0.00\ ;_-[$$-409]* &quot;-&quot;??_ ;_-@_ ">
                  <c:v>464.91520000000003</c:v>
                </c:pt>
                <c:pt idx="309" formatCode="_-[$$-409]* #,##0.00_ ;_-[$$-409]* \-#,##0.00\ ;_-[$$-409]* &quot;-&quot;??_ ;_-@_ ">
                  <c:v>464.32920000000007</c:v>
                </c:pt>
                <c:pt idx="310" formatCode="_-[$$-409]* #,##0.00_ ;_-[$$-409]* \-#,##0.00\ ;_-[$$-409]* &quot;-&quot;??_ ;_-@_ ">
                  <c:v>463.65140000000008</c:v>
                </c:pt>
                <c:pt idx="311" formatCode="_-[$$-409]* #,##0.00_ ;_-[$$-409]* \-#,##0.00\ ;_-[$$-409]* &quot;-&quot;??_ ;_-@_ ">
                  <c:v>462.9276000000001</c:v>
                </c:pt>
                <c:pt idx="312" formatCode="_-[$$-409]* #,##0.00_ ;_-[$$-409]* \-#,##0.00\ ;_-[$$-409]* &quot;-&quot;??_ ;_-@_ ">
                  <c:v>462.38100000000009</c:v>
                </c:pt>
                <c:pt idx="313" formatCode="_-[$$-409]* #,##0.00_ ;_-[$$-409]* \-#,##0.00\ ;_-[$$-409]* &quot;-&quot;??_ ;_-@_ ">
                  <c:v>462.01640000000009</c:v>
                </c:pt>
                <c:pt idx="314" formatCode="_-[$$-409]* #,##0.00_ ;_-[$$-409]* \-#,##0.00\ ;_-[$$-409]* &quot;-&quot;??_ ;_-@_ ">
                  <c:v>461.68080000000009</c:v>
                </c:pt>
                <c:pt idx="315" formatCode="_-[$$-409]* #,##0.00_ ;_-[$$-409]* \-#,##0.00\ ;_-[$$-409]* &quot;-&quot;??_ ;_-@_ ">
                  <c:v>461.45000000000005</c:v>
                </c:pt>
                <c:pt idx="316" formatCode="_-[$$-409]* #,##0.00_ ;_-[$$-409]* \-#,##0.00\ ;_-[$$-409]* &quot;-&quot;??_ ;_-@_ ">
                  <c:v>461.03060000000005</c:v>
                </c:pt>
                <c:pt idx="317" formatCode="_-[$$-409]* #,##0.00_ ;_-[$$-409]* \-#,##0.00\ ;_-[$$-409]* &quot;-&quot;??_ ;_-@_ ">
                  <c:v>460.64080000000007</c:v>
                </c:pt>
                <c:pt idx="318" formatCode="_-[$$-409]* #,##0.00_ ;_-[$$-409]* \-#,##0.00\ ;_-[$$-409]* &quot;-&quot;??_ ;_-@_ ">
                  <c:v>460.19720000000001</c:v>
                </c:pt>
                <c:pt idx="319" formatCode="_-[$$-409]* #,##0.00_ ;_-[$$-409]* \-#,##0.00\ ;_-[$$-409]* &quot;-&quot;??_ ;_-@_ ">
                  <c:v>460.03659999999996</c:v>
                </c:pt>
                <c:pt idx="320" formatCode="_-[$$-409]* #,##0.00_ ;_-[$$-409]* \-#,##0.00\ ;_-[$$-409]* &quot;-&quot;??_ ;_-@_ ">
                  <c:v>459.89539999999994</c:v>
                </c:pt>
                <c:pt idx="321" formatCode="_-[$$-409]* #,##0.00_ ;_-[$$-409]* \-#,##0.00\ ;_-[$$-409]* &quot;-&quot;??_ ;_-@_ ">
                  <c:v>459.7706</c:v>
                </c:pt>
                <c:pt idx="322" formatCode="_-[$$-409]* #,##0.00_ ;_-[$$-409]* \-#,##0.00\ ;_-[$$-409]* &quot;-&quot;??_ ;_-@_ ">
                  <c:v>459.56979999999999</c:v>
                </c:pt>
                <c:pt idx="323" formatCode="_-[$$-409]* #,##0.00_ ;_-[$$-409]* \-#,##0.00\ ;_-[$$-409]* &quot;-&quot;??_ ;_-@_ ">
                  <c:v>459.20219999999995</c:v>
                </c:pt>
                <c:pt idx="324" formatCode="_-[$$-409]* #,##0.00_ ;_-[$$-409]* \-#,##0.00\ ;_-[$$-409]* &quot;-&quot;??_ ;_-@_ ">
                  <c:v>459.05579999999986</c:v>
                </c:pt>
                <c:pt idx="325" formatCode="_-[$$-409]* #,##0.00_ ;_-[$$-409]* \-#,##0.00\ ;_-[$$-409]* &quot;-&quot;??_ ;_-@_ ">
                  <c:v>458.81199999999984</c:v>
                </c:pt>
                <c:pt idx="326" formatCode="_-[$$-409]* #,##0.00_ ;_-[$$-409]* \-#,##0.00\ ;_-[$$-409]* &quot;-&quot;??_ ;_-@_ ">
                  <c:v>458.1875999999998</c:v>
                </c:pt>
                <c:pt idx="327" formatCode="_-[$$-409]* #,##0.00_ ;_-[$$-409]* \-#,##0.00\ ;_-[$$-409]* &quot;-&quot;??_ ;_-@_ ">
                  <c:v>457.48179999999985</c:v>
                </c:pt>
                <c:pt idx="328" formatCode="_-[$$-409]* #,##0.00_ ;_-[$$-409]* \-#,##0.00\ ;_-[$$-409]* &quot;-&quot;??_ ;_-@_ ">
                  <c:v>456.74619999999987</c:v>
                </c:pt>
                <c:pt idx="329" formatCode="_-[$$-409]* #,##0.00_ ;_-[$$-409]* \-#,##0.00\ ;_-[$$-409]* &quot;-&quot;??_ ;_-@_ ">
                  <c:v>455.77039999999994</c:v>
                </c:pt>
                <c:pt idx="330" formatCode="_-[$$-409]* #,##0.00_ ;_-[$$-409]* \-#,##0.00\ ;_-[$$-409]* &quot;-&quot;??_ ;_-@_ ">
                  <c:v>455.00499999999988</c:v>
                </c:pt>
                <c:pt idx="331" formatCode="_-[$$-409]* #,##0.00_ ;_-[$$-409]* \-#,##0.00\ ;_-[$$-409]* &quot;-&quot;??_ ;_-@_ ">
                  <c:v>454.49279999999993</c:v>
                </c:pt>
                <c:pt idx="332" formatCode="_-[$$-409]* #,##0.00_ ;_-[$$-409]* \-#,##0.00\ ;_-[$$-409]* &quot;-&quot;??_ ;_-@_ ">
                  <c:v>453.81339999999994</c:v>
                </c:pt>
                <c:pt idx="333" formatCode="_-[$$-409]* #,##0.00_ ;_-[$$-409]* \-#,##0.00\ ;_-[$$-409]* &quot;-&quot;??_ ;_-@_ ">
                  <c:v>453.084</c:v>
                </c:pt>
                <c:pt idx="334" formatCode="_-[$$-409]* #,##0.00_ ;_-[$$-409]* \-#,##0.00\ ;_-[$$-409]* &quot;-&quot;??_ ;_-@_ ">
                  <c:v>452.64439999999996</c:v>
                </c:pt>
                <c:pt idx="335" formatCode="_-[$$-409]* #,##0.00_ ;_-[$$-409]* \-#,##0.00\ ;_-[$$-409]* &quot;-&quot;??_ ;_-@_ ">
                  <c:v>452.25900000000001</c:v>
                </c:pt>
                <c:pt idx="336" formatCode="_-[$$-409]* #,##0.00_ ;_-[$$-409]* \-#,##0.00\ ;_-[$$-409]* &quot;-&quot;??_ ;_-@_ ">
                  <c:v>451.64119999999997</c:v>
                </c:pt>
                <c:pt idx="337" formatCode="_-[$$-409]* #,##0.00_ ;_-[$$-409]* \-#,##0.00\ ;_-[$$-409]* &quot;-&quot;??_ ;_-@_ ">
                  <c:v>450.67599999999993</c:v>
                </c:pt>
                <c:pt idx="338" formatCode="_-[$$-409]* #,##0.00_ ;_-[$$-409]* \-#,##0.00\ ;_-[$$-409]* &quot;-&quot;??_ ;_-@_ ">
                  <c:v>449.58899999999994</c:v>
                </c:pt>
                <c:pt idx="339" formatCode="_-[$$-409]* #,##0.00_ ;_-[$$-409]* \-#,##0.00\ ;_-[$$-409]* &quot;-&quot;??_ ;_-@_ ">
                  <c:v>448.59199999999998</c:v>
                </c:pt>
                <c:pt idx="340" formatCode="_-[$$-409]* #,##0.00_ ;_-[$$-409]* \-#,##0.00\ ;_-[$$-409]* &quot;-&quot;??_ ;_-@_ ">
                  <c:v>447.56419999999997</c:v>
                </c:pt>
                <c:pt idx="341" formatCode="_-[$$-409]* #,##0.00_ ;_-[$$-409]* \-#,##0.00\ ;_-[$$-409]* &quot;-&quot;??_ ;_-@_ ">
                  <c:v>446.416</c:v>
                </c:pt>
                <c:pt idx="342" formatCode="_-[$$-409]* #,##0.00_ ;_-[$$-409]* \-#,##0.00\ ;_-[$$-409]* &quot;-&quot;??_ ;_-@_ ">
                  <c:v>445.2328</c:v>
                </c:pt>
                <c:pt idx="343" formatCode="_-[$$-409]* #,##0.00_ ;_-[$$-409]* \-#,##0.00\ ;_-[$$-409]* &quot;-&quot;??_ ;_-@_ ">
                  <c:v>444.25699999999995</c:v>
                </c:pt>
                <c:pt idx="344" formatCode="_-[$$-409]* #,##0.00_ ;_-[$$-409]* \-#,##0.00\ ;_-[$$-409]* &quot;-&quot;??_ ;_-@_ ">
                  <c:v>443.41519999999997</c:v>
                </c:pt>
                <c:pt idx="345" formatCode="_-[$$-409]* #,##0.00_ ;_-[$$-409]* \-#,##0.00\ ;_-[$$-409]* &quot;-&quot;??_ ;_-@_ ">
                  <c:v>442.68559999999991</c:v>
                </c:pt>
                <c:pt idx="346" formatCode="_-[$$-409]* #,##0.00_ ;_-[$$-409]* \-#,##0.00\ ;_-[$$-409]* &quot;-&quot;??_ ;_-@_ ">
                  <c:v>442.20839999999987</c:v>
                </c:pt>
                <c:pt idx="347" formatCode="_-[$$-409]* #,##0.00_ ;_-[$$-409]* \-#,##0.00\ ;_-[$$-409]* &quot;-&quot;??_ ;_-@_ ">
                  <c:v>441.73739999999992</c:v>
                </c:pt>
                <c:pt idx="348" formatCode="_-[$$-409]* #,##0.00_ ;_-[$$-409]* \-#,##0.00\ ;_-[$$-409]* &quot;-&quot;??_ ;_-@_ ">
                  <c:v>441.40739999999988</c:v>
                </c:pt>
                <c:pt idx="349" formatCode="_-[$$-409]* #,##0.00_ ;_-[$$-409]* \-#,##0.00\ ;_-[$$-409]* &quot;-&quot;??_ ;_-@_ ">
                  <c:v>440.97319999999985</c:v>
                </c:pt>
                <c:pt idx="350" formatCode="_-[$$-409]* #,##0.00_ ;_-[$$-409]* \-#,##0.00\ ;_-[$$-409]* &quot;-&quot;??_ ;_-@_ ">
                  <c:v>440.58799999999991</c:v>
                </c:pt>
                <c:pt idx="351" formatCode="_-[$$-409]* #,##0.00_ ;_-[$$-409]* \-#,##0.00\ ;_-[$$-409]* &quot;-&quot;??_ ;_-@_ ">
                  <c:v>440.22139999999985</c:v>
                </c:pt>
                <c:pt idx="352" formatCode="_-[$$-409]* #,##0.00_ ;_-[$$-409]* \-#,##0.00\ ;_-[$$-409]* &quot;-&quot;??_ ;_-@_ ">
                  <c:v>440.04899999999986</c:v>
                </c:pt>
                <c:pt idx="353" formatCode="_-[$$-409]* #,##0.00_ ;_-[$$-409]* \-#,##0.00\ ;_-[$$-409]* &quot;-&quot;??_ ;_-@_ ">
                  <c:v>439.98559999999981</c:v>
                </c:pt>
                <c:pt idx="354" formatCode="_-[$$-409]* #,##0.00_ ;_-[$$-409]* \-#,##0.00\ ;_-[$$-409]* &quot;-&quot;??_ ;_-@_ ">
                  <c:v>440.02979999999991</c:v>
                </c:pt>
                <c:pt idx="355" formatCode="_-[$$-409]* #,##0.00_ ;_-[$$-409]* \-#,##0.00\ ;_-[$$-409]* &quot;-&quot;??_ ;_-@_ ">
                  <c:v>440.02759999999989</c:v>
                </c:pt>
                <c:pt idx="356" formatCode="_-[$$-409]* #,##0.00_ ;_-[$$-409]* \-#,##0.00\ ;_-[$$-409]* &quot;-&quot;??_ ;_-@_ ">
                  <c:v>440.15099999999984</c:v>
                </c:pt>
                <c:pt idx="357" formatCode="_-[$$-409]* #,##0.00_ ;_-[$$-409]* \-#,##0.00\ ;_-[$$-409]* &quot;-&quot;??_ ;_-@_ ">
                  <c:v>440.52739999999983</c:v>
                </c:pt>
                <c:pt idx="358" formatCode="_-[$$-409]* #,##0.00_ ;_-[$$-409]* \-#,##0.00\ ;_-[$$-409]* &quot;-&quot;??_ ;_-@_ ">
                  <c:v>440.75119999999981</c:v>
                </c:pt>
                <c:pt idx="359" formatCode="_-[$$-409]* #,##0.00_ ;_-[$$-409]* \-#,##0.00\ ;_-[$$-409]* &quot;-&quot;??_ ;_-@_ ">
                  <c:v>440.99219999999985</c:v>
                </c:pt>
                <c:pt idx="360" formatCode="_-[$$-409]* #,##0.00_ ;_-[$$-409]* \-#,##0.00\ ;_-[$$-409]* &quot;-&quot;??_ ;_-@_ ">
                  <c:v>441.29999999999984</c:v>
                </c:pt>
                <c:pt idx="361" formatCode="_-[$$-409]* #,##0.00_ ;_-[$$-409]* \-#,##0.00\ ;_-[$$-409]* &quot;-&quot;??_ ;_-@_ ">
                  <c:v>441.62659999999988</c:v>
                </c:pt>
                <c:pt idx="362" formatCode="_-[$$-409]* #,##0.00_ ;_-[$$-409]* \-#,##0.00\ ;_-[$$-409]* &quot;-&quot;??_ ;_-@_ ">
                  <c:v>441.58599999999984</c:v>
                </c:pt>
                <c:pt idx="363" formatCode="_-[$$-409]* #,##0.00_ ;_-[$$-409]* \-#,##0.00\ ;_-[$$-409]* &quot;-&quot;??_ ;_-@_ ">
                  <c:v>441.35359999999986</c:v>
                </c:pt>
                <c:pt idx="364" formatCode="_-[$$-409]* #,##0.00_ ;_-[$$-409]* \-#,##0.00\ ;_-[$$-409]* &quot;-&quot;??_ ;_-@_ ">
                  <c:v>441.16079999999994</c:v>
                </c:pt>
                <c:pt idx="365" formatCode="_-[$$-409]* #,##0.00_ ;_-[$$-409]* \-#,##0.00\ ;_-[$$-409]* &quot;-&quot;??_ ;_-@_ ">
                  <c:v>440.76959999999991</c:v>
                </c:pt>
                <c:pt idx="366" formatCode="_-[$$-409]* #,##0.00_ ;_-[$$-409]* \-#,##0.00\ ;_-[$$-409]* &quot;-&quot;??_ ;_-@_ ">
                  <c:v>440.59699999999998</c:v>
                </c:pt>
                <c:pt idx="367" formatCode="_-[$$-409]* #,##0.00_ ;_-[$$-409]* \-#,##0.00\ ;_-[$$-409]* &quot;-&quot;??_ ;_-@_ ">
                  <c:v>440.52379999999999</c:v>
                </c:pt>
                <c:pt idx="368" formatCode="_-[$$-409]* #,##0.00_ ;_-[$$-409]* \-#,##0.00\ ;_-[$$-409]* &quot;-&quot;??_ ;_-@_ ">
                  <c:v>440.47280000000001</c:v>
                </c:pt>
                <c:pt idx="369" formatCode="_-[$$-409]* #,##0.00_ ;_-[$$-409]* \-#,##0.00\ ;_-[$$-409]* &quot;-&quot;??_ ;_-@_ ">
                  <c:v>440.21520000000004</c:v>
                </c:pt>
                <c:pt idx="370" formatCode="_-[$$-409]* #,##0.00_ ;_-[$$-409]* \-#,##0.00\ ;_-[$$-409]* &quot;-&quot;??_ ;_-@_ ">
                  <c:v>439.58520000000004</c:v>
                </c:pt>
                <c:pt idx="371" formatCode="_-[$$-409]* #,##0.00_ ;_-[$$-409]* \-#,##0.00\ ;_-[$$-409]* &quot;-&quot;??_ ;_-@_ ">
                  <c:v>439.16900000000004</c:v>
                </c:pt>
                <c:pt idx="372" formatCode="_-[$$-409]* #,##0.00_ ;_-[$$-409]* \-#,##0.00\ ;_-[$$-409]* &quot;-&quot;??_ ;_-@_ ">
                  <c:v>438.68180000000001</c:v>
                </c:pt>
                <c:pt idx="373" formatCode="_-[$$-409]* #,##0.00_ ;_-[$$-409]* \-#,##0.00\ ;_-[$$-409]* &quot;-&quot;??_ ;_-@_ ">
                  <c:v>438.24680000000006</c:v>
                </c:pt>
                <c:pt idx="374" formatCode="_-[$$-409]* #,##0.00_ ;_-[$$-409]* \-#,##0.00\ ;_-[$$-409]* &quot;-&quot;??_ ;_-@_ ">
                  <c:v>437.88100000000009</c:v>
                </c:pt>
                <c:pt idx="375" formatCode="_-[$$-409]* #,##0.00_ ;_-[$$-409]* \-#,##0.00\ ;_-[$$-409]* &quot;-&quot;??_ ;_-@_ ">
                  <c:v>437.18900000000008</c:v>
                </c:pt>
                <c:pt idx="376" formatCode="_-[$$-409]* #,##0.00_ ;_-[$$-409]* \-#,##0.00\ ;_-[$$-409]* &quot;-&quot;??_ ;_-@_ ">
                  <c:v>436.73740000000004</c:v>
                </c:pt>
                <c:pt idx="377" formatCode="_-[$$-409]* #,##0.00_ ;_-[$$-409]* \-#,##0.00\ ;_-[$$-409]* &quot;-&quot;??_ ;_-@_ ">
                  <c:v>436.38040000000001</c:v>
                </c:pt>
                <c:pt idx="378" formatCode="_-[$$-409]* #,##0.00_ ;_-[$$-409]* \-#,##0.00\ ;_-[$$-409]* &quot;-&quot;??_ ;_-@_ ">
                  <c:v>436.37020000000007</c:v>
                </c:pt>
                <c:pt idx="379" formatCode="_-[$$-409]* #,##0.00_ ;_-[$$-409]* \-#,##0.00\ ;_-[$$-409]* &quot;-&quot;??_ ;_-@_ ">
                  <c:v>436.20740000000006</c:v>
                </c:pt>
                <c:pt idx="380" formatCode="_-[$$-409]* #,##0.00_ ;_-[$$-409]* \-#,##0.00\ ;_-[$$-409]* &quot;-&quot;??_ ;_-@_ ">
                  <c:v>435.86820000000012</c:v>
                </c:pt>
                <c:pt idx="381" formatCode="_-[$$-409]* #,##0.00_ ;_-[$$-409]* \-#,##0.00\ ;_-[$$-409]* &quot;-&quot;??_ ;_-@_ ">
                  <c:v>435.07660000000004</c:v>
                </c:pt>
                <c:pt idx="382" formatCode="_-[$$-409]* #,##0.00_ ;_-[$$-409]* \-#,##0.00\ ;_-[$$-409]* &quot;-&quot;??_ ;_-@_ ">
                  <c:v>434.32580000000002</c:v>
                </c:pt>
                <c:pt idx="383" formatCode="_-[$$-409]* #,##0.00_ ;_-[$$-409]* \-#,##0.00\ ;_-[$$-409]* &quot;-&quot;??_ ;_-@_ ">
                  <c:v>433.58120000000002</c:v>
                </c:pt>
                <c:pt idx="384" formatCode="_-[$$-409]* #,##0.00_ ;_-[$$-409]* \-#,##0.00\ ;_-[$$-409]* &quot;-&quot;??_ ;_-@_ ">
                  <c:v>432.67020000000014</c:v>
                </c:pt>
                <c:pt idx="385" formatCode="_-[$$-409]* #,##0.00_ ;_-[$$-409]* \-#,##0.00\ ;_-[$$-409]* &quot;-&quot;??_ ;_-@_ ">
                  <c:v>431.99040000000014</c:v>
                </c:pt>
                <c:pt idx="386" formatCode="_-[$$-409]* #,##0.00_ ;_-[$$-409]* \-#,##0.00\ ;_-[$$-409]* &quot;-&quot;??_ ;_-@_ ">
                  <c:v>431.3488000000001</c:v>
                </c:pt>
                <c:pt idx="387" formatCode="_-[$$-409]* #,##0.00_ ;_-[$$-409]* \-#,##0.00\ ;_-[$$-409]* &quot;-&quot;??_ ;_-@_ ">
                  <c:v>431.12660000000011</c:v>
                </c:pt>
                <c:pt idx="388" formatCode="_-[$$-409]* #,##0.00_ ;_-[$$-409]* \-#,##0.00\ ;_-[$$-409]* &quot;-&quot;??_ ;_-@_ ">
                  <c:v>430.63880000000012</c:v>
                </c:pt>
                <c:pt idx="389" formatCode="_-[$$-409]* #,##0.00_ ;_-[$$-409]* \-#,##0.00\ ;_-[$$-409]* &quot;-&quot;??_ ;_-@_ ">
                  <c:v>429.8798000000001</c:v>
                </c:pt>
                <c:pt idx="390" formatCode="_-[$$-409]* #,##0.00_ ;_-[$$-409]* \-#,##0.00\ ;_-[$$-409]* &quot;-&quot;??_ ;_-@_ ">
                  <c:v>429.16280000000006</c:v>
                </c:pt>
                <c:pt idx="391" formatCode="_-[$$-409]* #,##0.00_ ;_-[$$-409]* \-#,##0.00\ ;_-[$$-409]* &quot;-&quot;??_ ;_-@_ ">
                  <c:v>428.69979999999998</c:v>
                </c:pt>
                <c:pt idx="392" formatCode="_-[$$-409]* #,##0.00_ ;_-[$$-409]* \-#,##0.00\ ;_-[$$-409]* &quot;-&quot;??_ ;_-@_ ">
                  <c:v>428.23759999999993</c:v>
                </c:pt>
                <c:pt idx="393" formatCode="_-[$$-409]* #,##0.00_ ;_-[$$-409]* \-#,##0.00\ ;_-[$$-409]* &quot;-&quot;??_ ;_-@_ ">
                  <c:v>427.66159999999996</c:v>
                </c:pt>
                <c:pt idx="394" formatCode="_-[$$-409]* #,##0.00_ ;_-[$$-409]* \-#,##0.00\ ;_-[$$-409]* &quot;-&quot;??_ ;_-@_ ">
                  <c:v>427.05540000000002</c:v>
                </c:pt>
                <c:pt idx="395" formatCode="_-[$$-409]* #,##0.00_ ;_-[$$-409]* \-#,##0.00\ ;_-[$$-409]* &quot;-&quot;??_ ;_-@_ ">
                  <c:v>426.53919999999999</c:v>
                </c:pt>
                <c:pt idx="396" formatCode="_-[$$-409]* #,##0.00_ ;_-[$$-409]* \-#,##0.00\ ;_-[$$-409]* &quot;-&quot;??_ ;_-@_ ">
                  <c:v>425.90739999999988</c:v>
                </c:pt>
                <c:pt idx="397" formatCode="_-[$$-409]* #,##0.00_ ;_-[$$-409]* \-#,##0.00\ ;_-[$$-409]* &quot;-&quot;??_ ;_-@_ ">
                  <c:v>425.21139999999991</c:v>
                </c:pt>
                <c:pt idx="398" formatCode="_-[$$-409]* #,##0.00_ ;_-[$$-409]* \-#,##0.00\ ;_-[$$-409]* &quot;-&quot;??_ ;_-@_ ">
                  <c:v>424.56739999999991</c:v>
                </c:pt>
                <c:pt idx="399" formatCode="_-[$$-409]* #,##0.00_ ;_-[$$-409]* \-#,##0.00\ ;_-[$$-409]* &quot;-&quot;??_ ;_-@_ ">
                  <c:v>423.90219999999994</c:v>
                </c:pt>
                <c:pt idx="400" formatCode="_-[$$-409]* #,##0.00_ ;_-[$$-409]* \-#,##0.00\ ;_-[$$-409]* &quot;-&quot;??_ ;_-@_ ">
                  <c:v>423.12819999999999</c:v>
                </c:pt>
                <c:pt idx="401" formatCode="_-[$$-409]* #,##0.00_ ;_-[$$-409]* \-#,##0.00\ ;_-[$$-409]* &quot;-&quot;??_ ;_-@_ ">
                  <c:v>422.38919999999996</c:v>
                </c:pt>
                <c:pt idx="402" formatCode="_-[$$-409]* #,##0.00_ ;_-[$$-409]* \-#,##0.00\ ;_-[$$-409]* &quot;-&quot;??_ ;_-@_ ">
                  <c:v>421.49540000000002</c:v>
                </c:pt>
                <c:pt idx="403" formatCode="_-[$$-409]* #,##0.00_ ;_-[$$-409]* \-#,##0.00\ ;_-[$$-409]* &quot;-&quot;??_ ;_-@_ ">
                  <c:v>420.29320000000001</c:v>
                </c:pt>
                <c:pt idx="404" formatCode="_-[$$-409]* #,##0.00_ ;_-[$$-409]* \-#,##0.00\ ;_-[$$-409]* &quot;-&quot;??_ ;_-@_ ">
                  <c:v>418.91519999999997</c:v>
                </c:pt>
                <c:pt idx="405" formatCode="_-[$$-409]* #,##0.00_ ;_-[$$-409]* \-#,##0.00\ ;_-[$$-409]* &quot;-&quot;??_ ;_-@_ ">
                  <c:v>417.38239999999996</c:v>
                </c:pt>
                <c:pt idx="406" formatCode="_-[$$-409]* #,##0.00_ ;_-[$$-409]* \-#,##0.00\ ;_-[$$-409]* &quot;-&quot;??_ ;_-@_ ">
                  <c:v>415.8014</c:v>
                </c:pt>
                <c:pt idx="407" formatCode="_-[$$-409]* #,##0.00_ ;_-[$$-409]* \-#,##0.00\ ;_-[$$-409]* &quot;-&quot;??_ ;_-@_ ">
                  <c:v>414.24940000000004</c:v>
                </c:pt>
                <c:pt idx="408" formatCode="_-[$$-409]* #,##0.00_ ;_-[$$-409]* \-#,##0.00\ ;_-[$$-409]* &quot;-&quot;??_ ;_-@_ ">
                  <c:v>412.56180000000006</c:v>
                </c:pt>
                <c:pt idx="409" formatCode="_-[$$-409]* #,##0.00_ ;_-[$$-409]* \-#,##0.00\ ;_-[$$-409]* &quot;-&quot;??_ ;_-@_ ">
                  <c:v>410.94860000000006</c:v>
                </c:pt>
                <c:pt idx="410" formatCode="_-[$$-409]* #,##0.00_ ;_-[$$-409]* \-#,##0.00\ ;_-[$$-409]* &quot;-&quot;??_ ;_-@_ ">
                  <c:v>409.47460000000007</c:v>
                </c:pt>
                <c:pt idx="411" formatCode="_-[$$-409]* #,##0.00_ ;_-[$$-409]* \-#,##0.00\ ;_-[$$-409]* &quot;-&quot;??_ ;_-@_ ">
                  <c:v>408.01100000000008</c:v>
                </c:pt>
                <c:pt idx="412" formatCode="_-[$$-409]* #,##0.00_ ;_-[$$-409]* \-#,##0.00\ ;_-[$$-409]* &quot;-&quot;??_ ;_-@_ ">
                  <c:v>406.77380000000005</c:v>
                </c:pt>
                <c:pt idx="413" formatCode="_-[$$-409]* #,##0.00_ ;_-[$$-409]* \-#,##0.00\ ;_-[$$-409]* &quot;-&quot;??_ ;_-@_ ">
                  <c:v>405.80960000000005</c:v>
                </c:pt>
                <c:pt idx="414" formatCode="_-[$$-409]* #,##0.00_ ;_-[$$-409]* \-#,##0.00\ ;_-[$$-409]* &quot;-&quot;??_ ;_-@_ ">
                  <c:v>404.7152000000001</c:v>
                </c:pt>
                <c:pt idx="415" formatCode="_-[$$-409]* #,##0.00_ ;_-[$$-409]* \-#,##0.00\ ;_-[$$-409]* &quot;-&quot;??_ ;_-@_ ">
                  <c:v>403.57240000000013</c:v>
                </c:pt>
                <c:pt idx="416" formatCode="_-[$$-409]* #,##0.00_ ;_-[$$-409]* \-#,##0.00\ ;_-[$$-409]* &quot;-&quot;??_ ;_-@_ ">
                  <c:v>402.41980000000012</c:v>
                </c:pt>
                <c:pt idx="417" formatCode="_-[$$-409]* #,##0.00_ ;_-[$$-409]* \-#,##0.00\ ;_-[$$-409]* &quot;-&quot;??_ ;_-@_ ">
                  <c:v>401.06400000000014</c:v>
                </c:pt>
                <c:pt idx="418" formatCode="_-[$$-409]* #,##0.00_ ;_-[$$-409]* \-#,##0.00\ ;_-[$$-409]* &quot;-&quot;??_ ;_-@_ ">
                  <c:v>399.79460000000012</c:v>
                </c:pt>
                <c:pt idx="419" formatCode="_-[$$-409]* #,##0.00_ ;_-[$$-409]* \-#,##0.00\ ;_-[$$-409]* &quot;-&quot;??_ ;_-@_ ">
                  <c:v>398.67260000000016</c:v>
                </c:pt>
                <c:pt idx="420" formatCode="_-[$$-409]* #,##0.00_ ;_-[$$-409]* \-#,##0.00\ ;_-[$$-409]* &quot;-&quot;??_ ;_-@_ ">
                  <c:v>397.81680000000017</c:v>
                </c:pt>
                <c:pt idx="421" formatCode="_-[$$-409]* #,##0.00_ ;_-[$$-409]* \-#,##0.00\ ;_-[$$-409]* &quot;-&quot;??_ ;_-@_ ">
                  <c:v>397.02640000000014</c:v>
                </c:pt>
                <c:pt idx="422" formatCode="_-[$$-409]* #,##0.00_ ;_-[$$-409]* \-#,##0.00\ ;_-[$$-409]* &quot;-&quot;??_ ;_-@_ ">
                  <c:v>396.47780000000006</c:v>
                </c:pt>
                <c:pt idx="423" formatCode="_-[$$-409]* #,##0.00_ ;_-[$$-409]* \-#,##0.00\ ;_-[$$-409]* &quot;-&quot;??_ ;_-@_ ">
                  <c:v>395.81700000000006</c:v>
                </c:pt>
                <c:pt idx="424" formatCode="_-[$$-409]* #,##0.00_ ;_-[$$-409]* \-#,##0.00\ ;_-[$$-409]* &quot;-&quot;??_ ;_-@_ ">
                  <c:v>394.87740000000008</c:v>
                </c:pt>
                <c:pt idx="425" formatCode="_-[$$-409]* #,##0.00_ ;_-[$$-409]* \-#,##0.00\ ;_-[$$-409]* &quot;-&quot;??_ ;_-@_ ">
                  <c:v>394.21400000000011</c:v>
                </c:pt>
                <c:pt idx="426" formatCode="_-[$$-409]* #,##0.00_ ;_-[$$-409]* \-#,##0.00\ ;_-[$$-409]* &quot;-&quot;??_ ;_-@_ ">
                  <c:v>393.4826000000001</c:v>
                </c:pt>
                <c:pt idx="427" formatCode="_-[$$-409]* #,##0.00_ ;_-[$$-409]* \-#,##0.00\ ;_-[$$-409]* &quot;-&quot;??_ ;_-@_ ">
                  <c:v>392.85760000000016</c:v>
                </c:pt>
                <c:pt idx="428" formatCode="_-[$$-409]* #,##0.00_ ;_-[$$-409]* \-#,##0.00\ ;_-[$$-409]* &quot;-&quot;??_ ;_-@_ ">
                  <c:v>391.91540000000015</c:v>
                </c:pt>
                <c:pt idx="429" formatCode="_-[$$-409]* #,##0.00_ ;_-[$$-409]* \-#,##0.00\ ;_-[$$-409]* &quot;-&quot;??_ ;_-@_ ">
                  <c:v>391.48460000000006</c:v>
                </c:pt>
                <c:pt idx="430" formatCode="_-[$$-409]* #,##0.00_ ;_-[$$-409]* \-#,##0.00\ ;_-[$$-409]* &quot;-&quot;??_ ;_-@_ ">
                  <c:v>391.15320000000008</c:v>
                </c:pt>
                <c:pt idx="431" formatCode="_-[$$-409]* #,##0.00_ ;_-[$$-409]* \-#,##0.00\ ;_-[$$-409]* &quot;-&quot;??_ ;_-@_ ">
                  <c:v>391.1656000000001</c:v>
                </c:pt>
                <c:pt idx="432" formatCode="_-[$$-409]* #,##0.00_ ;_-[$$-409]* \-#,##0.00\ ;_-[$$-409]* &quot;-&quot;??_ ;_-@_ ">
                  <c:v>391.08560000000011</c:v>
                </c:pt>
                <c:pt idx="433" formatCode="_-[$$-409]* #,##0.00_ ;_-[$$-409]* \-#,##0.00\ ;_-[$$-409]* &quot;-&quot;??_ ;_-@_ ">
                  <c:v>391.14200000000005</c:v>
                </c:pt>
                <c:pt idx="434" formatCode="_-[$$-409]* #,##0.00_ ;_-[$$-409]* \-#,##0.00\ ;_-[$$-409]* &quot;-&quot;??_ ;_-@_ ">
                  <c:v>391.11300000000006</c:v>
                </c:pt>
                <c:pt idx="435" formatCode="_-[$$-409]* #,##0.00_ ;_-[$$-409]* \-#,##0.00\ ;_-[$$-409]* &quot;-&quot;??_ ;_-@_ ">
                  <c:v>391.0994</c:v>
                </c:pt>
                <c:pt idx="436" formatCode="_-[$$-409]* #,##0.00_ ;_-[$$-409]* \-#,##0.00\ ;_-[$$-409]* &quot;-&quot;??_ ;_-@_ ">
                  <c:v>391.21899999999994</c:v>
                </c:pt>
                <c:pt idx="437" formatCode="_-[$$-409]* #,##0.00_ ;_-[$$-409]* \-#,##0.00\ ;_-[$$-409]* &quot;-&quot;??_ ;_-@_ ">
                  <c:v>391.29239999999999</c:v>
                </c:pt>
                <c:pt idx="438" formatCode="_-[$$-409]* #,##0.00_ ;_-[$$-409]* \-#,##0.00\ ;_-[$$-409]* &quot;-&quot;??_ ;_-@_ ">
                  <c:v>391.67059999999998</c:v>
                </c:pt>
                <c:pt idx="439" formatCode="_-[$$-409]* #,##0.00_ ;_-[$$-409]* \-#,##0.00\ ;_-[$$-409]* &quot;-&quot;??_ ;_-@_ ">
                  <c:v>392.04259999999999</c:v>
                </c:pt>
                <c:pt idx="440" formatCode="_-[$$-409]* #,##0.00_ ;_-[$$-409]* \-#,##0.00\ ;_-[$$-409]* &quot;-&quot;??_ ;_-@_ ">
                  <c:v>392.53899999999999</c:v>
                </c:pt>
                <c:pt idx="441" formatCode="_-[$$-409]* #,##0.00_ ;_-[$$-409]* \-#,##0.00\ ;_-[$$-409]* &quot;-&quot;??_ ;_-@_ ">
                  <c:v>392.88400000000001</c:v>
                </c:pt>
                <c:pt idx="442" formatCode="_-[$$-409]* #,##0.00_ ;_-[$$-409]* \-#,##0.00\ ;_-[$$-409]* &quot;-&quot;??_ ;_-@_ ">
                  <c:v>393.27560000000005</c:v>
                </c:pt>
                <c:pt idx="443" formatCode="_-[$$-409]* #,##0.00_ ;_-[$$-409]* \-#,##0.00\ ;_-[$$-409]* &quot;-&quot;??_ ;_-@_ ">
                  <c:v>393.58800000000002</c:v>
                </c:pt>
                <c:pt idx="444" formatCode="_-[$$-409]* #,##0.00_ ;_-[$$-409]* \-#,##0.00\ ;_-[$$-409]* &quot;-&quot;??_ ;_-@_ ">
                  <c:v>393.70880000000011</c:v>
                </c:pt>
                <c:pt idx="445" formatCode="_-[$$-409]* #,##0.00_ ;_-[$$-409]* \-#,##0.00\ ;_-[$$-409]* &quot;-&quot;??_ ;_-@_ ">
                  <c:v>393.80340000000001</c:v>
                </c:pt>
                <c:pt idx="446" formatCode="_-[$$-409]* #,##0.00_ ;_-[$$-409]* \-#,##0.00\ ;_-[$$-409]* &quot;-&quot;??_ ;_-@_ ">
                  <c:v>393.94460000000004</c:v>
                </c:pt>
                <c:pt idx="447" formatCode="_-[$$-409]* #,##0.00_ ;_-[$$-409]* \-#,##0.00\ ;_-[$$-409]* &quot;-&quot;??_ ;_-@_ ">
                  <c:v>394.29480000000001</c:v>
                </c:pt>
                <c:pt idx="448" formatCode="_-[$$-409]* #,##0.00_ ;_-[$$-409]* \-#,##0.00\ ;_-[$$-409]* &quot;-&quot;??_ ;_-@_ ">
                  <c:v>394.52420000000006</c:v>
                </c:pt>
                <c:pt idx="449" formatCode="_-[$$-409]* #,##0.00_ ;_-[$$-409]* \-#,##0.00\ ;_-[$$-409]* &quot;-&quot;??_ ;_-@_ ">
                  <c:v>394.90740000000011</c:v>
                </c:pt>
                <c:pt idx="450" formatCode="_-[$$-409]* #,##0.00_ ;_-[$$-409]* \-#,##0.00\ ;_-[$$-409]* &quot;-&quot;??_ ;_-@_ ">
                  <c:v>395.20460000000008</c:v>
                </c:pt>
                <c:pt idx="451" formatCode="_-[$$-409]* #,##0.00_ ;_-[$$-409]* \-#,##0.00\ ;_-[$$-409]* &quot;-&quot;??_ ;_-@_ ">
                  <c:v>395.44760000000008</c:v>
                </c:pt>
                <c:pt idx="452" formatCode="_-[$$-409]* #,##0.00_ ;_-[$$-409]* \-#,##0.00\ ;_-[$$-409]* &quot;-&quot;??_ ;_-@_ ">
                  <c:v>395.66600000000005</c:v>
                </c:pt>
                <c:pt idx="453" formatCode="_-[$$-409]* #,##0.00_ ;_-[$$-409]* \-#,##0.00\ ;_-[$$-409]* &quot;-&quot;??_ ;_-@_ ">
                  <c:v>395.90420000000006</c:v>
                </c:pt>
                <c:pt idx="454" formatCode="_-[$$-409]* #,##0.00_ ;_-[$$-409]* \-#,##0.00\ ;_-[$$-409]* &quot;-&quot;??_ ;_-@_ ">
                  <c:v>396.35519999999997</c:v>
                </c:pt>
                <c:pt idx="455" formatCode="_-[$$-409]* #,##0.00_ ;_-[$$-409]* \-#,##0.00\ ;_-[$$-409]* &quot;-&quot;??_ ;_-@_ ">
                  <c:v>397.12859999999995</c:v>
                </c:pt>
                <c:pt idx="456" formatCode="_-[$$-409]* #,##0.00_ ;_-[$$-409]* \-#,##0.00\ ;_-[$$-409]* &quot;-&quot;??_ ;_-@_ ">
                  <c:v>398.0413999999999</c:v>
                </c:pt>
                <c:pt idx="457" formatCode="_-[$$-409]* #,##0.00_ ;_-[$$-409]* \-#,##0.00\ ;_-[$$-409]* &quot;-&quot;??_ ;_-@_ ">
                  <c:v>398.56359999999995</c:v>
                </c:pt>
                <c:pt idx="458" formatCode="_-[$$-409]* #,##0.00_ ;_-[$$-409]* \-#,##0.00\ ;_-[$$-409]* &quot;-&quot;??_ ;_-@_ ">
                  <c:v>399.28320000000002</c:v>
                </c:pt>
                <c:pt idx="459" formatCode="_-[$$-409]* #,##0.00_ ;_-[$$-409]* \-#,##0.00\ ;_-[$$-409]* &quot;-&quot;??_ ;_-@_ ">
                  <c:v>399.93019999999996</c:v>
                </c:pt>
                <c:pt idx="460" formatCode="_-[$$-409]* #,##0.00_ ;_-[$$-409]* \-#,##0.00\ ;_-[$$-409]* &quot;-&quot;??_ ;_-@_ ">
                  <c:v>400.33239999999989</c:v>
                </c:pt>
                <c:pt idx="461" formatCode="_-[$$-409]* #,##0.00_ ;_-[$$-409]* \-#,##0.00\ ;_-[$$-409]* &quot;-&quot;??_ ;_-@_ ">
                  <c:v>400.77299999999991</c:v>
                </c:pt>
                <c:pt idx="462" formatCode="_-[$$-409]* #,##0.00_ ;_-[$$-409]* \-#,##0.00\ ;_-[$$-409]* &quot;-&quot;??_ ;_-@_ ">
                  <c:v>401.05659999999995</c:v>
                </c:pt>
                <c:pt idx="463" formatCode="_-[$$-409]* #,##0.00_ ;_-[$$-409]* \-#,##0.00\ ;_-[$$-409]* &quot;-&quot;??_ ;_-@_ ">
                  <c:v>401.07019999999994</c:v>
                </c:pt>
                <c:pt idx="464" formatCode="_-[$$-409]* #,##0.00_ ;_-[$$-409]* \-#,##0.00\ ;_-[$$-409]* &quot;-&quot;??_ ;_-@_ ">
                  <c:v>401.25399999999996</c:v>
                </c:pt>
                <c:pt idx="465" formatCode="_-[$$-409]* #,##0.00_ ;_-[$$-409]* \-#,##0.00\ ;_-[$$-409]* &quot;-&quot;??_ ;_-@_ ">
                  <c:v>401.64859999999999</c:v>
                </c:pt>
                <c:pt idx="466" formatCode="_-[$$-409]* #,##0.00_ ;_-[$$-409]* \-#,##0.00\ ;_-[$$-409]* &quot;-&quot;??_ ;_-@_ ">
                  <c:v>402.17379999999997</c:v>
                </c:pt>
                <c:pt idx="467" formatCode="_-[$$-409]* #,##0.00_ ;_-[$$-409]* \-#,##0.00\ ;_-[$$-409]* &quot;-&quot;??_ ;_-@_ ">
                  <c:v>402.84819999999991</c:v>
                </c:pt>
                <c:pt idx="468" formatCode="_-[$$-409]* #,##0.00_ ;_-[$$-409]* \-#,##0.00\ ;_-[$$-409]* &quot;-&quot;??_ ;_-@_ ">
                  <c:v>403.08539999999994</c:v>
                </c:pt>
                <c:pt idx="469" formatCode="_-[$$-409]* #,##0.00_ ;_-[$$-409]* \-#,##0.00\ ;_-[$$-409]* &quot;-&quot;??_ ;_-@_ ">
                  <c:v>403.33819999999986</c:v>
                </c:pt>
                <c:pt idx="470" formatCode="_-[$$-409]* #,##0.00_ ;_-[$$-409]* \-#,##0.00\ ;_-[$$-409]* &quot;-&quot;??_ ;_-@_ ">
                  <c:v>403.47559999999982</c:v>
                </c:pt>
                <c:pt idx="471" formatCode="_-[$$-409]* #,##0.00_ ;_-[$$-409]* \-#,##0.00\ ;_-[$$-409]* &quot;-&quot;??_ ;_-@_ ">
                  <c:v>403.40699999999993</c:v>
                </c:pt>
                <c:pt idx="472" formatCode="_-[$$-409]* #,##0.00_ ;_-[$$-409]* \-#,##0.00\ ;_-[$$-409]* &quot;-&quot;??_ ;_-@_ ">
                  <c:v>403.4045999999999</c:v>
                </c:pt>
                <c:pt idx="473" formatCode="_-[$$-409]* #,##0.00_ ;_-[$$-409]* \-#,##0.00\ ;_-[$$-409]* &quot;-&quot;??_ ;_-@_ ">
                  <c:v>403.40179999999992</c:v>
                </c:pt>
                <c:pt idx="474" formatCode="_-[$$-409]* #,##0.00_ ;_-[$$-409]* \-#,##0.00\ ;_-[$$-409]* &quot;-&quot;??_ ;_-@_ ">
                  <c:v>403.33299999999997</c:v>
                </c:pt>
                <c:pt idx="475" formatCode="_-[$$-409]* #,##0.00_ ;_-[$$-409]* \-#,##0.00\ ;_-[$$-409]* &quot;-&quot;??_ ;_-@_ ">
                  <c:v>403.24079999999992</c:v>
                </c:pt>
                <c:pt idx="476" formatCode="_-[$$-409]* #,##0.00_ ;_-[$$-409]* \-#,##0.00\ ;_-[$$-409]* &quot;-&quot;??_ ;_-@_ ">
                  <c:v>403.04159999999996</c:v>
                </c:pt>
                <c:pt idx="477" formatCode="_-[$$-409]* #,##0.00_ ;_-[$$-409]* \-#,##0.00\ ;_-[$$-409]* &quot;-&quot;??_ ;_-@_ ">
                  <c:v>402.62519999999995</c:v>
                </c:pt>
                <c:pt idx="478" formatCode="_-[$$-409]* #,##0.00_ ;_-[$$-409]* \-#,##0.00\ ;_-[$$-409]* &quot;-&quot;??_ ;_-@_ ">
                  <c:v>402.25379999999996</c:v>
                </c:pt>
                <c:pt idx="479" formatCode="_-[$$-409]* #,##0.00_ ;_-[$$-409]* \-#,##0.00\ ;_-[$$-409]* &quot;-&quot;??_ ;_-@_ ">
                  <c:v>401.81900000000002</c:v>
                </c:pt>
                <c:pt idx="480" formatCode="_-[$$-409]* #,##0.00_ ;_-[$$-409]* \-#,##0.00\ ;_-[$$-409]* &quot;-&quot;??_ ;_-@_ ">
                  <c:v>401.17940000000004</c:v>
                </c:pt>
                <c:pt idx="481" formatCode="_-[$$-409]* #,##0.00_ ;_-[$$-409]* \-#,##0.00\ ;_-[$$-409]* &quot;-&quot;??_ ;_-@_ ">
                  <c:v>400.34719999999999</c:v>
                </c:pt>
                <c:pt idx="482" formatCode="_-[$$-409]* #,##0.00_ ;_-[$$-409]* \-#,##0.00\ ;_-[$$-409]* &quot;-&quot;??_ ;_-@_ ">
                  <c:v>399.77760000000001</c:v>
                </c:pt>
                <c:pt idx="483" formatCode="_-[$$-409]* #,##0.00_ ;_-[$$-409]* \-#,##0.00\ ;_-[$$-409]* &quot;-&quot;??_ ;_-@_ ">
                  <c:v>399.42560000000014</c:v>
                </c:pt>
                <c:pt idx="484" formatCode="_-[$$-409]* #,##0.00_ ;_-[$$-409]* \-#,##0.00\ ;_-[$$-409]* &quot;-&quot;??_ ;_-@_ ">
                  <c:v>399.14960000000008</c:v>
                </c:pt>
                <c:pt idx="485" formatCode="_-[$$-409]* #,##0.00_ ;_-[$$-409]* \-#,##0.00\ ;_-[$$-409]* &quot;-&quot;??_ ;_-@_ ">
                  <c:v>398.59280000000007</c:v>
                </c:pt>
                <c:pt idx="486" formatCode="_-[$$-409]* #,##0.00_ ;_-[$$-409]* \-#,##0.00\ ;_-[$$-409]* &quot;-&quot;??_ ;_-@_ ">
                  <c:v>397.7272000000001</c:v>
                </c:pt>
                <c:pt idx="487" formatCode="_-[$$-409]* #,##0.00_ ;_-[$$-409]* \-#,##0.00\ ;_-[$$-409]* &quot;-&quot;??_ ;_-@_ ">
                  <c:v>396.68780000000004</c:v>
                </c:pt>
                <c:pt idx="488" formatCode="_-[$$-409]* #,##0.00_ ;_-[$$-409]* \-#,##0.00\ ;_-[$$-409]* &quot;-&quot;??_ ;_-@_ ">
                  <c:v>395.62720000000007</c:v>
                </c:pt>
                <c:pt idx="489" formatCode="_-[$$-409]* #,##0.00_ ;_-[$$-409]* \-#,##0.00\ ;_-[$$-409]* &quot;-&quot;??_ ;_-@_ ">
                  <c:v>394.59720000000016</c:v>
                </c:pt>
                <c:pt idx="490" formatCode="_-[$$-409]* #,##0.00_ ;_-[$$-409]* \-#,##0.00\ ;_-[$$-409]* &quot;-&quot;??_ ;_-@_ ">
                  <c:v>393.62760000000014</c:v>
                </c:pt>
                <c:pt idx="491" formatCode="_-[$$-409]* #,##0.00_ ;_-[$$-409]* \-#,##0.00\ ;_-[$$-409]* &quot;-&quot;??_ ;_-@_ ">
                  <c:v>392.49680000000023</c:v>
                </c:pt>
                <c:pt idx="492" formatCode="_-[$$-409]* #,##0.00_ ;_-[$$-409]* \-#,##0.00\ ;_-[$$-409]* &quot;-&quot;??_ ;_-@_ ">
                  <c:v>391.56380000000019</c:v>
                </c:pt>
                <c:pt idx="493" formatCode="_-[$$-409]* #,##0.00_ ;_-[$$-409]* \-#,##0.00\ ;_-[$$-409]* &quot;-&quot;??_ ;_-@_ ">
                  <c:v>390.72660000000019</c:v>
                </c:pt>
                <c:pt idx="494" formatCode="_-[$$-409]* #,##0.00_ ;_-[$$-409]* \-#,##0.00\ ;_-[$$-409]* &quot;-&quot;??_ ;_-@_ ">
                  <c:v>389.86960000000016</c:v>
                </c:pt>
                <c:pt idx="495" formatCode="_-[$$-409]* #,##0.00_ ;_-[$$-409]* \-#,##0.00\ ;_-[$$-409]* &quot;-&quot;??_ ;_-@_ ">
                  <c:v>388.77800000000019</c:v>
                </c:pt>
                <c:pt idx="496" formatCode="_-[$$-409]* #,##0.00_ ;_-[$$-409]* \-#,##0.00\ ;_-[$$-409]* &quot;-&quot;??_ ;_-@_ ">
                  <c:v>387.86400000000015</c:v>
                </c:pt>
                <c:pt idx="497" formatCode="_-[$$-409]* #,##0.00_ ;_-[$$-409]* \-#,##0.00\ ;_-[$$-409]* &quot;-&quot;??_ ;_-@_ ">
                  <c:v>386.89940000000007</c:v>
                </c:pt>
                <c:pt idx="498" formatCode="_-[$$-409]* #,##0.00_ ;_-[$$-409]* \-#,##0.00\ ;_-[$$-409]* &quot;-&quot;??_ ;_-@_ ">
                  <c:v>386.0206</c:v>
                </c:pt>
                <c:pt idx="499" formatCode="_-[$$-409]* #,##0.00_ ;_-[$$-409]* \-#,##0.00\ ;_-[$$-409]* &quot;-&quot;??_ ;_-@_ ">
                  <c:v>385.06699999999995</c:v>
                </c:pt>
                <c:pt idx="500" formatCode="_-[$$-409]* #,##0.00_ ;_-[$$-409]* \-#,##0.00\ ;_-[$$-409]* &quot;-&quot;??_ ;_-@_ ">
                  <c:v>384.13359999999994</c:v>
                </c:pt>
                <c:pt idx="501" formatCode="_-[$$-409]* #,##0.00_ ;_-[$$-409]* \-#,##0.00\ ;_-[$$-409]* &quot;-&quot;??_ ;_-@_ ">
                  <c:v>383.3562</c:v>
                </c:pt>
                <c:pt idx="502" formatCode="_-[$$-409]* #,##0.00_ ;_-[$$-409]* \-#,##0.00\ ;_-[$$-409]* &quot;-&quot;??_ ;_-@_ ">
                  <c:v>382.63759999999996</c:v>
                </c:pt>
                <c:pt idx="503" formatCode="_-[$$-409]* #,##0.00_ ;_-[$$-409]* \-#,##0.00\ ;_-[$$-409]* &quot;-&quot;??_ ;_-@_ ">
                  <c:v>382.06099999999998</c:v>
                </c:pt>
                <c:pt idx="504" formatCode="_-[$$-409]* #,##0.00_ ;_-[$$-409]* \-#,##0.00\ ;_-[$$-409]* &quot;-&quot;??_ ;_-@_ ">
                  <c:v>381.31139999999999</c:v>
                </c:pt>
                <c:pt idx="505" formatCode="_-[$$-409]* #,##0.00_ ;_-[$$-409]* \-#,##0.00\ ;_-[$$-409]* &quot;-&quot;??_ ;_-@_ ">
                  <c:v>380.45819999999998</c:v>
                </c:pt>
                <c:pt idx="506" formatCode="_-[$$-409]* #,##0.00_ ;_-[$$-409]* \-#,##0.00\ ;_-[$$-409]* &quot;-&quot;??_ ;_-@_ ">
                  <c:v>379.59500000000003</c:v>
                </c:pt>
                <c:pt idx="507" formatCode="_-[$$-409]* #,##0.00_ ;_-[$$-409]* \-#,##0.00\ ;_-[$$-409]* &quot;-&quot;??_ ;_-@_ ">
                  <c:v>379.08780000000002</c:v>
                </c:pt>
                <c:pt idx="508" formatCode="_-[$$-409]* #,##0.00_ ;_-[$$-409]* \-#,##0.00\ ;_-[$$-409]* &quot;-&quot;??_ ;_-@_ ">
                  <c:v>378.67519999999996</c:v>
                </c:pt>
                <c:pt idx="509" formatCode="_-[$$-409]* #,##0.00_ ;_-[$$-409]* \-#,##0.00\ ;_-[$$-409]* &quot;-&quot;??_ ;_-@_ ">
                  <c:v>378.19359999999995</c:v>
                </c:pt>
                <c:pt idx="510" formatCode="_-[$$-409]* #,##0.00_ ;_-[$$-409]* \-#,##0.00\ ;_-[$$-409]* &quot;-&quot;??_ ;_-@_ ">
                  <c:v>378.18379999999996</c:v>
                </c:pt>
                <c:pt idx="511" formatCode="_-[$$-409]* #,##0.00_ ;_-[$$-409]* \-#,##0.00\ ;_-[$$-409]* &quot;-&quot;??_ ;_-@_ ">
                  <c:v>378.22559999999999</c:v>
                </c:pt>
                <c:pt idx="512" formatCode="_-[$$-409]* #,##0.00_ ;_-[$$-409]* \-#,##0.00\ ;_-[$$-409]* &quot;-&quot;??_ ;_-@_ ">
                  <c:v>378.28320000000002</c:v>
                </c:pt>
                <c:pt idx="513" formatCode="_-[$$-409]* #,##0.00_ ;_-[$$-409]* \-#,##0.00\ ;_-[$$-409]* &quot;-&quot;??_ ;_-@_ ">
                  <c:v>378.43779999999998</c:v>
                </c:pt>
                <c:pt idx="514" formatCode="_-[$$-409]* #,##0.00_ ;_-[$$-409]* \-#,##0.00\ ;_-[$$-409]* &quot;-&quot;??_ ;_-@_ ">
                  <c:v>378.39120000000003</c:v>
                </c:pt>
                <c:pt idx="515" formatCode="_-[$$-409]* #,##0.00_ ;_-[$$-409]* \-#,##0.00\ ;_-[$$-409]* &quot;-&quot;??_ ;_-@_ ">
                  <c:v>378.26840000000004</c:v>
                </c:pt>
                <c:pt idx="516" formatCode="_-[$$-409]* #,##0.00_ ;_-[$$-409]* \-#,##0.00\ ;_-[$$-409]* &quot;-&quot;??_ ;_-@_ ">
                  <c:v>378.05699999999996</c:v>
                </c:pt>
                <c:pt idx="517" formatCode="_-[$$-409]* #,##0.00_ ;_-[$$-409]* \-#,##0.00\ ;_-[$$-409]* &quot;-&quot;??_ ;_-@_ ">
                  <c:v>377.7294</c:v>
                </c:pt>
                <c:pt idx="518" formatCode="_-[$$-409]* #,##0.00_ ;_-[$$-409]* \-#,##0.00\ ;_-[$$-409]* &quot;-&quot;??_ ;_-@_ ">
                  <c:v>377.86540000000014</c:v>
                </c:pt>
                <c:pt idx="519" formatCode="_-[$$-409]* #,##0.00_ ;_-[$$-409]* \-#,##0.00\ ;_-[$$-409]* &quot;-&quot;??_ ;_-@_ ">
                  <c:v>378.02180000000016</c:v>
                </c:pt>
                <c:pt idx="520" formatCode="_-[$$-409]* #,##0.00_ ;_-[$$-409]* \-#,##0.00\ ;_-[$$-409]* &quot;-&quot;??_ ;_-@_ ">
                  <c:v>378.26600000000013</c:v>
                </c:pt>
                <c:pt idx="521" formatCode="_-[$$-409]* #,##0.00_ ;_-[$$-409]* \-#,##0.00\ ;_-[$$-409]* &quot;-&quot;??_ ;_-@_ ">
                  <c:v>378.47300000000013</c:v>
                </c:pt>
                <c:pt idx="522" formatCode="_-[$$-409]* #,##0.00_ ;_-[$$-409]* \-#,##0.00\ ;_-[$$-409]* &quot;-&quot;??_ ;_-@_ ">
                  <c:v>378.60660000000013</c:v>
                </c:pt>
                <c:pt idx="523" formatCode="_-[$$-409]* #,##0.00_ ;_-[$$-409]* \-#,##0.00\ ;_-[$$-409]* &quot;-&quot;??_ ;_-@_ ">
                  <c:v>379.0784000000001</c:v>
                </c:pt>
                <c:pt idx="524" formatCode="_-[$$-409]* #,##0.00_ ;_-[$$-409]* \-#,##0.00\ ;_-[$$-409]* &quot;-&quot;??_ ;_-@_ ">
                  <c:v>379.67820000000012</c:v>
                </c:pt>
                <c:pt idx="525" formatCode="_-[$$-409]* #,##0.00_ ;_-[$$-409]* \-#,##0.00\ ;_-[$$-409]* &quot;-&quot;??_ ;_-@_ ">
                  <c:v>380.33200000000011</c:v>
                </c:pt>
                <c:pt idx="526" formatCode="_-[$$-409]* #,##0.00_ ;_-[$$-409]* \-#,##0.00\ ;_-[$$-409]* &quot;-&quot;??_ ;_-@_ ">
                  <c:v>380.96480000000008</c:v>
                </c:pt>
                <c:pt idx="527" formatCode="_-[$$-409]* #,##0.00_ ;_-[$$-409]* \-#,##0.00\ ;_-[$$-409]* &quot;-&quot;??_ ;_-@_ ">
                  <c:v>381.55520000000013</c:v>
                </c:pt>
                <c:pt idx="528" formatCode="_-[$$-409]* #,##0.00_ ;_-[$$-409]* \-#,##0.00\ ;_-[$$-409]* &quot;-&quot;??_ ;_-@_ ">
                  <c:v>382.15080000000012</c:v>
                </c:pt>
                <c:pt idx="529" formatCode="_-[$$-409]* #,##0.00_ ;_-[$$-409]* \-#,##0.00\ ;_-[$$-409]* &quot;-&quot;??_ ;_-@_ ">
                  <c:v>382.66500000000008</c:v>
                </c:pt>
                <c:pt idx="530" formatCode="_-[$$-409]* #,##0.00_ ;_-[$$-409]* \-#,##0.00\ ;_-[$$-409]* &quot;-&quot;??_ ;_-@_ ">
                  <c:v>383.27480000000008</c:v>
                </c:pt>
                <c:pt idx="531" formatCode="_-[$$-409]* #,##0.00_ ;_-[$$-409]* \-#,##0.00\ ;_-[$$-409]* &quot;-&quot;??_ ;_-@_ ">
                  <c:v>384.11020000000013</c:v>
                </c:pt>
                <c:pt idx="532" formatCode="_-[$$-409]* #,##0.00_ ;_-[$$-409]* \-#,##0.00\ ;_-[$$-409]* &quot;-&quot;??_ ;_-@_ ">
                  <c:v>384.81740000000013</c:v>
                </c:pt>
                <c:pt idx="533" formatCode="_-[$$-409]* #,##0.00_ ;_-[$$-409]* \-#,##0.00\ ;_-[$$-409]* &quot;-&quot;??_ ;_-@_ ">
                  <c:v>385.24600000000015</c:v>
                </c:pt>
                <c:pt idx="534" formatCode="_-[$$-409]* #,##0.00_ ;_-[$$-409]* \-#,##0.00\ ;_-[$$-409]* &quot;-&quot;??_ ;_-@_ ">
                  <c:v>385.49680000000012</c:v>
                </c:pt>
                <c:pt idx="535" formatCode="_-[$$-409]* #,##0.00_ ;_-[$$-409]* \-#,##0.00\ ;_-[$$-409]* &quot;-&quot;??_ ;_-@_ ">
                  <c:v>385.69820000000016</c:v>
                </c:pt>
                <c:pt idx="536" formatCode="_-[$$-409]* #,##0.00_ ;_-[$$-409]* \-#,##0.00\ ;_-[$$-409]* &quot;-&quot;??_ ;_-@_ ">
                  <c:v>386.04280000000006</c:v>
                </c:pt>
                <c:pt idx="537" formatCode="_-[$$-409]* #,##0.00_ ;_-[$$-409]* \-#,##0.00\ ;_-[$$-409]* &quot;-&quot;??_ ;_-@_ ">
                  <c:v>386.45320000000015</c:v>
                </c:pt>
                <c:pt idx="538" formatCode="_-[$$-409]* #,##0.00_ ;_-[$$-409]* \-#,##0.00\ ;_-[$$-409]* &quot;-&quot;??_ ;_-@_ ">
                  <c:v>387.02300000000008</c:v>
                </c:pt>
                <c:pt idx="539" formatCode="_-[$$-409]* #,##0.00_ ;_-[$$-409]* \-#,##0.00\ ;_-[$$-409]* &quot;-&quot;??_ ;_-@_ ">
                  <c:v>387.50620000000009</c:v>
                </c:pt>
                <c:pt idx="540" formatCode="_-[$$-409]* #,##0.00_ ;_-[$$-409]* \-#,##0.00\ ;_-[$$-409]* &quot;-&quot;??_ ;_-@_ ">
                  <c:v>387.84500000000008</c:v>
                </c:pt>
                <c:pt idx="541" formatCode="_-[$$-409]* #,##0.00_ ;_-[$$-409]* \-#,##0.00\ ;_-[$$-409]* &quot;-&quot;??_ ;_-@_ ">
                  <c:v>388.32040000000006</c:v>
                </c:pt>
                <c:pt idx="542" formatCode="_-[$$-409]* #,##0.00_ ;_-[$$-409]* \-#,##0.00\ ;_-[$$-409]* &quot;-&quot;??_ ;_-@_ ">
                  <c:v>388.5172</c:v>
                </c:pt>
                <c:pt idx="543" formatCode="_-[$$-409]* #,##0.00_ ;_-[$$-409]* \-#,##0.00\ ;_-[$$-409]* &quot;-&quot;??_ ;_-@_ ">
                  <c:v>388.76340000000005</c:v>
                </c:pt>
                <c:pt idx="544" formatCode="_-[$$-409]* #,##0.00_ ;_-[$$-409]* \-#,##0.00\ ;_-[$$-409]* &quot;-&quot;??_ ;_-@_ ">
                  <c:v>389.04199999999997</c:v>
                </c:pt>
                <c:pt idx="545" formatCode="_-[$$-409]* #,##0.00_ ;_-[$$-409]* \-#,##0.00\ ;_-[$$-409]* &quot;-&quot;??_ ;_-@_ ">
                  <c:v>389.35019999999997</c:v>
                </c:pt>
                <c:pt idx="546" formatCode="_-[$$-409]* #,##0.00_ ;_-[$$-409]* \-#,##0.00\ ;_-[$$-409]* &quot;-&quot;??_ ;_-@_ ">
                  <c:v>389.53960000000001</c:v>
                </c:pt>
                <c:pt idx="547" formatCode="_-[$$-409]* #,##0.00_ ;_-[$$-409]* \-#,##0.00\ ;_-[$$-409]* &quot;-&quot;??_ ;_-@_ ">
                  <c:v>389.54979999999995</c:v>
                </c:pt>
                <c:pt idx="548" formatCode="_-[$$-409]* #,##0.00_ ;_-[$$-409]* \-#,##0.00\ ;_-[$$-409]* &quot;-&quot;??_ ;_-@_ ">
                  <c:v>389.61299999999994</c:v>
                </c:pt>
                <c:pt idx="549" formatCode="_-[$$-409]* #,##0.00_ ;_-[$$-409]* \-#,##0.00\ ;_-[$$-409]* &quot;-&quot;??_ ;_-@_ ">
                  <c:v>389.72979999999995</c:v>
                </c:pt>
                <c:pt idx="550" formatCode="_-[$$-409]* #,##0.00_ ;_-[$$-409]* \-#,##0.00\ ;_-[$$-409]* &quot;-&quot;??_ ;_-@_ ">
                  <c:v>389.9418</c:v>
                </c:pt>
                <c:pt idx="551" formatCode="_-[$$-409]* #,##0.00_ ;_-[$$-409]* \-#,##0.00\ ;_-[$$-409]* &quot;-&quot;??_ ;_-@_ ">
                  <c:v>390.0718</c:v>
                </c:pt>
                <c:pt idx="552" formatCode="_-[$$-409]* #,##0.00_ ;_-[$$-409]* \-#,##0.00\ ;_-[$$-409]* &quot;-&quot;??_ ;_-@_ ">
                  <c:v>390.28680000000003</c:v>
                </c:pt>
                <c:pt idx="553" formatCode="_-[$$-409]* #,##0.00_ ;_-[$$-409]* \-#,##0.00\ ;_-[$$-409]* &quot;-&quot;??_ ;_-@_ ">
                  <c:v>390.56640000000004</c:v>
                </c:pt>
                <c:pt idx="554" formatCode="_-[$$-409]* #,##0.00_ ;_-[$$-409]* \-#,##0.00\ ;_-[$$-409]* &quot;-&quot;??_ ;_-@_ ">
                  <c:v>391.02440000000007</c:v>
                </c:pt>
                <c:pt idx="555" formatCode="_-[$$-409]* #,##0.00_ ;_-[$$-409]* \-#,##0.00\ ;_-[$$-409]* &quot;-&quot;??_ ;_-@_ ">
                  <c:v>391.43400000000008</c:v>
                </c:pt>
                <c:pt idx="556" formatCode="_-[$$-409]* #,##0.00_ ;_-[$$-409]* \-#,##0.00\ ;_-[$$-409]* &quot;-&quot;??_ ;_-@_ ">
                  <c:v>391.67980000000011</c:v>
                </c:pt>
                <c:pt idx="557" formatCode="_-[$$-409]* #,##0.00_ ;_-[$$-409]* \-#,##0.00\ ;_-[$$-409]* &quot;-&quot;??_ ;_-@_ ">
                  <c:v>391.99840000000006</c:v>
                </c:pt>
                <c:pt idx="558" formatCode="_-[$$-409]* #,##0.00_ ;_-[$$-409]* \-#,##0.00\ ;_-[$$-409]* &quot;-&quot;??_ ;_-@_ ">
                  <c:v>392.37100000000004</c:v>
                </c:pt>
                <c:pt idx="559" formatCode="_-[$$-409]* #,##0.00_ ;_-[$$-409]* \-#,##0.00\ ;_-[$$-409]* &quot;-&quot;??_ ;_-@_ ">
                  <c:v>392.89240000000007</c:v>
                </c:pt>
                <c:pt idx="560" formatCode="_-[$$-409]* #,##0.00_ ;_-[$$-409]* \-#,##0.00\ ;_-[$$-409]* &quot;-&quot;??_ ;_-@_ ">
                  <c:v>393.00560000000007</c:v>
                </c:pt>
                <c:pt idx="561" formatCode="_-[$$-409]* #,##0.00_ ;_-[$$-409]* \-#,##0.00\ ;_-[$$-409]* &quot;-&quot;??_ ;_-@_ ">
                  <c:v>393.13040000000001</c:v>
                </c:pt>
                <c:pt idx="562" formatCode="_-[$$-409]* #,##0.00_ ;_-[$$-409]* \-#,##0.00\ ;_-[$$-409]* &quot;-&quot;??_ ;_-@_ ">
                  <c:v>393.34160000000003</c:v>
                </c:pt>
                <c:pt idx="563" formatCode="_-[$$-409]* #,##0.00_ ;_-[$$-409]* \-#,##0.00\ ;_-[$$-409]* &quot;-&quot;??_ ;_-@_ ">
                  <c:v>393.3836</c:v>
                </c:pt>
                <c:pt idx="564" formatCode="_-[$$-409]* #,##0.00_ ;_-[$$-409]* \-#,##0.00\ ;_-[$$-409]* &quot;-&quot;??_ ;_-@_ ">
                  <c:v>393.60419999999999</c:v>
                </c:pt>
                <c:pt idx="565" formatCode="_-[$$-409]* #,##0.00_ ;_-[$$-409]* \-#,##0.00\ ;_-[$$-409]* &quot;-&quot;??_ ;_-@_ ">
                  <c:v>393.93539999999996</c:v>
                </c:pt>
                <c:pt idx="566" formatCode="_-[$$-409]* #,##0.00_ ;_-[$$-409]* \-#,##0.00\ ;_-[$$-409]* &quot;-&quot;??_ ;_-@_ ">
                  <c:v>394.35039999999992</c:v>
                </c:pt>
                <c:pt idx="567" formatCode="_-[$$-409]* #,##0.00_ ;_-[$$-409]* \-#,##0.00\ ;_-[$$-409]* &quot;-&quot;??_ ;_-@_ ">
                  <c:v>394.70559999999983</c:v>
                </c:pt>
                <c:pt idx="568" formatCode="_-[$$-409]* #,##0.00_ ;_-[$$-409]* \-#,##0.00\ ;_-[$$-409]* &quot;-&quot;??_ ;_-@_ ">
                  <c:v>394.90419999999989</c:v>
                </c:pt>
                <c:pt idx="569" formatCode="_-[$$-409]* #,##0.00_ ;_-[$$-409]* \-#,##0.00\ ;_-[$$-409]* &quot;-&quot;??_ ;_-@_ ">
                  <c:v>395.1595999999999</c:v>
                </c:pt>
                <c:pt idx="570" formatCode="_-[$$-409]* #,##0.00_ ;_-[$$-409]* \-#,##0.00\ ;_-[$$-409]* &quot;-&quot;??_ ;_-@_ ">
                  <c:v>395.32599999999996</c:v>
                </c:pt>
                <c:pt idx="571" formatCode="_-[$$-409]* #,##0.00_ ;_-[$$-409]* \-#,##0.00\ ;_-[$$-409]* &quot;-&quot;??_ ;_-@_ ">
                  <c:v>395.54959999999994</c:v>
                </c:pt>
                <c:pt idx="572" formatCode="_-[$$-409]* #,##0.00_ ;_-[$$-409]* \-#,##0.00\ ;_-[$$-409]* &quot;-&quot;??_ ;_-@_ ">
                  <c:v>395.80579999999992</c:v>
                </c:pt>
                <c:pt idx="573" formatCode="_-[$$-409]* #,##0.00_ ;_-[$$-409]* \-#,##0.00\ ;_-[$$-409]* &quot;-&quot;??_ ;_-@_ ">
                  <c:v>395.90879999999999</c:v>
                </c:pt>
                <c:pt idx="574" formatCode="_-[$$-409]* #,##0.00_ ;_-[$$-409]* \-#,##0.00\ ;_-[$$-409]* &quot;-&quot;??_ ;_-@_ ">
                  <c:v>396.01400000000001</c:v>
                </c:pt>
                <c:pt idx="575" formatCode="_-[$$-409]* #,##0.00_ ;_-[$$-409]* \-#,##0.00\ ;_-[$$-409]* &quot;-&quot;??_ ;_-@_ ">
                  <c:v>396.15539999999999</c:v>
                </c:pt>
                <c:pt idx="576" formatCode="_-[$$-409]* #,##0.00_ ;_-[$$-409]* \-#,##0.00\ ;_-[$$-409]* &quot;-&quot;??_ ;_-@_ ">
                  <c:v>396.32920000000007</c:v>
                </c:pt>
                <c:pt idx="577" formatCode="_-[$$-409]* #,##0.00_ ;_-[$$-409]* \-#,##0.00\ ;_-[$$-409]* &quot;-&quot;??_ ;_-@_ ">
                  <c:v>396.59780000000001</c:v>
                </c:pt>
                <c:pt idx="578" formatCode="_-[$$-409]* #,##0.00_ ;_-[$$-409]* \-#,##0.00\ ;_-[$$-409]* &quot;-&quot;??_ ;_-@_ ">
                  <c:v>396.71640000000002</c:v>
                </c:pt>
                <c:pt idx="579" formatCode="_-[$$-409]* #,##0.00_ ;_-[$$-409]* \-#,##0.00\ ;_-[$$-409]* &quot;-&quot;??_ ;_-@_ ">
                  <c:v>396.7623999999999</c:v>
                </c:pt>
                <c:pt idx="580" formatCode="_-[$$-409]* #,##0.00_ ;_-[$$-409]* \-#,##0.00\ ;_-[$$-409]* &quot;-&quot;??_ ;_-@_ ">
                  <c:v>396.90999999999991</c:v>
                </c:pt>
                <c:pt idx="581" formatCode="_-[$$-409]* #,##0.00_ ;_-[$$-409]* \-#,##0.00\ ;_-[$$-409]* &quot;-&quot;??_ ;_-@_ ">
                  <c:v>396.85859999999991</c:v>
                </c:pt>
                <c:pt idx="582" formatCode="_-[$$-409]* #,##0.00_ ;_-[$$-409]* \-#,##0.00\ ;_-[$$-409]* &quot;-&quot;??_ ;_-@_ ">
                  <c:v>396.77379999999999</c:v>
                </c:pt>
                <c:pt idx="583" formatCode="_-[$$-409]* #,##0.00_ ;_-[$$-409]* \-#,##0.00\ ;_-[$$-409]* &quot;-&quot;??_ ;_-@_ ">
                  <c:v>396.7109999999999</c:v>
                </c:pt>
                <c:pt idx="584" formatCode="_-[$$-409]* #,##0.00_ ;_-[$$-409]* \-#,##0.00\ ;_-[$$-409]* &quot;-&quot;??_ ;_-@_ ">
                  <c:v>396.81319999999994</c:v>
                </c:pt>
                <c:pt idx="585" formatCode="_-[$$-409]* #,##0.00_ ;_-[$$-409]* \-#,##0.00\ ;_-[$$-409]* &quot;-&quot;??_ ;_-@_ ">
                  <c:v>397.1040000000001</c:v>
                </c:pt>
                <c:pt idx="586" formatCode="_-[$$-409]* #,##0.00_ ;_-[$$-409]* \-#,##0.00\ ;_-[$$-409]* &quot;-&quot;??_ ;_-@_ ">
                  <c:v>397.58740000000006</c:v>
                </c:pt>
                <c:pt idx="587" formatCode="_-[$$-409]* #,##0.00_ ;_-[$$-409]* \-#,##0.00\ ;_-[$$-409]* &quot;-&quot;??_ ;_-@_ ">
                  <c:v>398.06600000000003</c:v>
                </c:pt>
                <c:pt idx="588" formatCode="_-[$$-409]* #,##0.00_ ;_-[$$-409]* \-#,##0.00\ ;_-[$$-409]* &quot;-&quot;??_ ;_-@_ ">
                  <c:v>398.30680000000007</c:v>
                </c:pt>
                <c:pt idx="589" formatCode="_-[$$-409]* #,##0.00_ ;_-[$$-409]* \-#,##0.00\ ;_-[$$-409]* &quot;-&quot;??_ ;_-@_ ">
                  <c:v>398.67080000000004</c:v>
                </c:pt>
                <c:pt idx="590" formatCode="_-[$$-409]* #,##0.00_ ;_-[$$-409]* \-#,##0.00\ ;_-[$$-409]* &quot;-&quot;??_ ;_-@_ ">
                  <c:v>398.84380000000004</c:v>
                </c:pt>
                <c:pt idx="591" formatCode="_-[$$-409]* #,##0.00_ ;_-[$$-409]* \-#,##0.00\ ;_-[$$-409]* &quot;-&quot;??_ ;_-@_ ">
                  <c:v>398.93400000000008</c:v>
                </c:pt>
                <c:pt idx="592" formatCode="_-[$$-409]* #,##0.00_ ;_-[$$-409]* \-#,##0.00\ ;_-[$$-409]* &quot;-&quot;??_ ;_-@_ ">
                  <c:v>399.10800000000012</c:v>
                </c:pt>
                <c:pt idx="593" formatCode="_-[$$-409]* #,##0.00_ ;_-[$$-409]* \-#,##0.00\ ;_-[$$-409]* &quot;-&quot;??_ ;_-@_ ">
                  <c:v>399.27380000000005</c:v>
                </c:pt>
                <c:pt idx="594" formatCode="_-[$$-409]* #,##0.00_ ;_-[$$-409]* \-#,##0.00\ ;_-[$$-409]* &quot;-&quot;??_ ;_-@_ ">
                  <c:v>399.41079999999999</c:v>
                </c:pt>
                <c:pt idx="595" formatCode="_-[$$-409]* #,##0.00_ ;_-[$$-409]* \-#,##0.00\ ;_-[$$-409]* &quot;-&quot;??_ ;_-@_ ">
                  <c:v>399.71660000000003</c:v>
                </c:pt>
                <c:pt idx="596" formatCode="_-[$$-409]* #,##0.00_ ;_-[$$-409]* \-#,##0.00\ ;_-[$$-409]* &quot;-&quot;??_ ;_-@_ ">
                  <c:v>399.84120000000001</c:v>
                </c:pt>
                <c:pt idx="597" formatCode="_-[$$-409]* #,##0.00_ ;_-[$$-409]* \-#,##0.00\ ;_-[$$-409]* &quot;-&quot;??_ ;_-@_ ">
                  <c:v>400.12840000000006</c:v>
                </c:pt>
                <c:pt idx="598" formatCode="_-[$$-409]* #,##0.00_ ;_-[$$-409]* \-#,##0.00\ ;_-[$$-409]* &quot;-&quot;??_ ;_-@_ ">
                  <c:v>400.34500000000008</c:v>
                </c:pt>
                <c:pt idx="599" formatCode="_-[$$-409]* #,##0.00_ ;_-[$$-409]* \-#,##0.00\ ;_-[$$-409]* &quot;-&quot;??_ ;_-@_ ">
                  <c:v>400.43000000000006</c:v>
                </c:pt>
                <c:pt idx="600" formatCode="_-[$$-409]* #,##0.00_ ;_-[$$-409]* \-#,##0.00\ ;_-[$$-409]* &quot;-&quot;??_ ;_-@_ ">
                  <c:v>400.48180000000002</c:v>
                </c:pt>
                <c:pt idx="601" formatCode="_-[$$-409]* #,##0.00_ ;_-[$$-409]* \-#,##0.00\ ;_-[$$-409]* &quot;-&quot;??_ ;_-@_ ">
                  <c:v>400.4864</c:v>
                </c:pt>
                <c:pt idx="602" formatCode="_-[$$-409]* #,##0.00_ ;_-[$$-409]* \-#,##0.00\ ;_-[$$-409]* &quot;-&quot;??_ ;_-@_ ">
                  <c:v>400.47700000000003</c:v>
                </c:pt>
                <c:pt idx="603" formatCode="_-[$$-409]* #,##0.00_ ;_-[$$-409]* \-#,##0.00\ ;_-[$$-409]* &quot;-&quot;??_ ;_-@_ ">
                  <c:v>400.41900000000004</c:v>
                </c:pt>
                <c:pt idx="604" formatCode="_-[$$-409]* #,##0.00_ ;_-[$$-409]* \-#,##0.00\ ;_-[$$-409]* &quot;-&quot;??_ ;_-@_ ">
                  <c:v>400.49059999999997</c:v>
                </c:pt>
                <c:pt idx="605" formatCode="_-[$$-409]* #,##0.00_ ;_-[$$-409]* \-#,##0.00\ ;_-[$$-409]* &quot;-&quot;??_ ;_-@_ ">
                  <c:v>400.73480000000001</c:v>
                </c:pt>
                <c:pt idx="606" formatCode="_-[$$-409]* #,##0.00_ ;_-[$$-409]* \-#,##0.00\ ;_-[$$-409]* &quot;-&quot;??_ ;_-@_ ">
                  <c:v>401.14979999999997</c:v>
                </c:pt>
                <c:pt idx="607" formatCode="_-[$$-409]* #,##0.00_ ;_-[$$-409]* \-#,##0.00\ ;_-[$$-409]* &quot;-&quot;??_ ;_-@_ ">
                  <c:v>401.45119999999997</c:v>
                </c:pt>
                <c:pt idx="608" formatCode="_-[$$-409]* #,##0.00_ ;_-[$$-409]* \-#,##0.00\ ;_-[$$-409]* &quot;-&quot;??_ ;_-@_ ">
                  <c:v>401.61199999999991</c:v>
                </c:pt>
                <c:pt idx="609" formatCode="_-[$$-409]* #,##0.00_ ;_-[$$-409]* \-#,##0.00\ ;_-[$$-409]* &quot;-&quot;??_ ;_-@_ ">
                  <c:v>401.75999999999993</c:v>
                </c:pt>
                <c:pt idx="610" formatCode="_-[$$-409]* #,##0.00_ ;_-[$$-409]* \-#,##0.00\ ;_-[$$-409]* &quot;-&quot;??_ ;_-@_ ">
                  <c:v>401.93679999999995</c:v>
                </c:pt>
                <c:pt idx="611" formatCode="_-[$$-409]* #,##0.00_ ;_-[$$-409]* \-#,##0.00\ ;_-[$$-409]* &quot;-&quot;??_ ;_-@_ ">
                  <c:v>402.03399999999993</c:v>
                </c:pt>
                <c:pt idx="612" formatCode="_-[$$-409]* #,##0.00_ ;_-[$$-409]* \-#,##0.00\ ;_-[$$-409]* &quot;-&quot;??_ ;_-@_ ">
                  <c:v>402.11479999999995</c:v>
                </c:pt>
                <c:pt idx="613" formatCode="_-[$$-409]* #,##0.00_ ;_-[$$-409]* \-#,##0.00\ ;_-[$$-409]* &quot;-&quot;??_ ;_-@_ ">
                  <c:v>402.26399999999995</c:v>
                </c:pt>
                <c:pt idx="614" formatCode="_-[$$-409]* #,##0.00_ ;_-[$$-409]* \-#,##0.00\ ;_-[$$-409]* &quot;-&quot;??_ ;_-@_ ">
                  <c:v>402.40379999999999</c:v>
                </c:pt>
                <c:pt idx="615" formatCode="_-[$$-409]* #,##0.00_ ;_-[$$-409]* \-#,##0.00\ ;_-[$$-409]* &quot;-&quot;??_ ;_-@_ ">
                  <c:v>402.43699999999995</c:v>
                </c:pt>
                <c:pt idx="616" formatCode="_-[$$-409]* #,##0.00_ ;_-[$$-409]* \-#,##0.00\ ;_-[$$-409]* &quot;-&quot;??_ ;_-@_ ">
                  <c:v>402.38019999999995</c:v>
                </c:pt>
                <c:pt idx="617" formatCode="_-[$$-409]* #,##0.00_ ;_-[$$-409]* \-#,##0.00\ ;_-[$$-409]* &quot;-&quot;??_ ;_-@_ ">
                  <c:v>402.41739999999999</c:v>
                </c:pt>
                <c:pt idx="618" formatCode="_-[$$-409]* #,##0.00_ ;_-[$$-409]* \-#,##0.00\ ;_-[$$-409]* &quot;-&quot;??_ ;_-@_ ">
                  <c:v>402.50360000000001</c:v>
                </c:pt>
                <c:pt idx="619" formatCode="_-[$$-409]* #,##0.00_ ;_-[$$-409]* \-#,##0.00\ ;_-[$$-409]* &quot;-&quot;??_ ;_-@_ ">
                  <c:v>402.43740000000003</c:v>
                </c:pt>
                <c:pt idx="620" formatCode="_-[$$-409]* #,##0.00_ ;_-[$$-409]* \-#,##0.00\ ;_-[$$-409]* &quot;-&quot;??_ ;_-@_ ">
                  <c:v>402.46840000000009</c:v>
                </c:pt>
                <c:pt idx="621" formatCode="_-[$$-409]* #,##0.00_ ;_-[$$-409]* \-#,##0.00\ ;_-[$$-409]* &quot;-&quot;??_ ;_-@_ ">
                  <c:v>402.57920000000007</c:v>
                </c:pt>
                <c:pt idx="622" formatCode="_-[$$-409]* #,##0.00_ ;_-[$$-409]* \-#,##0.00\ ;_-[$$-409]* &quot;-&quot;??_ ;_-@_ ">
                  <c:v>402.54000000000008</c:v>
                </c:pt>
                <c:pt idx="623" formatCode="_-[$$-409]* #,##0.00_ ;_-[$$-409]* \-#,##0.00\ ;_-[$$-409]* &quot;-&quot;??_ ;_-@_ ">
                  <c:v>402.37060000000002</c:v>
                </c:pt>
                <c:pt idx="624" formatCode="_-[$$-409]* #,##0.00_ ;_-[$$-409]* \-#,##0.00\ ;_-[$$-409]* &quot;-&quot;??_ ;_-@_ ">
                  <c:v>402.36600000000004</c:v>
                </c:pt>
                <c:pt idx="625" formatCode="_-[$$-409]* #,##0.00_ ;_-[$$-409]* \-#,##0.00\ ;_-[$$-409]* &quot;-&quot;??_ ;_-@_ ">
                  <c:v>402.40500000000009</c:v>
                </c:pt>
                <c:pt idx="626" formatCode="_-[$$-409]* #,##0.00_ ;_-[$$-409]* \-#,##0.00\ ;_-[$$-409]* &quot;-&quot;??_ ;_-@_ ">
                  <c:v>402.54960000000005</c:v>
                </c:pt>
                <c:pt idx="627" formatCode="_-[$$-409]* #,##0.00_ ;_-[$$-409]* \-#,##0.00\ ;_-[$$-409]* &quot;-&quot;??_ ;_-@_ ">
                  <c:v>402.62120000000004</c:v>
                </c:pt>
                <c:pt idx="628" formatCode="_-[$$-409]* #,##0.00_ ;_-[$$-409]* \-#,##0.00\ ;_-[$$-409]* &quot;-&quot;??_ ;_-@_ ">
                  <c:v>402.7998</c:v>
                </c:pt>
                <c:pt idx="629" formatCode="_-[$$-409]* #,##0.00_ ;_-[$$-409]* \-#,##0.00\ ;_-[$$-409]* &quot;-&quot;??_ ;_-@_ ">
                  <c:v>402.93159999999995</c:v>
                </c:pt>
                <c:pt idx="630" formatCode="_-[$$-409]* #,##0.00_ ;_-[$$-409]* \-#,##0.00\ ;_-[$$-409]* &quot;-&quot;??_ ;_-@_ ">
                  <c:v>403.17100000000005</c:v>
                </c:pt>
                <c:pt idx="631" formatCode="_-[$$-409]* #,##0.00_ ;_-[$$-409]* \-#,##0.00\ ;_-[$$-409]* &quot;-&quot;??_ ;_-@_ ">
                  <c:v>403.4982</c:v>
                </c:pt>
                <c:pt idx="632" formatCode="_-[$$-409]* #,##0.00_ ;_-[$$-409]* \-#,##0.00\ ;_-[$$-409]* &quot;-&quot;??_ ;_-@_ ">
                  <c:v>403.76219999999995</c:v>
                </c:pt>
                <c:pt idx="633" formatCode="_-[$$-409]* #,##0.00_ ;_-[$$-409]* \-#,##0.00\ ;_-[$$-409]* &quot;-&quot;??_ ;_-@_ ">
                  <c:v>404.09399999999999</c:v>
                </c:pt>
                <c:pt idx="634" formatCode="_-[$$-409]* #,##0.00_ ;_-[$$-409]* \-#,##0.00\ ;_-[$$-409]* &quot;-&quot;??_ ;_-@_ ">
                  <c:v>404.4418</c:v>
                </c:pt>
                <c:pt idx="635" formatCode="_-[$$-409]* #,##0.00_ ;_-[$$-409]* \-#,##0.00\ ;_-[$$-409]* &quot;-&quot;??_ ;_-@_ ">
                  <c:v>404.71740000000005</c:v>
                </c:pt>
                <c:pt idx="636" formatCode="_-[$$-409]* #,##0.00_ ;_-[$$-409]* \-#,##0.00\ ;_-[$$-409]* &quot;-&quot;??_ ;_-@_ ">
                  <c:v>404.8938</c:v>
                </c:pt>
                <c:pt idx="637" formatCode="_-[$$-409]* #,##0.00_ ;_-[$$-409]* \-#,##0.00\ ;_-[$$-409]* &quot;-&quot;??_ ;_-@_ ">
                  <c:v>405.00939999999997</c:v>
                </c:pt>
                <c:pt idx="638" formatCode="_-[$$-409]* #,##0.00_ ;_-[$$-409]* \-#,##0.00\ ;_-[$$-409]* &quot;-&quot;??_ ;_-@_ ">
                  <c:v>405.34860000000003</c:v>
                </c:pt>
                <c:pt idx="639" formatCode="_-[$$-409]* #,##0.00_ ;_-[$$-409]* \-#,##0.00\ ;_-[$$-409]* &quot;-&quot;??_ ;_-@_ ">
                  <c:v>405.75479999999988</c:v>
                </c:pt>
                <c:pt idx="640" formatCode="_-[$$-409]* #,##0.00_ ;_-[$$-409]* \-#,##0.00\ ;_-[$$-409]* &quot;-&quot;??_ ;_-@_ ">
                  <c:v>406.29599999999982</c:v>
                </c:pt>
                <c:pt idx="641" formatCode="_-[$$-409]* #,##0.00_ ;_-[$$-409]* \-#,##0.00\ ;_-[$$-409]* &quot;-&quot;??_ ;_-@_ ">
                  <c:v>406.95359999999988</c:v>
                </c:pt>
                <c:pt idx="642" formatCode="_-[$$-409]* #,##0.00_ ;_-[$$-409]* \-#,##0.00\ ;_-[$$-409]* &quot;-&quot;??_ ;_-@_ ">
                  <c:v>407.52819999999991</c:v>
                </c:pt>
                <c:pt idx="643" formatCode="_-[$$-409]* #,##0.00_ ;_-[$$-409]* \-#,##0.00\ ;_-[$$-409]* &quot;-&quot;??_ ;_-@_ ">
                  <c:v>407.91539999999992</c:v>
                </c:pt>
                <c:pt idx="644" formatCode="_-[$$-409]* #,##0.00_ ;_-[$$-409]* \-#,##0.00\ ;_-[$$-409]* &quot;-&quot;??_ ;_-@_ ">
                  <c:v>408.42279999999994</c:v>
                </c:pt>
                <c:pt idx="645" formatCode="_-[$$-409]* #,##0.00_ ;_-[$$-409]* \-#,##0.00\ ;_-[$$-409]* &quot;-&quot;??_ ;_-@_ ">
                  <c:v>408.90100000000001</c:v>
                </c:pt>
                <c:pt idx="646" formatCode="_-[$$-409]* #,##0.00_ ;_-[$$-409]* \-#,##0.00\ ;_-[$$-409]* &quot;-&quot;??_ ;_-@_ ">
                  <c:v>409.50479999999993</c:v>
                </c:pt>
                <c:pt idx="647" formatCode="_-[$$-409]* #,##0.00_ ;_-[$$-409]* \-#,##0.00\ ;_-[$$-409]* &quot;-&quot;??_ ;_-@_ ">
                  <c:v>409.98699999999997</c:v>
                </c:pt>
                <c:pt idx="648" formatCode="_-[$$-409]* #,##0.00_ ;_-[$$-409]* \-#,##0.00\ ;_-[$$-409]* &quot;-&quot;??_ ;_-@_ ">
                  <c:v>410.44519999999994</c:v>
                </c:pt>
                <c:pt idx="649" formatCode="_-[$$-409]* #,##0.00_ ;_-[$$-409]* \-#,##0.00\ ;_-[$$-409]* &quot;-&quot;??_ ;_-@_ ">
                  <c:v>411.16140000000001</c:v>
                </c:pt>
                <c:pt idx="650" formatCode="_-[$$-409]* #,##0.00_ ;_-[$$-409]* \-#,##0.00\ ;_-[$$-409]* &quot;-&quot;??_ ;_-@_ ">
                  <c:v>411.83999999999992</c:v>
                </c:pt>
                <c:pt idx="651" formatCode="_-[$$-409]* #,##0.00_ ;_-[$$-409]* \-#,##0.00\ ;_-[$$-409]* &quot;-&quot;??_ ;_-@_ ">
                  <c:v>412.48559999999998</c:v>
                </c:pt>
                <c:pt idx="652" formatCode="_-[$$-409]* #,##0.00_ ;_-[$$-409]* \-#,##0.00\ ;_-[$$-409]* &quot;-&quot;??_ ;_-@_ ">
                  <c:v>413.08679999999993</c:v>
                </c:pt>
                <c:pt idx="653" formatCode="_-[$$-409]* #,##0.00_ ;_-[$$-409]* \-#,##0.00\ ;_-[$$-409]* &quot;-&quot;??_ ;_-@_ ">
                  <c:v>413.7573999999999</c:v>
                </c:pt>
                <c:pt idx="654" formatCode="_-[$$-409]* #,##0.00_ ;_-[$$-409]* \-#,##0.00\ ;_-[$$-409]* &quot;-&quot;??_ ;_-@_ ">
                  <c:v>414.32839999999999</c:v>
                </c:pt>
                <c:pt idx="655" formatCode="_-[$$-409]* #,##0.00_ ;_-[$$-409]* \-#,##0.00\ ;_-[$$-409]* &quot;-&quot;??_ ;_-@_ ">
                  <c:v>414.93039999999985</c:v>
                </c:pt>
                <c:pt idx="656" formatCode="_-[$$-409]* #,##0.00_ ;_-[$$-409]* \-#,##0.00\ ;_-[$$-409]* &quot;-&quot;??_ ;_-@_ ">
                  <c:v>415.47579999999988</c:v>
                </c:pt>
                <c:pt idx="657" formatCode="_-[$$-409]* #,##0.00_ ;_-[$$-409]* \-#,##0.00\ ;_-[$$-409]* &quot;-&quot;??_ ;_-@_ ">
                  <c:v>416.00039999999996</c:v>
                </c:pt>
                <c:pt idx="658" formatCode="_-[$$-409]* #,##0.00_ ;_-[$$-409]* \-#,##0.00\ ;_-[$$-409]* &quot;-&quot;??_ ;_-@_ ">
                  <c:v>416.67899999999992</c:v>
                </c:pt>
                <c:pt idx="659" formatCode="_-[$$-409]* #,##0.00_ ;_-[$$-409]* \-#,##0.00\ ;_-[$$-409]* &quot;-&quot;??_ ;_-@_ ">
                  <c:v>417.31619999999987</c:v>
                </c:pt>
                <c:pt idx="660" formatCode="_-[$$-409]* #,##0.00_ ;_-[$$-409]* \-#,##0.00\ ;_-[$$-409]* &quot;-&quot;??_ ;_-@_ ">
                  <c:v>417.87599999999998</c:v>
                </c:pt>
                <c:pt idx="661" formatCode="_-[$$-409]* #,##0.00_ ;_-[$$-409]* \-#,##0.00\ ;_-[$$-409]* &quot;-&quot;??_ ;_-@_ ">
                  <c:v>418.38260000000002</c:v>
                </c:pt>
                <c:pt idx="662" formatCode="_-[$$-409]* #,##0.00_ ;_-[$$-409]* \-#,##0.00\ ;_-[$$-409]* &quot;-&quot;??_ ;_-@_ ">
                  <c:v>418.91840000000002</c:v>
                </c:pt>
                <c:pt idx="663" formatCode="_-[$$-409]* #,##0.00_ ;_-[$$-409]* \-#,##0.00\ ;_-[$$-409]* &quot;-&quot;??_ ;_-@_ ">
                  <c:v>419.42159999999996</c:v>
                </c:pt>
                <c:pt idx="664" formatCode="_-[$$-409]* #,##0.00_ ;_-[$$-409]* \-#,##0.00\ ;_-[$$-409]* &quot;-&quot;??_ ;_-@_ ">
                  <c:v>419.78099999999989</c:v>
                </c:pt>
                <c:pt idx="665" formatCode="_-[$$-409]* #,##0.00_ ;_-[$$-409]* \-#,##0.00\ ;_-[$$-409]* &quot;-&quot;??_ ;_-@_ ">
                  <c:v>420.25519999999983</c:v>
                </c:pt>
                <c:pt idx="666" formatCode="_-[$$-409]* #,##0.00_ ;_-[$$-409]* \-#,##0.00\ ;_-[$$-409]* &quot;-&quot;??_ ;_-@_ ">
                  <c:v>420.70419999999984</c:v>
                </c:pt>
                <c:pt idx="667" formatCode="_-[$$-409]* #,##0.00_ ;_-[$$-409]* \-#,##0.00\ ;_-[$$-409]* &quot;-&quot;??_ ;_-@_ ">
                  <c:v>421.18219999999985</c:v>
                </c:pt>
                <c:pt idx="668" formatCode="_-[$$-409]* #,##0.00_ ;_-[$$-409]* \-#,##0.00\ ;_-[$$-409]* &quot;-&quot;??_ ;_-@_ ">
                  <c:v>421.76499999999987</c:v>
                </c:pt>
                <c:pt idx="669" formatCode="_-[$$-409]* #,##0.00_ ;_-[$$-409]* \-#,##0.00\ ;_-[$$-409]* &quot;-&quot;??_ ;_-@_ ">
                  <c:v>422.40319999999991</c:v>
                </c:pt>
                <c:pt idx="670" formatCode="_-[$$-409]* #,##0.00_ ;_-[$$-409]* \-#,##0.00\ ;_-[$$-409]* &quot;-&quot;??_ ;_-@_ ">
                  <c:v>423.02179999999987</c:v>
                </c:pt>
                <c:pt idx="671" formatCode="_-[$$-409]* #,##0.00_ ;_-[$$-409]* \-#,##0.00\ ;_-[$$-409]* &quot;-&quot;??_ ;_-@_ ">
                  <c:v>423.56239999999991</c:v>
                </c:pt>
                <c:pt idx="672" formatCode="_-[$$-409]* #,##0.00_ ;_-[$$-409]* \-#,##0.00\ ;_-[$$-409]* &quot;-&quot;??_ ;_-@_ ">
                  <c:v>424.21179999999987</c:v>
                </c:pt>
                <c:pt idx="673" formatCode="_-[$$-409]* #,##0.00_ ;_-[$$-409]* \-#,##0.00\ ;_-[$$-409]* &quot;-&quot;??_ ;_-@_ ">
                  <c:v>424.91779999999994</c:v>
                </c:pt>
                <c:pt idx="674" formatCode="_-[$$-409]* #,##0.00_ ;_-[$$-409]* \-#,##0.00\ ;_-[$$-409]* &quot;-&quot;??_ ;_-@_ ">
                  <c:v>425.51879999999989</c:v>
                </c:pt>
                <c:pt idx="675" formatCode="_-[$$-409]* #,##0.00_ ;_-[$$-409]* \-#,##0.00\ ;_-[$$-409]* &quot;-&quot;??_ ;_-@_ ">
                  <c:v>426.12059999999991</c:v>
                </c:pt>
                <c:pt idx="676" formatCode="_-[$$-409]* #,##0.00_ ;_-[$$-409]* \-#,##0.00\ ;_-[$$-409]* &quot;-&quot;??_ ;_-@_ ">
                  <c:v>426.80159999999995</c:v>
                </c:pt>
                <c:pt idx="677" formatCode="_-[$$-409]* #,##0.00_ ;_-[$$-409]* \-#,##0.00\ ;_-[$$-409]* &quot;-&quot;??_ ;_-@_ ">
                  <c:v>427.57040000000001</c:v>
                </c:pt>
                <c:pt idx="678" formatCode="_-[$$-409]* #,##0.00_ ;_-[$$-409]* \-#,##0.00\ ;_-[$$-409]* &quot;-&quot;??_ ;_-@_ ">
                  <c:v>428.42679999999996</c:v>
                </c:pt>
                <c:pt idx="679" formatCode="_-[$$-409]* #,##0.00_ ;_-[$$-409]* \-#,##0.00\ ;_-[$$-409]* &quot;-&quot;??_ ;_-@_ ">
                  <c:v>429.40799999999996</c:v>
                </c:pt>
                <c:pt idx="680" formatCode="_-[$$-409]* #,##0.00_ ;_-[$$-409]* \-#,##0.00\ ;_-[$$-409]* &quot;-&quot;??_ ;_-@_ ">
                  <c:v>430.25939999999997</c:v>
                </c:pt>
                <c:pt idx="681" formatCode="_-[$$-409]* #,##0.00_ ;_-[$$-409]* \-#,##0.00\ ;_-[$$-409]* &quot;-&quot;??_ ;_-@_ ">
                  <c:v>431.04820000000001</c:v>
                </c:pt>
                <c:pt idx="682" formatCode="_-[$$-409]* #,##0.00_ ;_-[$$-409]* \-#,##0.00\ ;_-[$$-409]* &quot;-&quot;??_ ;_-@_ ">
                  <c:v>431.8732</c:v>
                </c:pt>
                <c:pt idx="683" formatCode="_-[$$-409]* #,##0.00_ ;_-[$$-409]* \-#,##0.00\ ;_-[$$-409]* &quot;-&quot;??_ ;_-@_ ">
                  <c:v>432.7002</c:v>
                </c:pt>
                <c:pt idx="684" formatCode="_-[$$-409]* #,##0.00_ ;_-[$$-409]* \-#,##0.00\ ;_-[$$-409]* &quot;-&quot;??_ ;_-@_ ">
                  <c:v>433.56639999999999</c:v>
                </c:pt>
                <c:pt idx="685" formatCode="_-[$$-409]* #,##0.00_ ;_-[$$-409]* \-#,##0.00\ ;_-[$$-409]* &quot;-&quot;??_ ;_-@_ ">
                  <c:v>434.44479999999999</c:v>
                </c:pt>
                <c:pt idx="686" formatCode="_-[$$-409]* #,##0.00_ ;_-[$$-409]* \-#,##0.00\ ;_-[$$-409]* &quot;-&quot;??_ ;_-@_ ">
                  <c:v>435.23440000000005</c:v>
                </c:pt>
                <c:pt idx="687" formatCode="_-[$$-409]* #,##0.00_ ;_-[$$-409]* \-#,##0.00\ ;_-[$$-409]* &quot;-&quot;??_ ;_-@_ ">
                  <c:v>436.16779999999994</c:v>
                </c:pt>
                <c:pt idx="688" formatCode="_-[$$-409]* #,##0.00_ ;_-[$$-409]* \-#,##0.00\ ;_-[$$-409]* &quot;-&quot;??_ ;_-@_ ">
                  <c:v>437.01899999999995</c:v>
                </c:pt>
                <c:pt idx="689" formatCode="_-[$$-409]* #,##0.00_ ;_-[$$-409]* \-#,##0.00\ ;_-[$$-409]* &quot;-&quot;??_ ;_-@_ ">
                  <c:v>437.76399999999995</c:v>
                </c:pt>
                <c:pt idx="690" formatCode="_-[$$-409]* #,##0.00_ ;_-[$$-409]* \-#,##0.00\ ;_-[$$-409]* &quot;-&quot;??_ ;_-@_ ">
                  <c:v>438.39419999999996</c:v>
                </c:pt>
                <c:pt idx="691" formatCode="_-[$$-409]* #,##0.00_ ;_-[$$-409]* \-#,##0.00\ ;_-[$$-409]* &quot;-&quot;??_ ;_-@_ ">
                  <c:v>438.99520000000007</c:v>
                </c:pt>
                <c:pt idx="692" formatCode="_-[$$-409]* #,##0.00_ ;_-[$$-409]* \-#,##0.00\ ;_-[$$-409]* &quot;-&quot;??_ ;_-@_ ">
                  <c:v>439.64959999999996</c:v>
                </c:pt>
                <c:pt idx="693" formatCode="_-[$$-409]* #,##0.00_ ;_-[$$-409]* \-#,##0.00\ ;_-[$$-409]* &quot;-&quot;??_ ;_-@_ ">
                  <c:v>440.44200000000006</c:v>
                </c:pt>
                <c:pt idx="694" formatCode="_-[$$-409]* #,##0.00_ ;_-[$$-409]* \-#,##0.00\ ;_-[$$-409]* &quot;-&quot;??_ ;_-@_ ">
                  <c:v>441.12400000000002</c:v>
                </c:pt>
                <c:pt idx="695" formatCode="_-[$$-409]* #,##0.00_ ;_-[$$-409]* \-#,##0.00\ ;_-[$$-409]* &quot;-&quot;??_ ;_-@_ ">
                  <c:v>441.6386</c:v>
                </c:pt>
                <c:pt idx="696" formatCode="_-[$$-409]* #,##0.00_ ;_-[$$-409]* \-#,##0.00\ ;_-[$$-409]* &quot;-&quot;??_ ;_-@_ ">
                  <c:v>442.15320000000008</c:v>
                </c:pt>
                <c:pt idx="697" formatCode="_-[$$-409]* #,##0.00_ ;_-[$$-409]* \-#,##0.00\ ;_-[$$-409]* &quot;-&quot;??_ ;_-@_ ">
                  <c:v>442.70920000000012</c:v>
                </c:pt>
                <c:pt idx="698" formatCode="_-[$$-409]* #,##0.00_ ;_-[$$-409]* \-#,##0.00\ ;_-[$$-409]* &quot;-&quot;??_ ;_-@_ ">
                  <c:v>443.23500000000013</c:v>
                </c:pt>
                <c:pt idx="699" formatCode="_-[$$-409]* #,##0.00_ ;_-[$$-409]* \-#,##0.00\ ;_-[$$-409]* &quot;-&quot;??_ ;_-@_ ">
                  <c:v>443.53440000000012</c:v>
                </c:pt>
                <c:pt idx="700" formatCode="_-[$$-409]* #,##0.00_ ;_-[$$-409]* \-#,##0.00\ ;_-[$$-409]* &quot;-&quot;??_ ;_-@_ ">
                  <c:v>443.78520000000003</c:v>
                </c:pt>
                <c:pt idx="701" formatCode="_-[$$-409]* #,##0.00_ ;_-[$$-409]* \-#,##0.00\ ;_-[$$-409]* &quot;-&quot;??_ ;_-@_ ">
                  <c:v>443.95040000000006</c:v>
                </c:pt>
                <c:pt idx="702" formatCode="_-[$$-409]* #,##0.00_ ;_-[$$-409]* \-#,##0.00\ ;_-[$$-409]* &quot;-&quot;??_ ;_-@_ ">
                  <c:v>444.14940000000007</c:v>
                </c:pt>
                <c:pt idx="703" formatCode="_-[$$-409]* #,##0.00_ ;_-[$$-409]* \-#,##0.00\ ;_-[$$-409]* &quot;-&quot;??_ ;_-@_ ">
                  <c:v>444.35360000000009</c:v>
                </c:pt>
                <c:pt idx="704" formatCode="_-[$$-409]* #,##0.00_ ;_-[$$-409]* \-#,##0.00\ ;_-[$$-409]* &quot;-&quot;??_ ;_-@_ ">
                  <c:v>444.51860000000011</c:v>
                </c:pt>
                <c:pt idx="705" formatCode="_-[$$-409]* #,##0.00_ ;_-[$$-409]* \-#,##0.00\ ;_-[$$-409]* &quot;-&quot;??_ ;_-@_ ">
                  <c:v>444.70320000000009</c:v>
                </c:pt>
                <c:pt idx="706" formatCode="_-[$$-409]* #,##0.00_ ;_-[$$-409]* \-#,##0.00\ ;_-[$$-409]* &quot;-&quot;??_ ;_-@_ ">
                  <c:v>444.70780000000008</c:v>
                </c:pt>
                <c:pt idx="707" formatCode="_-[$$-409]* #,##0.00_ ;_-[$$-409]* \-#,##0.00\ ;_-[$$-409]* &quot;-&quot;??_ ;_-@_ ">
                  <c:v>444.76360000000005</c:v>
                </c:pt>
                <c:pt idx="708" formatCode="_-[$$-409]* #,##0.00_ ;_-[$$-409]* \-#,##0.00\ ;_-[$$-409]* &quot;-&quot;??_ ;_-@_ ">
                  <c:v>444.76679999999999</c:v>
                </c:pt>
                <c:pt idx="709" formatCode="_-[$$-409]* #,##0.00_ ;_-[$$-409]* \-#,##0.00\ ;_-[$$-409]* &quot;-&quot;??_ ;_-@_ ">
                  <c:v>444.96080000000006</c:v>
                </c:pt>
                <c:pt idx="710" formatCode="_-[$$-409]* #,##0.00_ ;_-[$$-409]* \-#,##0.00\ ;_-[$$-409]* &quot;-&quot;??_ ;_-@_ ">
                  <c:v>445.23739999999998</c:v>
                </c:pt>
                <c:pt idx="711" formatCode="_-[$$-409]* #,##0.00_ ;_-[$$-409]* \-#,##0.00\ ;_-[$$-409]* &quot;-&quot;??_ ;_-@_ ">
                  <c:v>445.54559999999992</c:v>
                </c:pt>
                <c:pt idx="712" formatCode="_-[$$-409]* #,##0.00_ ;_-[$$-409]* \-#,##0.00\ ;_-[$$-409]* &quot;-&quot;??_ ;_-@_ ">
                  <c:v>445.83919999999989</c:v>
                </c:pt>
                <c:pt idx="713" formatCode="_-[$$-409]* #,##0.00_ ;_-[$$-409]* \-#,##0.00\ ;_-[$$-409]* &quot;-&quot;??_ ;_-@_ ">
                  <c:v>446.15979999999996</c:v>
                </c:pt>
                <c:pt idx="714" formatCode="_-[$$-409]* #,##0.00_ ;_-[$$-409]* \-#,##0.00\ ;_-[$$-409]* &quot;-&quot;??_ ;_-@_ ">
                  <c:v>446.45539999999994</c:v>
                </c:pt>
                <c:pt idx="715" formatCode="_-[$$-409]* #,##0.00_ ;_-[$$-409]* \-#,##0.00\ ;_-[$$-409]* &quot;-&quot;??_ ;_-@_ ">
                  <c:v>446.62899999999985</c:v>
                </c:pt>
                <c:pt idx="716" formatCode="_-[$$-409]* #,##0.00_ ;_-[$$-409]* \-#,##0.00\ ;_-[$$-409]* &quot;-&quot;??_ ;_-@_ ">
                  <c:v>446.81159999999988</c:v>
                </c:pt>
                <c:pt idx="717" formatCode="_-[$$-409]* #,##0.00_ ;_-[$$-409]* \-#,##0.00\ ;_-[$$-409]* &quot;-&quot;??_ ;_-@_ ">
                  <c:v>447.01839999999987</c:v>
                </c:pt>
                <c:pt idx="718" formatCode="_-[$$-409]* #,##0.00_ ;_-[$$-409]* \-#,##0.00\ ;_-[$$-409]* &quot;-&quot;??_ ;_-@_ ">
                  <c:v>447.07259999999985</c:v>
                </c:pt>
                <c:pt idx="719" formatCode="_-[$$-409]* #,##0.00_ ;_-[$$-409]* \-#,##0.00\ ;_-[$$-409]* &quot;-&quot;??_ ;_-@_ ">
                  <c:v>447.1269999999999</c:v>
                </c:pt>
                <c:pt idx="720" formatCode="_-[$$-409]* #,##0.00_ ;_-[$$-409]* \-#,##0.00\ ;_-[$$-409]* &quot;-&quot;??_ ;_-@_ ">
                  <c:v>447.27159999999986</c:v>
                </c:pt>
                <c:pt idx="721" formatCode="_-[$$-409]* #,##0.00_ ;_-[$$-409]* \-#,##0.00\ ;_-[$$-409]* &quot;-&quot;??_ ;_-@_ ">
                  <c:v>447.34579999999988</c:v>
                </c:pt>
                <c:pt idx="722" formatCode="_-[$$-409]* #,##0.00_ ;_-[$$-409]* \-#,##0.00\ ;_-[$$-409]* &quot;-&quot;??_ ;_-@_ ">
                  <c:v>447.4473999999999</c:v>
                </c:pt>
                <c:pt idx="723" formatCode="_-[$$-409]* #,##0.00_ ;_-[$$-409]* \-#,##0.00\ ;_-[$$-409]* &quot;-&quot;??_ ;_-@_ ">
                  <c:v>447.50839999999994</c:v>
                </c:pt>
                <c:pt idx="724" formatCode="_-[$$-409]* #,##0.00_ ;_-[$$-409]* \-#,##0.00\ ;_-[$$-409]* &quot;-&quot;??_ ;_-@_ ">
                  <c:v>447.43199999999996</c:v>
                </c:pt>
                <c:pt idx="725" formatCode="_-[$$-409]* #,##0.00_ ;_-[$$-409]* \-#,##0.00\ ;_-[$$-409]* &quot;-&quot;??_ ;_-@_ ">
                  <c:v>447.13940000000002</c:v>
                </c:pt>
                <c:pt idx="726" formatCode="_-[$$-409]* #,##0.00_ ;_-[$$-409]* \-#,##0.00\ ;_-[$$-409]* &quot;-&quot;??_ ;_-@_ ">
                  <c:v>446.75659999999993</c:v>
                </c:pt>
                <c:pt idx="727" formatCode="_-[$$-409]* #,##0.00_ ;_-[$$-409]* \-#,##0.00\ ;_-[$$-409]* &quot;-&quot;??_ ;_-@_ ">
                  <c:v>446.41559999999998</c:v>
                </c:pt>
                <c:pt idx="728" formatCode="_-[$$-409]* #,##0.00_ ;_-[$$-409]* \-#,##0.00\ ;_-[$$-409]* &quot;-&quot;??_ ;_-@_ ">
                  <c:v>445.91640000000001</c:v>
                </c:pt>
                <c:pt idx="729" formatCode="_-[$$-409]* #,##0.00_ ;_-[$$-409]* \-#,##0.00\ ;_-[$$-409]* &quot;-&quot;??_ ;_-@_ ">
                  <c:v>445.35359999999991</c:v>
                </c:pt>
                <c:pt idx="730" formatCode="_-[$$-409]* #,##0.00_ ;_-[$$-409]* \-#,##0.00\ ;_-[$$-409]* &quot;-&quot;??_ ;_-@_ ">
                  <c:v>444.81999999999994</c:v>
                </c:pt>
                <c:pt idx="731" formatCode="_-[$$-409]* #,##0.00_ ;_-[$$-409]* \-#,##0.00\ ;_-[$$-409]* &quot;-&quot;??_ ;_-@_ ">
                  <c:v>444.32599999999991</c:v>
                </c:pt>
                <c:pt idx="732" formatCode="_-[$$-409]* #,##0.00_ ;_-[$$-409]* \-#,##0.00\ ;_-[$$-409]* &quot;-&quot;??_ ;_-@_ ">
                  <c:v>443.82859999999999</c:v>
                </c:pt>
                <c:pt idx="733" formatCode="_-[$$-409]* #,##0.00_ ;_-[$$-409]* \-#,##0.00\ ;_-[$$-409]* &quot;-&quot;??_ ;_-@_ ">
                  <c:v>443.1764</c:v>
                </c:pt>
                <c:pt idx="734" formatCode="_-[$$-409]* #,##0.00_ ;_-[$$-409]* \-#,##0.00\ ;_-[$$-409]* &quot;-&quot;??_ ;_-@_ ">
                  <c:v>442.56080000000003</c:v>
                </c:pt>
                <c:pt idx="735" formatCode="_-[$$-409]* #,##0.00_ ;_-[$$-409]* \-#,##0.00\ ;_-[$$-409]* &quot;-&quot;??_ ;_-@_ ">
                  <c:v>441.94059999999996</c:v>
                </c:pt>
                <c:pt idx="736" formatCode="_-[$$-409]* #,##0.00_ ;_-[$$-409]* \-#,##0.00\ ;_-[$$-409]* &quot;-&quot;??_ ;_-@_ ">
                  <c:v>441.48160000000001</c:v>
                </c:pt>
                <c:pt idx="737" formatCode="_-[$$-409]* #,##0.00_ ;_-[$$-409]* \-#,##0.00\ ;_-[$$-409]* &quot;-&quot;??_ ;_-@_ ">
                  <c:v>440.98900000000003</c:v>
                </c:pt>
                <c:pt idx="738" formatCode="_-[$$-409]* #,##0.00_ ;_-[$$-409]* \-#,##0.00\ ;_-[$$-409]* &quot;-&quot;??_ ;_-@_ ">
                  <c:v>440.52400000000011</c:v>
                </c:pt>
                <c:pt idx="739" formatCode="_-[$$-409]* #,##0.00_ ;_-[$$-409]* \-#,##0.00\ ;_-[$$-409]* &quot;-&quot;??_ ;_-@_ ">
                  <c:v>440.12080000000009</c:v>
                </c:pt>
                <c:pt idx="740" formatCode="_-[$$-409]* #,##0.00_ ;_-[$$-409]* \-#,##0.00\ ;_-[$$-409]* &quot;-&quot;??_ ;_-@_ ">
                  <c:v>439.79140000000007</c:v>
                </c:pt>
                <c:pt idx="741" formatCode="_-[$$-409]* #,##0.00_ ;_-[$$-409]* \-#,##0.00\ ;_-[$$-409]* &quot;-&quot;??_ ;_-@_ ">
                  <c:v>439.44460000000004</c:v>
                </c:pt>
                <c:pt idx="742" formatCode="_-[$$-409]* #,##0.00_ ;_-[$$-409]* \-#,##0.00\ ;_-[$$-409]* &quot;-&quot;??_ ;_-@_ ">
                  <c:v>439.22920000000005</c:v>
                </c:pt>
                <c:pt idx="743" formatCode="_-[$$-409]* #,##0.00_ ;_-[$$-409]* \-#,##0.00\ ;_-[$$-409]* &quot;-&quot;??_ ;_-@_ ">
                  <c:v>438.93540000000007</c:v>
                </c:pt>
                <c:pt idx="744" formatCode="_-[$$-409]* #,##0.00_ ;_-[$$-409]* \-#,##0.00\ ;_-[$$-409]* &quot;-&quot;??_ ;_-@_ ">
                  <c:v>438.56459999999998</c:v>
                </c:pt>
                <c:pt idx="745" formatCode="_-[$$-409]* #,##0.00_ ;_-[$$-409]* \-#,##0.00\ ;_-[$$-409]* &quot;-&quot;??_ ;_-@_ ">
                  <c:v>438.1782</c:v>
                </c:pt>
                <c:pt idx="746" formatCode="_-[$$-409]* #,##0.00_ ;_-[$$-409]* \-#,##0.00\ ;_-[$$-409]* &quot;-&quot;??_ ;_-@_ ">
                  <c:v>437.68380000000002</c:v>
                </c:pt>
                <c:pt idx="747" formatCode="_-[$$-409]* #,##0.00_ ;_-[$$-409]* \-#,##0.00\ ;_-[$$-409]* &quot;-&quot;??_ ;_-@_ ">
                  <c:v>437.17999999999995</c:v>
                </c:pt>
                <c:pt idx="748" formatCode="_-[$$-409]* #,##0.00_ ;_-[$$-409]* \-#,##0.00\ ;_-[$$-409]* &quot;-&quot;??_ ;_-@_ ">
                  <c:v>436.69039999999995</c:v>
                </c:pt>
                <c:pt idx="749" formatCode="_-[$$-409]* #,##0.00_ ;_-[$$-409]* \-#,##0.00\ ;_-[$$-409]* &quot;-&quot;??_ ;_-@_ ">
                  <c:v>436.18359999999996</c:v>
                </c:pt>
                <c:pt idx="750" formatCode="_-[$$-409]* #,##0.00_ ;_-[$$-409]* \-#,##0.00\ ;_-[$$-409]* &quot;-&quot;??_ ;_-@_ ">
                  <c:v>435.64179999999988</c:v>
                </c:pt>
                <c:pt idx="751" formatCode="_-[$$-409]* #,##0.00_ ;_-[$$-409]* \-#,##0.00\ ;_-[$$-409]* &quot;-&quot;??_ ;_-@_ ">
                  <c:v>435.12959999999993</c:v>
                </c:pt>
                <c:pt idx="752" formatCode="_-[$$-409]* #,##0.00_ ;_-[$$-409]* \-#,##0.00\ ;_-[$$-409]* &quot;-&quot;??_ ;_-@_ ">
                  <c:v>434.71139999999991</c:v>
                </c:pt>
                <c:pt idx="753" formatCode="_-[$$-409]* #,##0.00_ ;_-[$$-409]* \-#,##0.00\ ;_-[$$-409]* &quot;-&quot;??_ ;_-@_ ">
                  <c:v>434.28859999999992</c:v>
                </c:pt>
                <c:pt idx="754" formatCode="_-[$$-409]* #,##0.00_ ;_-[$$-409]* \-#,##0.00\ ;_-[$$-409]* &quot;-&quot;??_ ;_-@_ ">
                  <c:v>433.97879999999992</c:v>
                </c:pt>
                <c:pt idx="755" formatCode="_-[$$-409]* #,##0.00_ ;_-[$$-409]* \-#,##0.00\ ;_-[$$-409]* &quot;-&quot;??_ ;_-@_ ">
                  <c:v>433.7333999999999</c:v>
                </c:pt>
                <c:pt idx="756" formatCode="_-[$$-409]* #,##0.00_ ;_-[$$-409]* \-#,##0.00\ ;_-[$$-409]* &quot;-&quot;??_ ;_-@_ ">
                  <c:v>433.68939999999998</c:v>
                </c:pt>
                <c:pt idx="757" formatCode="_-[$$-409]* #,##0.00_ ;_-[$$-409]* \-#,##0.00\ ;_-[$$-409]* &quot;-&quot;??_ ;_-@_ ">
                  <c:v>433.60379999999992</c:v>
                </c:pt>
                <c:pt idx="758" formatCode="_-[$$-409]* #,##0.00_ ;_-[$$-409]* \-#,##0.00\ ;_-[$$-409]* &quot;-&quot;??_ ;_-@_ ">
                  <c:v>433.48719999999992</c:v>
                </c:pt>
                <c:pt idx="759" formatCode="_-[$$-409]* #,##0.00_ ;_-[$$-409]* \-#,##0.00\ ;_-[$$-409]* &quot;-&quot;??_ ;_-@_ ">
                  <c:v>433.24899999999997</c:v>
                </c:pt>
                <c:pt idx="760" formatCode="_-[$$-409]* #,##0.00_ ;_-[$$-409]* \-#,##0.00\ ;_-[$$-409]* &quot;-&quot;??_ ;_-@_ ">
                  <c:v>432.90559999999999</c:v>
                </c:pt>
                <c:pt idx="761" formatCode="_-[$$-409]* #,##0.00_ ;_-[$$-409]* \-#,##0.00\ ;_-[$$-409]* &quot;-&quot;??_ ;_-@_ ">
                  <c:v>432.71080000000001</c:v>
                </c:pt>
                <c:pt idx="762" formatCode="_-[$$-409]* #,##0.00_ ;_-[$$-409]* \-#,##0.00\ ;_-[$$-409]* &quot;-&quot;??_ ;_-@_ ">
                  <c:v>432.49079999999992</c:v>
                </c:pt>
                <c:pt idx="763" formatCode="_-[$$-409]* #,##0.00_ ;_-[$$-409]* \-#,##0.00\ ;_-[$$-409]* &quot;-&quot;??_ ;_-@_ ">
                  <c:v>432.48059999999992</c:v>
                </c:pt>
                <c:pt idx="764" formatCode="_-[$$-409]* #,##0.00_ ;_-[$$-409]* \-#,##0.00\ ;_-[$$-409]* &quot;-&quot;??_ ;_-@_ ">
                  <c:v>432.54979999999989</c:v>
                </c:pt>
                <c:pt idx="765" formatCode="_-[$$-409]* #,##0.00_ ;_-[$$-409]* \-#,##0.00\ ;_-[$$-409]* &quot;-&quot;??_ ;_-@_ ">
                  <c:v>432.6574</c:v>
                </c:pt>
                <c:pt idx="766" formatCode="_-[$$-409]* #,##0.00_ ;_-[$$-409]* \-#,##0.00\ ;_-[$$-409]* &quot;-&quot;??_ ;_-@_ ">
                  <c:v>432.76279999999991</c:v>
                </c:pt>
                <c:pt idx="767" formatCode="_-[$$-409]* #,##0.00_ ;_-[$$-409]* \-#,##0.00\ ;_-[$$-409]* &quot;-&quot;??_ ;_-@_ ">
                  <c:v>432.87899999999996</c:v>
                </c:pt>
                <c:pt idx="768" formatCode="_-[$$-409]* #,##0.00_ ;_-[$$-409]* \-#,##0.00\ ;_-[$$-409]* &quot;-&quot;??_ ;_-@_ ">
                  <c:v>433.02459999999996</c:v>
                </c:pt>
                <c:pt idx="769" formatCode="_-[$$-409]* #,##0.00_ ;_-[$$-409]* \-#,##0.00\ ;_-[$$-409]* &quot;-&quot;??_ ;_-@_ ">
                  <c:v>433.19479999999999</c:v>
                </c:pt>
                <c:pt idx="770" formatCode="_-[$$-409]* #,##0.00_ ;_-[$$-409]* \-#,##0.00\ ;_-[$$-409]* &quot;-&quot;??_ ;_-@_ ">
                  <c:v>433.29360000000003</c:v>
                </c:pt>
                <c:pt idx="771" formatCode="_-[$$-409]* #,##0.00_ ;_-[$$-409]* \-#,##0.00\ ;_-[$$-409]* &quot;-&quot;??_ ;_-@_ ">
                  <c:v>433.51579999999996</c:v>
                </c:pt>
                <c:pt idx="772" formatCode="_-[$$-409]* #,##0.00_ ;_-[$$-409]* \-#,##0.00\ ;_-[$$-409]* &quot;-&quot;??_ ;_-@_ ">
                  <c:v>433.74179999999996</c:v>
                </c:pt>
                <c:pt idx="773" formatCode="_-[$$-409]* #,##0.00_ ;_-[$$-409]* \-#,##0.00\ ;_-[$$-409]* &quot;-&quot;??_ ;_-@_ ">
                  <c:v>433.97979999999995</c:v>
                </c:pt>
                <c:pt idx="774" formatCode="_-[$$-409]* #,##0.00_ ;_-[$$-409]* \-#,##0.00\ ;_-[$$-409]* &quot;-&quot;??_ ;_-@_ ">
                  <c:v>434.33500000000009</c:v>
                </c:pt>
                <c:pt idx="775" formatCode="_-[$$-409]* #,##0.00_ ;_-[$$-409]* \-#,##0.00\ ;_-[$$-409]* &quot;-&quot;??_ ;_-@_ ">
                  <c:v>434.88919999999996</c:v>
                </c:pt>
                <c:pt idx="776" formatCode="_-[$$-409]* #,##0.00_ ;_-[$$-409]* \-#,##0.00\ ;_-[$$-409]* &quot;-&quot;??_ ;_-@_ ">
                  <c:v>435.41460000000001</c:v>
                </c:pt>
                <c:pt idx="777" formatCode="_-[$$-409]* #,##0.00_ ;_-[$$-409]* \-#,##0.00\ ;_-[$$-409]* &quot;-&quot;??_ ;_-@_ ">
                  <c:v>435.90199999999987</c:v>
                </c:pt>
                <c:pt idx="778" formatCode="_-[$$-409]* #,##0.00_ ;_-[$$-409]* \-#,##0.00\ ;_-[$$-409]* &quot;-&quot;??_ ;_-@_ ">
                  <c:v>436.47959999999989</c:v>
                </c:pt>
                <c:pt idx="779" formatCode="_-[$$-409]* #,##0.00_ ;_-[$$-409]* \-#,##0.00\ ;_-[$$-409]* &quot;-&quot;??_ ;_-@_ ">
                  <c:v>437.12319999999994</c:v>
                </c:pt>
                <c:pt idx="780" formatCode="_-[$$-409]* #,##0.00_ ;_-[$$-409]* \-#,##0.00\ ;_-[$$-409]* &quot;-&quot;??_ ;_-@_ ">
                  <c:v>437.7568</c:v>
                </c:pt>
                <c:pt idx="781" formatCode="_-[$$-409]* #,##0.00_ ;_-[$$-409]* \-#,##0.00\ ;_-[$$-409]* &quot;-&quot;??_ ;_-@_ ">
                  <c:v>438.44700000000006</c:v>
                </c:pt>
                <c:pt idx="782" formatCode="_-[$$-409]* #,##0.00_ ;_-[$$-409]* \-#,##0.00\ ;_-[$$-409]* &quot;-&quot;??_ ;_-@_ ">
                  <c:v>439.18280000000004</c:v>
                </c:pt>
                <c:pt idx="783" formatCode="_-[$$-409]* #,##0.00_ ;_-[$$-409]* \-#,##0.00\ ;_-[$$-409]* &quot;-&quot;??_ ;_-@_ ">
                  <c:v>440.16100000000006</c:v>
                </c:pt>
                <c:pt idx="784" formatCode="_-[$$-409]* #,##0.00_ ;_-[$$-409]* \-#,##0.00\ ;_-[$$-409]* &quot;-&quot;??_ ;_-@_ ">
                  <c:v>441.10799999999995</c:v>
                </c:pt>
                <c:pt idx="785" formatCode="_-[$$-409]* #,##0.00_ ;_-[$$-409]* \-#,##0.00\ ;_-[$$-409]* &quot;-&quot;??_ ;_-@_ ">
                  <c:v>442.00459999999998</c:v>
                </c:pt>
                <c:pt idx="786" formatCode="_-[$$-409]* #,##0.00_ ;_-[$$-409]* \-#,##0.00\ ;_-[$$-409]* &quot;-&quot;??_ ;_-@_ ">
                  <c:v>442.85320000000002</c:v>
                </c:pt>
                <c:pt idx="787" formatCode="_-[$$-409]* #,##0.00_ ;_-[$$-409]* \-#,##0.00\ ;_-[$$-409]* &quot;-&quot;??_ ;_-@_ ">
                  <c:v>443.70419999999996</c:v>
                </c:pt>
                <c:pt idx="788" formatCode="_-[$$-409]* #,##0.00_ ;_-[$$-409]* \-#,##0.00\ ;_-[$$-409]* &quot;-&quot;??_ ;_-@_ ">
                  <c:v>444.37860000000001</c:v>
                </c:pt>
                <c:pt idx="789" formatCode="_-[$$-409]* #,##0.00_ ;_-[$$-409]* \-#,##0.00\ ;_-[$$-409]* &quot;-&quot;??_ ;_-@_ ">
                  <c:v>445.1062</c:v>
                </c:pt>
                <c:pt idx="790" formatCode="_-[$$-409]* #,##0.00_ ;_-[$$-409]* \-#,##0.00\ ;_-[$$-409]* &quot;-&quot;??_ ;_-@_ ">
                  <c:v>445.90600000000006</c:v>
                </c:pt>
                <c:pt idx="791" formatCode="_-[$$-409]* #,##0.00_ ;_-[$$-409]* \-#,##0.00\ ;_-[$$-409]* &quot;-&quot;??_ ;_-@_ ">
                  <c:v>446.78900000000016</c:v>
                </c:pt>
                <c:pt idx="792" formatCode="_-[$$-409]* #,##0.00_ ;_-[$$-409]* \-#,##0.00\ ;_-[$$-409]* &quot;-&quot;??_ ;_-@_ ">
                  <c:v>447.59840000000003</c:v>
                </c:pt>
                <c:pt idx="793" formatCode="_-[$$-409]* #,##0.00_ ;_-[$$-409]* \-#,##0.00\ ;_-[$$-409]* &quot;-&quot;??_ ;_-@_ ">
                  <c:v>448.41180000000008</c:v>
                </c:pt>
                <c:pt idx="794" formatCode="_-[$$-409]* #,##0.00_ ;_-[$$-409]* \-#,##0.00\ ;_-[$$-409]* &quot;-&quot;??_ ;_-@_ ">
                  <c:v>449.31380000000007</c:v>
                </c:pt>
                <c:pt idx="795" formatCode="_-[$$-409]* #,##0.00_ ;_-[$$-409]* \-#,##0.00\ ;_-[$$-409]* &quot;-&quot;??_ ;_-@_ ">
                  <c:v>450.23820000000012</c:v>
                </c:pt>
                <c:pt idx="796" formatCode="_-[$$-409]* #,##0.00_ ;_-[$$-409]* \-#,##0.00\ ;_-[$$-409]* &quot;-&quot;??_ ;_-@_ ">
                  <c:v>451.19020000000012</c:v>
                </c:pt>
                <c:pt idx="797" formatCode="_-[$$-409]* #,##0.00_ ;_-[$$-409]* \-#,##0.00\ ;_-[$$-409]* &quot;-&quot;??_ ;_-@_ ">
                  <c:v>452.12660000000011</c:v>
                </c:pt>
                <c:pt idx="798" formatCode="_-[$$-409]* #,##0.00_ ;_-[$$-409]* \-#,##0.00\ ;_-[$$-409]* &quot;-&quot;??_ ;_-@_ ">
                  <c:v>453.01240000000007</c:v>
                </c:pt>
                <c:pt idx="799" formatCode="_-[$$-409]* #,##0.00_ ;_-[$$-409]* \-#,##0.00\ ;_-[$$-409]* &quot;-&quot;??_ ;_-@_ ">
                  <c:v>454.15339999999998</c:v>
                </c:pt>
                <c:pt idx="800" formatCode="_-[$$-409]* #,##0.00_ ;_-[$$-409]* \-#,##0.00\ ;_-[$$-409]* &quot;-&quot;??_ ;_-@_ ">
                  <c:v>455.38</c:v>
                </c:pt>
                <c:pt idx="801" formatCode="_-[$$-409]* #,##0.00_ ;_-[$$-409]* \-#,##0.00\ ;_-[$$-409]* &quot;-&quot;??_ ;_-@_ ">
                  <c:v>456.69760000000002</c:v>
                </c:pt>
                <c:pt idx="802" formatCode="_-[$$-409]* #,##0.00_ ;_-[$$-409]* \-#,##0.00\ ;_-[$$-409]* &quot;-&quot;??_ ;_-@_ ">
                  <c:v>457.91280000000006</c:v>
                </c:pt>
                <c:pt idx="803" formatCode="_-[$$-409]* #,##0.00_ ;_-[$$-409]* \-#,##0.00\ ;_-[$$-409]* &quot;-&quot;??_ ;_-@_ ">
                  <c:v>459.08240000000006</c:v>
                </c:pt>
                <c:pt idx="804" formatCode="_-[$$-409]* #,##0.00_ ;_-[$$-409]* \-#,##0.00\ ;_-[$$-409]* &quot;-&quot;??_ ;_-@_ ">
                  <c:v>460.12780000000004</c:v>
                </c:pt>
                <c:pt idx="805" formatCode="_-[$$-409]* #,##0.00_ ;_-[$$-409]* \-#,##0.00\ ;_-[$$-409]* &quot;-&quot;??_ ;_-@_ ">
                  <c:v>460.95840000000004</c:v>
                </c:pt>
                <c:pt idx="806" formatCode="_-[$$-409]* #,##0.00_ ;_-[$$-409]* \-#,##0.00\ ;_-[$$-409]* &quot;-&quot;??_ ;_-@_ ">
                  <c:v>461.7944</c:v>
                </c:pt>
                <c:pt idx="807" formatCode="_-[$$-409]* #,##0.00_ ;_-[$$-409]* \-#,##0.00\ ;_-[$$-409]* &quot;-&quot;??_ ;_-@_ ">
                  <c:v>462.72920000000011</c:v>
                </c:pt>
                <c:pt idx="808" formatCode="_-[$$-409]* #,##0.00_ ;_-[$$-409]* \-#,##0.00\ ;_-[$$-409]* &quot;-&quot;??_ ;_-@_ ">
                  <c:v>463.65960000000013</c:v>
                </c:pt>
                <c:pt idx="809" formatCode="_-[$$-409]* #,##0.00_ ;_-[$$-409]* \-#,##0.00\ ;_-[$$-409]* &quot;-&quot;??_ ;_-@_ ">
                  <c:v>464.61180000000007</c:v>
                </c:pt>
                <c:pt idx="810" formatCode="_-[$$-409]* #,##0.00_ ;_-[$$-409]* \-#,##0.00\ ;_-[$$-409]* &quot;-&quot;??_ ;_-@_ ">
                  <c:v>465.64279999999997</c:v>
                </c:pt>
                <c:pt idx="811" formatCode="_-[$$-409]* #,##0.00_ ;_-[$$-409]* \-#,##0.00\ ;_-[$$-409]* &quot;-&quot;??_ ;_-@_ ">
                  <c:v>466.59120000000001</c:v>
                </c:pt>
                <c:pt idx="812" formatCode="_-[$$-409]* #,##0.00_ ;_-[$$-409]* \-#,##0.00\ ;_-[$$-409]* &quot;-&quot;??_ ;_-@_ ">
                  <c:v>467.53560000000004</c:v>
                </c:pt>
                <c:pt idx="813" formatCode="_-[$$-409]* #,##0.00_ ;_-[$$-409]* \-#,##0.00\ ;_-[$$-409]* &quot;-&quot;??_ ;_-@_ ">
                  <c:v>468.38640000000015</c:v>
                </c:pt>
                <c:pt idx="814" formatCode="_-[$$-409]* #,##0.00_ ;_-[$$-409]* \-#,##0.00\ ;_-[$$-409]* &quot;-&quot;??_ ;_-@_ ">
                  <c:v>469.21060000000006</c:v>
                </c:pt>
                <c:pt idx="815" formatCode="_-[$$-409]* #,##0.00_ ;_-[$$-409]* \-#,##0.00\ ;_-[$$-409]* &quot;-&quot;??_ ;_-@_ ">
                  <c:v>469.86360000000008</c:v>
                </c:pt>
                <c:pt idx="816" formatCode="_-[$$-409]* #,##0.00_ ;_-[$$-409]* \-#,##0.00\ ;_-[$$-409]* &quot;-&quot;??_ ;_-@_ ">
                  <c:v>470.63180000000006</c:v>
                </c:pt>
                <c:pt idx="817" formatCode="_-[$$-409]* #,##0.00_ ;_-[$$-409]* \-#,##0.00\ ;_-[$$-409]* &quot;-&quot;??_ ;_-@_ ">
                  <c:v>471.43360000000007</c:v>
                </c:pt>
                <c:pt idx="818" formatCode="_-[$$-409]* #,##0.00_ ;_-[$$-409]* \-#,##0.00\ ;_-[$$-409]* &quot;-&quot;??_ ;_-@_ ">
                  <c:v>472.21920000000006</c:v>
                </c:pt>
                <c:pt idx="819" formatCode="_-[$$-409]* #,##0.00_ ;_-[$$-409]* \-#,##0.00\ ;_-[$$-409]* &quot;-&quot;??_ ;_-@_ ">
                  <c:v>472.99840000000006</c:v>
                </c:pt>
                <c:pt idx="820" formatCode="_-[$$-409]* #,##0.00_ ;_-[$$-409]* \-#,##0.00\ ;_-[$$-409]* &quot;-&quot;??_ ;_-@_ ">
                  <c:v>473.8544</c:v>
                </c:pt>
                <c:pt idx="821" formatCode="_-[$$-409]* #,##0.00_ ;_-[$$-409]* \-#,##0.00\ ;_-[$$-409]* &quot;-&quot;??_ ;_-@_ ">
                  <c:v>474.7312</c:v>
                </c:pt>
                <c:pt idx="822" formatCode="_-[$$-409]* #,##0.00_ ;_-[$$-409]* \-#,##0.00\ ;_-[$$-409]* &quot;-&quot;??_ ;_-@_ ">
                  <c:v>475.65659999999997</c:v>
                </c:pt>
                <c:pt idx="823" formatCode="_-[$$-409]* #,##0.00_ ;_-[$$-409]* \-#,##0.00\ ;_-[$$-409]* &quot;-&quot;??_ ;_-@_ ">
                  <c:v>476.584</c:v>
                </c:pt>
                <c:pt idx="824" formatCode="_-[$$-409]* #,##0.00_ ;_-[$$-409]* \-#,##0.00\ ;_-[$$-409]* &quot;-&quot;??_ ;_-@_ ">
                  <c:v>477.33760000000001</c:v>
                </c:pt>
                <c:pt idx="825" formatCode="_-[$$-409]* #,##0.00_ ;_-[$$-409]* \-#,##0.00\ ;_-[$$-409]* &quot;-&quot;??_ ;_-@_ ">
                  <c:v>478.12700000000007</c:v>
                </c:pt>
                <c:pt idx="826" formatCode="_-[$$-409]* #,##0.00_ ;_-[$$-409]* \-#,##0.00\ ;_-[$$-409]* &quot;-&quot;??_ ;_-@_ ">
                  <c:v>479.03339999999997</c:v>
                </c:pt>
                <c:pt idx="827" formatCode="_-[$$-409]* #,##0.00_ ;_-[$$-409]* \-#,##0.00\ ;_-[$$-409]* &quot;-&quot;??_ ;_-@_ ">
                  <c:v>479.89160000000004</c:v>
                </c:pt>
                <c:pt idx="828" formatCode="_-[$$-409]* #,##0.00_ ;_-[$$-409]* \-#,##0.00\ ;_-[$$-409]* &quot;-&quot;??_ ;_-@_ ">
                  <c:v>480.7315999999999</c:v>
                </c:pt>
                <c:pt idx="829" formatCode="_-[$$-409]* #,##0.00_ ;_-[$$-409]* \-#,##0.00\ ;_-[$$-409]* &quot;-&quot;??_ ;_-@_ ">
                  <c:v>481.51119999999997</c:v>
                </c:pt>
                <c:pt idx="830" formatCode="_-[$$-409]* #,##0.00_ ;_-[$$-409]* \-#,##0.00\ ;_-[$$-409]* &quot;-&quot;??_ ;_-@_ ">
                  <c:v>482.45719999999989</c:v>
                </c:pt>
                <c:pt idx="831" formatCode="_-[$$-409]* #,##0.00_ ;_-[$$-409]* \-#,##0.00\ ;_-[$$-409]* &quot;-&quot;??_ ;_-@_ ">
                  <c:v>483.37439999999981</c:v>
                </c:pt>
                <c:pt idx="832" formatCode="_-[$$-409]* #,##0.00_ ;_-[$$-409]* \-#,##0.00\ ;_-[$$-409]* &quot;-&quot;??_ ;_-@_ ">
                  <c:v>484.21219999999988</c:v>
                </c:pt>
                <c:pt idx="833" formatCode="_-[$$-409]* #,##0.00_ ;_-[$$-409]* \-#,##0.00\ ;_-[$$-409]* &quot;-&quot;??_ ;_-@_ ">
                  <c:v>484.94079999999997</c:v>
                </c:pt>
                <c:pt idx="834" formatCode="_-[$$-409]* #,##0.00_ ;_-[$$-409]* \-#,##0.00\ ;_-[$$-409]* &quot;-&quot;??_ ;_-@_ ">
                  <c:v>485.62579999999997</c:v>
                </c:pt>
                <c:pt idx="835" formatCode="_-[$$-409]* #,##0.00_ ;_-[$$-409]* \-#,##0.00\ ;_-[$$-409]* &quot;-&quot;??_ ;_-@_ ">
                  <c:v>486.40079999999995</c:v>
                </c:pt>
                <c:pt idx="836" formatCode="_-[$$-409]* #,##0.00_ ;_-[$$-409]* \-#,##0.00\ ;_-[$$-409]* &quot;-&quot;??_ ;_-@_ ">
                  <c:v>487.21839999999997</c:v>
                </c:pt>
                <c:pt idx="837" formatCode="_-[$$-409]* #,##0.00_ ;_-[$$-409]* \-#,##0.00\ ;_-[$$-409]* &quot;-&quot;??_ ;_-@_ ">
                  <c:v>487.96759999999995</c:v>
                </c:pt>
                <c:pt idx="838" formatCode="_-[$$-409]* #,##0.00_ ;_-[$$-409]* \-#,##0.00\ ;_-[$$-409]* &quot;-&quot;??_ ;_-@_ ">
                  <c:v>488.74599999999998</c:v>
                </c:pt>
                <c:pt idx="839" formatCode="_-[$$-409]* #,##0.00_ ;_-[$$-409]* \-#,##0.00\ ;_-[$$-409]* &quot;-&quot;??_ ;_-@_ ">
                  <c:v>489.48699999999997</c:v>
                </c:pt>
                <c:pt idx="840" formatCode="_-[$$-409]* #,##0.00_ ;_-[$$-409]* \-#,##0.00\ ;_-[$$-409]* &quot;-&quot;??_ ;_-@_ ">
                  <c:v>490.31019999999995</c:v>
                </c:pt>
                <c:pt idx="841" formatCode="_-[$$-409]* #,##0.00_ ;_-[$$-409]* \-#,##0.00\ ;_-[$$-409]* &quot;-&quot;??_ ;_-@_ ">
                  <c:v>491.03159999999991</c:v>
                </c:pt>
                <c:pt idx="842" formatCode="_-[$$-409]* #,##0.00_ ;_-[$$-409]* \-#,##0.00\ ;_-[$$-409]* &quot;-&quot;??_ ;_-@_ ">
                  <c:v>491.72699999999992</c:v>
                </c:pt>
                <c:pt idx="843" formatCode="_-[$$-409]* #,##0.00_ ;_-[$$-409]* \-#,##0.00\ ;_-[$$-409]* &quot;-&quot;??_ ;_-@_ ">
                  <c:v>492.52879999999988</c:v>
                </c:pt>
                <c:pt idx="844" formatCode="_-[$$-409]* #,##0.00_ ;_-[$$-409]* \-#,##0.00\ ;_-[$$-409]* &quot;-&quot;??_ ;_-@_ ">
                  <c:v>493.34199999999998</c:v>
                </c:pt>
                <c:pt idx="845" formatCode="_-[$$-409]* #,##0.00_ ;_-[$$-409]* \-#,##0.00\ ;_-[$$-409]* &quot;-&quot;??_ ;_-@_ ">
                  <c:v>494.18799999999993</c:v>
                </c:pt>
                <c:pt idx="846" formatCode="_-[$$-409]* #,##0.00_ ;_-[$$-409]* \-#,##0.00\ ;_-[$$-409]* &quot;-&quot;??_ ;_-@_ ">
                  <c:v>495.00879999999995</c:v>
                </c:pt>
                <c:pt idx="847" formatCode="_-[$$-409]* #,##0.00_ ;_-[$$-409]* \-#,##0.00\ ;_-[$$-409]* &quot;-&quot;??_ ;_-@_ ">
                  <c:v>495.92040000000009</c:v>
                </c:pt>
                <c:pt idx="848" formatCode="_-[$$-409]* #,##0.00_ ;_-[$$-409]* \-#,##0.00\ ;_-[$$-409]* &quot;-&quot;??_ ;_-@_ ">
                  <c:v>496.87620000000004</c:v>
                </c:pt>
                <c:pt idx="849" formatCode="_-[$$-409]* #,##0.00_ ;_-[$$-409]* \-#,##0.00\ ;_-[$$-409]* &quot;-&quot;??_ ;_-@_ ">
                  <c:v>497.79380000000003</c:v>
                </c:pt>
                <c:pt idx="850" formatCode="_-[$$-409]* #,##0.00_ ;_-[$$-409]* \-#,##0.00\ ;_-[$$-409]* &quot;-&quot;??_ ;_-@_ ">
                  <c:v>498.76020000000005</c:v>
                </c:pt>
                <c:pt idx="851" formatCode="_-[$$-409]* #,##0.00_ ;_-[$$-409]* \-#,##0.00\ ;_-[$$-409]* &quot;-&quot;??_ ;_-@_ ">
                  <c:v>499.65320000000008</c:v>
                </c:pt>
                <c:pt idx="852" formatCode="_-[$$-409]* #,##0.00_ ;_-[$$-409]* \-#,##0.00\ ;_-[$$-409]* &quot;-&quot;??_ ;_-@_ ">
                  <c:v>500.52160000000003</c:v>
                </c:pt>
                <c:pt idx="853" formatCode="_-[$$-409]* #,##0.00_ ;_-[$$-409]* \-#,##0.00\ ;_-[$$-409]* &quot;-&quot;??_ ;_-@_ ">
                  <c:v>501.36420000000015</c:v>
                </c:pt>
                <c:pt idx="854" formatCode="_-[$$-409]* #,##0.00_ ;_-[$$-409]* \-#,##0.00\ ;_-[$$-409]* &quot;-&quot;??_ ;_-@_ ">
                  <c:v>502.32900000000001</c:v>
                </c:pt>
                <c:pt idx="855" formatCode="_-[$$-409]* #,##0.00_ ;_-[$$-409]* \-#,##0.00\ ;_-[$$-409]* &quot;-&quot;??_ ;_-@_ ">
                  <c:v>503.34460000000007</c:v>
                </c:pt>
                <c:pt idx="856" formatCode="_-[$$-409]* #,##0.00_ ;_-[$$-409]* \-#,##0.00\ ;_-[$$-409]* &quot;-&quot;??_ ;_-@_ ">
                  <c:v>504.2580000000001</c:v>
                </c:pt>
                <c:pt idx="857" formatCode="_-[$$-409]* #,##0.00_ ;_-[$$-409]* \-#,##0.00\ ;_-[$$-409]* &quot;-&quot;??_ ;_-@_ ">
                  <c:v>504.98620000000005</c:v>
                </c:pt>
                <c:pt idx="858" formatCode="_-[$$-409]* #,##0.00_ ;_-[$$-409]* \-#,##0.00\ ;_-[$$-409]* &quot;-&quot;??_ ;_-@_ ">
                  <c:v>505.7054</c:v>
                </c:pt>
                <c:pt idx="859" formatCode="_-[$$-409]* #,##0.00_ ;_-[$$-409]* \-#,##0.00\ ;_-[$$-409]* &quot;-&quot;??_ ;_-@_ ">
                  <c:v>506.26959999999997</c:v>
                </c:pt>
                <c:pt idx="860" formatCode="_-[$$-409]* #,##0.00_ ;_-[$$-409]* \-#,##0.00\ ;_-[$$-409]* &quot;-&quot;??_ ;_-@_ ">
                  <c:v>506.93040000000002</c:v>
                </c:pt>
                <c:pt idx="861" formatCode="_-[$$-409]* #,##0.00_ ;_-[$$-409]* \-#,##0.00\ ;_-[$$-409]* &quot;-&quot;??_ ;_-@_ ">
                  <c:v>507.54420000000005</c:v>
                </c:pt>
                <c:pt idx="862" formatCode="_-[$$-409]* #,##0.00_ ;_-[$$-409]* \-#,##0.00\ ;_-[$$-409]* &quot;-&quot;??_ ;_-@_ ">
                  <c:v>508.18239999999997</c:v>
                </c:pt>
                <c:pt idx="863" formatCode="_-[$$-409]* #,##0.00_ ;_-[$$-409]* \-#,##0.00\ ;_-[$$-409]* &quot;-&quot;??_ ;_-@_ ">
                  <c:v>508.63940000000002</c:v>
                </c:pt>
                <c:pt idx="864" formatCode="_-[$$-409]* #,##0.00_ ;_-[$$-409]* \-#,##0.00\ ;_-[$$-409]* &quot;-&quot;??_ ;_-@_ ">
                  <c:v>509.18159999999995</c:v>
                </c:pt>
                <c:pt idx="865" formatCode="_-[$$-409]* #,##0.00_ ;_-[$$-409]* \-#,##0.00\ ;_-[$$-409]* &quot;-&quot;??_ ;_-@_ ">
                  <c:v>509.74099999999999</c:v>
                </c:pt>
                <c:pt idx="866" formatCode="_-[$$-409]* #,##0.00_ ;_-[$$-409]* \-#,##0.00\ ;_-[$$-409]* &quot;-&quot;??_ ;_-@_ ">
                  <c:v>510.04599999999999</c:v>
                </c:pt>
                <c:pt idx="867" formatCode="_-[$$-409]* #,##0.00_ ;_-[$$-409]* \-#,##0.00\ ;_-[$$-409]* &quot;-&quot;??_ ;_-@_ ">
                  <c:v>510.2296</c:v>
                </c:pt>
                <c:pt idx="868" formatCode="_-[$$-409]* #,##0.00_ ;_-[$$-409]* \-#,##0.00\ ;_-[$$-409]* &quot;-&quot;??_ ;_-@_ ">
                  <c:v>510.38959999999997</c:v>
                </c:pt>
                <c:pt idx="869" formatCode="_-[$$-409]* #,##0.00_ ;_-[$$-409]* \-#,##0.00\ ;_-[$$-409]* &quot;-&quot;??_ ;_-@_ ">
                  <c:v>510.50039999999996</c:v>
                </c:pt>
                <c:pt idx="870" formatCode="_-[$$-409]* #,##0.00_ ;_-[$$-409]* \-#,##0.00\ ;_-[$$-409]* &quot;-&quot;??_ ;_-@_ ">
                  <c:v>510.44159999999994</c:v>
                </c:pt>
                <c:pt idx="871" formatCode="_-[$$-409]* #,##0.00_ ;_-[$$-409]* \-#,##0.00\ ;_-[$$-409]* &quot;-&quot;??_ ;_-@_ ">
                  <c:v>510.46960000000001</c:v>
                </c:pt>
                <c:pt idx="872" formatCode="_-[$$-409]* #,##0.00_ ;_-[$$-409]* \-#,##0.00\ ;_-[$$-409]* &quot;-&quot;??_ ;_-@_ ">
                  <c:v>510.55860000000001</c:v>
                </c:pt>
                <c:pt idx="873" formatCode="_-[$$-409]* #,##0.00_ ;_-[$$-409]* \-#,##0.00\ ;_-[$$-409]* &quot;-&quot;??_ ;_-@_ ">
                  <c:v>510.6472</c:v>
                </c:pt>
                <c:pt idx="874" formatCode="_-[$$-409]* #,##0.00_ ;_-[$$-409]* \-#,##0.00\ ;_-[$$-409]* &quot;-&quot;??_ ;_-@_ ">
                  <c:v>510.83540000000011</c:v>
                </c:pt>
                <c:pt idx="875" formatCode="_-[$$-409]* #,##0.00_ ;_-[$$-409]* \-#,##0.00\ ;_-[$$-409]* &quot;-&quot;??_ ;_-@_ ">
                  <c:v>511.0292</c:v>
                </c:pt>
                <c:pt idx="876" formatCode="_-[$$-409]* #,##0.00_ ;_-[$$-409]* \-#,##0.00\ ;_-[$$-409]* &quot;-&quot;??_ ;_-@_ ">
                  <c:v>511.19020000000006</c:v>
                </c:pt>
                <c:pt idx="877" formatCode="_-[$$-409]* #,##0.00_ ;_-[$$-409]* \-#,##0.00\ ;_-[$$-409]* &quot;-&quot;??_ ;_-@_ ">
                  <c:v>511.23960000000005</c:v>
                </c:pt>
                <c:pt idx="878" formatCode="_-[$$-409]* #,##0.00_ ;_-[$$-409]* \-#,##0.00\ ;_-[$$-409]* &quot;-&quot;??_ ;_-@_ ">
                  <c:v>511.31139999999999</c:v>
                </c:pt>
                <c:pt idx="879" formatCode="_-[$$-409]* #,##0.00_ ;_-[$$-409]* \-#,##0.00\ ;_-[$$-409]* &quot;-&quot;??_ ;_-@_ ">
                  <c:v>511.46780000000001</c:v>
                </c:pt>
                <c:pt idx="880" formatCode="_-[$$-409]* #,##0.00_ ;_-[$$-409]* \-#,##0.00\ ;_-[$$-409]* &quot;-&quot;??_ ;_-@_ ">
                  <c:v>511.54359999999991</c:v>
                </c:pt>
                <c:pt idx="881" formatCode="_-[$$-409]* #,##0.00_ ;_-[$$-409]* \-#,##0.00\ ;_-[$$-409]* &quot;-&quot;??_ ;_-@_ ">
                  <c:v>511.71799999999996</c:v>
                </c:pt>
                <c:pt idx="882" formatCode="_-[$$-409]* #,##0.00_ ;_-[$$-409]* \-#,##0.00\ ;_-[$$-409]* &quot;-&quot;??_ ;_-@_ ">
                  <c:v>511.94099999999997</c:v>
                </c:pt>
                <c:pt idx="883" formatCode="_-[$$-409]* #,##0.00_ ;_-[$$-409]* \-#,##0.00\ ;_-[$$-409]* &quot;-&quot;??_ ;_-@_ ">
                  <c:v>512.14619999999991</c:v>
                </c:pt>
                <c:pt idx="884" formatCode="_-[$$-409]* #,##0.00_ ;_-[$$-409]* \-#,##0.00\ ;_-[$$-409]* &quot;-&quot;??_ ;_-@_ ">
                  <c:v>512.42439999999988</c:v>
                </c:pt>
                <c:pt idx="885" formatCode="_-[$$-409]* #,##0.00_ ;_-[$$-409]* \-#,##0.00\ ;_-[$$-409]* &quot;-&quot;??_ ;_-@_ ">
                  <c:v>512.67959999999994</c:v>
                </c:pt>
                <c:pt idx="886" formatCode="_-[$$-409]* #,##0.00_ ;_-[$$-409]* \-#,##0.00\ ;_-[$$-409]* &quot;-&quot;??_ ;_-@_ ">
                  <c:v>512.84079999999994</c:v>
                </c:pt>
                <c:pt idx="887" formatCode="_-[$$-409]* #,##0.00_ ;_-[$$-409]* \-#,##0.00\ ;_-[$$-409]* &quot;-&quot;??_ ;_-@_ ">
                  <c:v>513.06079999999997</c:v>
                </c:pt>
                <c:pt idx="888" formatCode="_-[$$-409]* #,##0.00_ ;_-[$$-409]* \-#,##0.00\ ;_-[$$-409]* &quot;-&quot;??_ ;_-@_ ">
                  <c:v>513.51279999999997</c:v>
                </c:pt>
                <c:pt idx="889" formatCode="_-[$$-409]* #,##0.00_ ;_-[$$-409]* \-#,##0.00\ ;_-[$$-409]* &quot;-&quot;??_ ;_-@_ ">
                  <c:v>513.89159999999993</c:v>
                </c:pt>
                <c:pt idx="890" formatCode="_-[$$-409]* #,##0.00_ ;_-[$$-409]* \-#,##0.00\ ;_-[$$-409]* &quot;-&quot;??_ ;_-@_ ">
                  <c:v>514.18439999999987</c:v>
                </c:pt>
                <c:pt idx="891" formatCode="_-[$$-409]* #,##0.00_ ;_-[$$-409]* \-#,##0.00\ ;_-[$$-409]* &quot;-&quot;??_ ;_-@_ ">
                  <c:v>514.55119999999988</c:v>
                </c:pt>
                <c:pt idx="892" formatCode="_-[$$-409]* #,##0.00_ ;_-[$$-409]* \-#,##0.00\ ;_-[$$-409]* &quot;-&quot;??_ ;_-@_ ">
                  <c:v>514.9527999999998</c:v>
                </c:pt>
                <c:pt idx="893" formatCode="_-[$$-409]* #,##0.00_ ;_-[$$-409]* \-#,##0.00\ ;_-[$$-409]* &quot;-&quot;??_ ;_-@_ ">
                  <c:v>515.21379999999988</c:v>
                </c:pt>
                <c:pt idx="894" formatCode="_-[$$-409]* #,##0.00_ ;_-[$$-409]* \-#,##0.00\ ;_-[$$-409]* &quot;-&quot;??_ ;_-@_ ">
                  <c:v>515.41359999999986</c:v>
                </c:pt>
                <c:pt idx="895" formatCode="_-[$$-409]* #,##0.00_ ;_-[$$-409]* \-#,##0.00\ ;_-[$$-409]* &quot;-&quot;??_ ;_-@_ ">
                  <c:v>515.70339999999987</c:v>
                </c:pt>
                <c:pt idx="896" formatCode="_-[$$-409]* #,##0.00_ ;_-[$$-409]* \-#,##0.00\ ;_-[$$-409]* &quot;-&quot;??_ ;_-@_ ">
                  <c:v>516.10299999999984</c:v>
                </c:pt>
                <c:pt idx="897" formatCode="_-[$$-409]* #,##0.00_ ;_-[$$-409]* \-#,##0.00\ ;_-[$$-409]* &quot;-&quot;??_ ;_-@_ ">
                  <c:v>516.36779999999987</c:v>
                </c:pt>
                <c:pt idx="898" formatCode="_-[$$-409]* #,##0.00_ ;_-[$$-409]* \-#,##0.00\ ;_-[$$-409]* &quot;-&quot;??_ ;_-@_ ">
                  <c:v>516.50579999999991</c:v>
                </c:pt>
                <c:pt idx="899" formatCode="_-[$$-409]* #,##0.00_ ;_-[$$-409]* \-#,##0.00\ ;_-[$$-409]* &quot;-&quot;??_ ;_-@_ ">
                  <c:v>516.64359999999988</c:v>
                </c:pt>
                <c:pt idx="900" formatCode="_-[$$-409]* #,##0.00_ ;_-[$$-409]* \-#,##0.00\ ;_-[$$-409]* &quot;-&quot;??_ ;_-@_ ">
                  <c:v>516.75559999999996</c:v>
                </c:pt>
                <c:pt idx="901" formatCode="_-[$$-409]* #,##0.00_ ;_-[$$-409]* \-#,##0.00\ ;_-[$$-409]* &quot;-&quot;??_ ;_-@_ ">
                  <c:v>516.89919999999995</c:v>
                </c:pt>
                <c:pt idx="902" formatCode="_-[$$-409]* #,##0.00_ ;_-[$$-409]* \-#,##0.00\ ;_-[$$-409]* &quot;-&quot;??_ ;_-@_ ">
                  <c:v>517.19719999999984</c:v>
                </c:pt>
                <c:pt idx="903" formatCode="_-[$$-409]* #,##0.00_ ;_-[$$-409]* \-#,##0.00\ ;_-[$$-409]* &quot;-&quot;??_ ;_-@_ ">
                  <c:v>517.51419999999996</c:v>
                </c:pt>
                <c:pt idx="904" formatCode="_-[$$-409]* #,##0.00_ ;_-[$$-409]* \-#,##0.00\ ;_-[$$-409]* &quot;-&quot;??_ ;_-@_ ">
                  <c:v>517.73099999999988</c:v>
                </c:pt>
                <c:pt idx="905" formatCode="_-[$$-409]* #,##0.00_ ;_-[$$-409]* \-#,##0.00\ ;_-[$$-409]* &quot;-&quot;??_ ;_-@_ ">
                  <c:v>517.98279999999988</c:v>
                </c:pt>
                <c:pt idx="906" formatCode="_-[$$-409]* #,##0.00_ ;_-[$$-409]* \-#,##0.00\ ;_-[$$-409]* &quot;-&quot;??_ ;_-@_ ">
                  <c:v>518.27859999999998</c:v>
                </c:pt>
                <c:pt idx="907" formatCode="_-[$$-409]* #,##0.00_ ;_-[$$-409]* \-#,##0.00\ ;_-[$$-409]* &quot;-&quot;??_ ;_-@_ ">
                  <c:v>518.72899999999993</c:v>
                </c:pt>
                <c:pt idx="908" formatCode="_-[$$-409]* #,##0.00_ ;_-[$$-409]* \-#,##0.00\ ;_-[$$-409]* &quot;-&quot;??_ ;_-@_ ">
                  <c:v>519.18979999999999</c:v>
                </c:pt>
                <c:pt idx="909" formatCode="_-[$$-409]* #,##0.00_ ;_-[$$-409]* \-#,##0.00\ ;_-[$$-409]* &quot;-&quot;??_ ;_-@_ ">
                  <c:v>519.78399999999999</c:v>
                </c:pt>
                <c:pt idx="910" formatCode="_-[$$-409]* #,##0.00_ ;_-[$$-409]* \-#,##0.00\ ;_-[$$-409]* &quot;-&quot;??_ ;_-@_ ">
                  <c:v>520.35739999999987</c:v>
                </c:pt>
                <c:pt idx="911" formatCode="_-[$$-409]* #,##0.00_ ;_-[$$-409]* \-#,##0.00\ ;_-[$$-409]* &quot;-&quot;??_ ;_-@_ ">
                  <c:v>520.95279999999991</c:v>
                </c:pt>
                <c:pt idx="912" formatCode="_-[$$-409]* #,##0.00_ ;_-[$$-409]* \-#,##0.00\ ;_-[$$-409]* &quot;-&quot;??_ ;_-@_ ">
                  <c:v>521.50639999999987</c:v>
                </c:pt>
                <c:pt idx="913" formatCode="_-[$$-409]* #,##0.00_ ;_-[$$-409]* \-#,##0.00\ ;_-[$$-409]* &quot;-&quot;??_ ;_-@_ ">
                  <c:v>522.11419999999987</c:v>
                </c:pt>
                <c:pt idx="914" formatCode="_-[$$-409]* #,##0.00_ ;_-[$$-409]* \-#,##0.00\ ;_-[$$-409]* &quot;-&quot;??_ ;_-@_ ">
                  <c:v>522.60899999999992</c:v>
                </c:pt>
                <c:pt idx="915" formatCode="_-[$$-409]* #,##0.00_ ;_-[$$-409]* \-#,##0.00\ ;_-[$$-409]* &quot;-&quot;??_ ;_-@_ ">
                  <c:v>523.28859999999997</c:v>
                </c:pt>
                <c:pt idx="916" formatCode="_-[$$-409]* #,##0.00_ ;_-[$$-409]* \-#,##0.00\ ;_-[$$-409]* &quot;-&quot;??_ ;_-@_ ">
                  <c:v>524.10979999999984</c:v>
                </c:pt>
                <c:pt idx="917" formatCode="_-[$$-409]* #,##0.00_ ;_-[$$-409]* \-#,##0.00\ ;_-[$$-409]* &quot;-&quot;??_ ;_-@_ ">
                  <c:v>524.96659999999997</c:v>
                </c:pt>
                <c:pt idx="918" formatCode="_-[$$-409]* #,##0.00_ ;_-[$$-409]* \-#,##0.00\ ;_-[$$-409]* &quot;-&quot;??_ ;_-@_ ">
                  <c:v>525.84</c:v>
                </c:pt>
                <c:pt idx="919" formatCode="_-[$$-409]* #,##0.00_ ;_-[$$-409]* \-#,##0.00\ ;_-[$$-409]* &quot;-&quot;??_ ;_-@_ ">
                  <c:v>526.75639999999999</c:v>
                </c:pt>
                <c:pt idx="920" formatCode="_-[$$-409]* #,##0.00_ ;_-[$$-409]* \-#,##0.00\ ;_-[$$-409]* &quot;-&quot;??_ ;_-@_ ">
                  <c:v>527.83339999999998</c:v>
                </c:pt>
                <c:pt idx="921" formatCode="_-[$$-409]* #,##0.00_ ;_-[$$-409]* \-#,##0.00\ ;_-[$$-409]* &quot;-&quot;??_ ;_-@_ ">
                  <c:v>528.8682</c:v>
                </c:pt>
                <c:pt idx="922" formatCode="_-[$$-409]* #,##0.00_ ;_-[$$-409]* \-#,##0.00\ ;_-[$$-409]* &quot;-&quot;??_ ;_-@_ ">
                  <c:v>529.84800000000007</c:v>
                </c:pt>
                <c:pt idx="923" formatCode="_-[$$-409]* #,##0.00_ ;_-[$$-409]* \-#,##0.00\ ;_-[$$-409]* &quot;-&quot;??_ ;_-@_ ">
                  <c:v>530.84540000000004</c:v>
                </c:pt>
                <c:pt idx="924" formatCode="_-[$$-409]* #,##0.00_ ;_-[$$-409]* \-#,##0.00\ ;_-[$$-409]* &quot;-&quot;??_ ;_-@_ ">
                  <c:v>531.89199999999994</c:v>
                </c:pt>
                <c:pt idx="925" formatCode="_-[$$-409]* #,##0.00_ ;_-[$$-409]* \-#,##0.00\ ;_-[$$-409]* &quot;-&quot;??_ ;_-@_ ">
                  <c:v>532.95319999999992</c:v>
                </c:pt>
                <c:pt idx="926" formatCode="_-[$$-409]* #,##0.00_ ;_-[$$-409]* \-#,##0.00\ ;_-[$$-409]* &quot;-&quot;??_ ;_-@_ ">
                  <c:v>533.88159999999993</c:v>
                </c:pt>
                <c:pt idx="927" formatCode="_-[$$-409]* #,##0.00_ ;_-[$$-409]* \-#,##0.00\ ;_-[$$-409]* &quot;-&quot;??_ ;_-@_ ">
                  <c:v>535.04179999999997</c:v>
                </c:pt>
                <c:pt idx="928" formatCode="_-[$$-409]* #,##0.00_ ;_-[$$-409]* \-#,##0.00\ ;_-[$$-409]* &quot;-&quot;??_ ;_-@_ ">
                  <c:v>536.2654</c:v>
                </c:pt>
                <c:pt idx="929" formatCode="_-[$$-409]* #,##0.00_ ;_-[$$-409]* \-#,##0.00\ ;_-[$$-409]* &quot;-&quot;??_ ;_-@_ ">
                  <c:v>537.46199999999999</c:v>
                </c:pt>
                <c:pt idx="930" formatCode="_-[$$-409]* #,##0.00_ ;_-[$$-409]* \-#,##0.00\ ;_-[$$-409]* &quot;-&quot;??_ ;_-@_ ">
                  <c:v>538.375</c:v>
                </c:pt>
                <c:pt idx="931" formatCode="_-[$$-409]* #,##0.00_ ;_-[$$-409]* \-#,##0.00\ ;_-[$$-409]* &quot;-&quot;??_ ;_-@_ ">
                  <c:v>539.09679999999992</c:v>
                </c:pt>
                <c:pt idx="932" formatCode="_-[$$-409]* #,##0.00_ ;_-[$$-409]* \-#,##0.00\ ;_-[$$-409]* &quot;-&quot;??_ ;_-@_ ">
                  <c:v>539.73379999999997</c:v>
                </c:pt>
                <c:pt idx="933" formatCode="_-[$$-409]* #,##0.00_ ;_-[$$-409]* \-#,##0.00\ ;_-[$$-409]* &quot;-&quot;??_ ;_-@_ ">
                  <c:v>540.48300000000006</c:v>
                </c:pt>
                <c:pt idx="934" formatCode="_-[$$-409]* #,##0.00_ ;_-[$$-409]* \-#,##0.00\ ;_-[$$-409]* &quot;-&quot;??_ ;_-@_ ">
                  <c:v>541.15519999999992</c:v>
                </c:pt>
                <c:pt idx="935" formatCode="_-[$$-409]* #,##0.00_ ;_-[$$-409]* \-#,##0.00\ ;_-[$$-409]* &quot;-&quot;??_ ;_-@_ ">
                  <c:v>541.56299999999999</c:v>
                </c:pt>
                <c:pt idx="936" formatCode="_-[$$-409]* #,##0.00_ ;_-[$$-409]* \-#,##0.00\ ;_-[$$-409]* &quot;-&quot;??_ ;_-@_ ">
                  <c:v>541.91300000000001</c:v>
                </c:pt>
                <c:pt idx="937" formatCode="_-[$$-409]* #,##0.00_ ;_-[$$-409]* \-#,##0.00\ ;_-[$$-409]* &quot;-&quot;??_ ;_-@_ ">
                  <c:v>542.33579999999995</c:v>
                </c:pt>
                <c:pt idx="938" formatCode="_-[$$-409]* #,##0.00_ ;_-[$$-409]* \-#,##0.00\ ;_-[$$-409]* &quot;-&quot;??_ ;_-@_ ">
                  <c:v>542.63539999999989</c:v>
                </c:pt>
                <c:pt idx="939" formatCode="_-[$$-409]* #,##0.00_ ;_-[$$-409]* \-#,##0.00\ ;_-[$$-409]* &quot;-&quot;??_ ;_-@_ ">
                  <c:v>542.90159999999992</c:v>
                </c:pt>
                <c:pt idx="940" formatCode="_-[$$-409]* #,##0.00_ ;_-[$$-409]* \-#,##0.00\ ;_-[$$-409]* &quot;-&quot;??_ ;_-@_ ">
                  <c:v>543.3288</c:v>
                </c:pt>
                <c:pt idx="941" formatCode="_-[$$-409]* #,##0.00_ ;_-[$$-409]* \-#,##0.00\ ;_-[$$-409]* &quot;-&quot;??_ ;_-@_ ">
                  <c:v>543.58780000000002</c:v>
                </c:pt>
                <c:pt idx="942" formatCode="_-[$$-409]* #,##0.00_ ;_-[$$-409]* \-#,##0.00\ ;_-[$$-409]* &quot;-&quot;??_ ;_-@_ ">
                  <c:v>543.6185999999999</c:v>
                </c:pt>
                <c:pt idx="943" formatCode="_-[$$-409]* #,##0.00_ ;_-[$$-409]* \-#,##0.00\ ;_-[$$-409]* &quot;-&quot;??_ ;_-@_ ">
                  <c:v>543.3696000000001</c:v>
                </c:pt>
                <c:pt idx="944" formatCode="_-[$$-409]* #,##0.00_ ;_-[$$-409]* \-#,##0.00\ ;_-[$$-409]* &quot;-&quot;??_ ;_-@_ ">
                  <c:v>543.29340000000002</c:v>
                </c:pt>
                <c:pt idx="945" formatCode="_-[$$-409]* #,##0.00_ ;_-[$$-409]* \-#,##0.00\ ;_-[$$-409]* &quot;-&quot;??_ ;_-@_ ">
                  <c:v>543.07780000000002</c:v>
                </c:pt>
                <c:pt idx="946" formatCode="_-[$$-409]* #,##0.00_ ;_-[$$-409]* \-#,##0.00\ ;_-[$$-409]* &quot;-&quot;??_ ;_-@_ ">
                  <c:v>543.09460000000001</c:v>
                </c:pt>
                <c:pt idx="947" formatCode="_-[$$-409]* #,##0.00_ ;_-[$$-409]* \-#,##0.00\ ;_-[$$-409]* &quot;-&quot;??_ ;_-@_ ">
                  <c:v>543.2324000000001</c:v>
                </c:pt>
                <c:pt idx="948" formatCode="_-[$$-409]* #,##0.00_ ;_-[$$-409]* \-#,##0.00\ ;_-[$$-409]* &quot;-&quot;??_ ;_-@_ ">
                  <c:v>543.44560000000001</c:v>
                </c:pt>
                <c:pt idx="949" formatCode="_-[$$-409]* #,##0.00_ ;_-[$$-409]* \-#,##0.00\ ;_-[$$-409]* &quot;-&quot;??_ ;_-@_ ">
                  <c:v>543.73900000000003</c:v>
                </c:pt>
                <c:pt idx="950" formatCode="_-[$$-409]* #,##0.00_ ;_-[$$-409]* \-#,##0.00\ ;_-[$$-409]* &quot;-&quot;??_ ;_-@_ ">
                  <c:v>544.05800000000011</c:v>
                </c:pt>
                <c:pt idx="951" formatCode="_-[$$-409]* #,##0.00_ ;_-[$$-409]* \-#,##0.00\ ;_-[$$-409]* &quot;-&quot;??_ ;_-@_ ">
                  <c:v>544.55160000000012</c:v>
                </c:pt>
                <c:pt idx="952" formatCode="_-[$$-409]* #,##0.00_ ;_-[$$-409]* \-#,##0.00\ ;_-[$$-409]* &quot;-&quot;??_ ;_-@_ ">
                  <c:v>544.9444000000002</c:v>
                </c:pt>
                <c:pt idx="953" formatCode="_-[$$-409]* #,##0.00_ ;_-[$$-409]* \-#,##0.00\ ;_-[$$-409]* &quot;-&quot;??_ ;_-@_ ">
                  <c:v>545.44340000000011</c:v>
                </c:pt>
                <c:pt idx="954" formatCode="_-[$$-409]* #,##0.00_ ;_-[$$-409]* \-#,##0.00\ ;_-[$$-409]* &quot;-&quot;??_ ;_-@_ ">
                  <c:v>545.93720000000008</c:v>
                </c:pt>
                <c:pt idx="955" formatCode="_-[$$-409]* #,##0.00_ ;_-[$$-409]* \-#,##0.00\ ;_-[$$-409]* &quot;-&quot;??_ ;_-@_ ">
                  <c:v>546.43640000000016</c:v>
                </c:pt>
                <c:pt idx="956" formatCode="_-[$$-409]* #,##0.00_ ;_-[$$-409]* \-#,##0.00\ ;_-[$$-409]* &quot;-&quot;??_ ;_-@_ ">
                  <c:v>546.82180000000017</c:v>
                </c:pt>
                <c:pt idx="957" formatCode="_-[$$-409]* #,##0.00_ ;_-[$$-409]* \-#,##0.00\ ;_-[$$-409]* &quot;-&quot;??_ ;_-@_ ">
                  <c:v>547.23720000000026</c:v>
                </c:pt>
                <c:pt idx="958" formatCode="_-[$$-409]* #,##0.00_ ;_-[$$-409]* \-#,##0.00\ ;_-[$$-409]* &quot;-&quot;??_ ;_-@_ ">
                  <c:v>547.60400000000027</c:v>
                </c:pt>
                <c:pt idx="959" formatCode="_-[$$-409]* #,##0.00_ ;_-[$$-409]* \-#,##0.00\ ;_-[$$-409]* &quot;-&quot;??_ ;_-@_ ">
                  <c:v>547.97960000000023</c:v>
                </c:pt>
                <c:pt idx="960" formatCode="_-[$$-409]* #,##0.00_ ;_-[$$-409]* \-#,##0.00\ ;_-[$$-409]* &quot;-&quot;??_ ;_-@_ ">
                  <c:v>548.20360000000028</c:v>
                </c:pt>
                <c:pt idx="961" formatCode="_-[$$-409]* #,##0.00_ ;_-[$$-409]* \-#,##0.00\ ;_-[$$-409]* &quot;-&quot;??_ ;_-@_ ">
                  <c:v>548.40080000000023</c:v>
                </c:pt>
                <c:pt idx="962" formatCode="_-[$$-409]* #,##0.00_ ;_-[$$-409]* \-#,##0.00\ ;_-[$$-409]* &quot;-&quot;??_ ;_-@_ ">
                  <c:v>548.73440000000028</c:v>
                </c:pt>
                <c:pt idx="963" formatCode="_-[$$-409]* #,##0.00_ ;_-[$$-409]* \-#,##0.00\ ;_-[$$-409]* &quot;-&quot;??_ ;_-@_ ">
                  <c:v>548.88580000000024</c:v>
                </c:pt>
                <c:pt idx="964" formatCode="_-[$$-409]* #,##0.00_ ;_-[$$-409]* \-#,##0.00\ ;_-[$$-409]* &quot;-&quot;??_ ;_-@_ ">
                  <c:v>549.05000000000018</c:v>
                </c:pt>
                <c:pt idx="965" formatCode="_-[$$-409]* #,##0.00_ ;_-[$$-409]* \-#,##0.00\ ;_-[$$-409]* &quot;-&quot;??_ ;_-@_ ">
                  <c:v>549.14560000000017</c:v>
                </c:pt>
                <c:pt idx="966" formatCode="_-[$$-409]* #,##0.00_ ;_-[$$-409]* \-#,##0.00\ ;_-[$$-409]* &quot;-&quot;??_ ;_-@_ ">
                  <c:v>549.04260000000022</c:v>
                </c:pt>
                <c:pt idx="967" formatCode="_-[$$-409]* #,##0.00_ ;_-[$$-409]* \-#,##0.00\ ;_-[$$-409]* &quot;-&quot;??_ ;_-@_ ">
                  <c:v>549.04340000000013</c:v>
                </c:pt>
                <c:pt idx="968" formatCode="_-[$$-409]* #,##0.00_ ;_-[$$-409]* \-#,##0.00\ ;_-[$$-409]* &quot;-&quot;??_ ;_-@_ ">
                  <c:v>549.13480000000015</c:v>
                </c:pt>
                <c:pt idx="969" formatCode="_-[$$-409]* #,##0.00_ ;_-[$$-409]* \-#,##0.00\ ;_-[$$-409]* &quot;-&quot;??_ ;_-@_ ">
                  <c:v>549.31640000000004</c:v>
                </c:pt>
                <c:pt idx="970" formatCode="_-[$$-409]* #,##0.00_ ;_-[$$-409]* \-#,##0.00\ ;_-[$$-409]* &quot;-&quot;??_ ;_-@_ ">
                  <c:v>549.51800000000014</c:v>
                </c:pt>
                <c:pt idx="971" formatCode="_-[$$-409]* #,##0.00_ ;_-[$$-409]* \-#,##0.00\ ;_-[$$-409]* &quot;-&quot;??_ ;_-@_ ">
                  <c:v>549.72900000000004</c:v>
                </c:pt>
                <c:pt idx="972" formatCode="_-[$$-409]* #,##0.00_ ;_-[$$-409]* \-#,##0.00\ ;_-[$$-409]* &quot;-&quot;??_ ;_-@_ ">
                  <c:v>549.89299999999992</c:v>
                </c:pt>
                <c:pt idx="973" formatCode="_-[$$-409]* #,##0.00_ ;_-[$$-409]* \-#,##0.00\ ;_-[$$-409]* &quot;-&quot;??_ ;_-@_ ">
                  <c:v>550.04880000000003</c:v>
                </c:pt>
                <c:pt idx="974" formatCode="_-[$$-409]* #,##0.00_ ;_-[$$-409]* \-#,##0.00\ ;_-[$$-409]* &quot;-&quot;??_ ;_-@_ ">
                  <c:v>550.1604000000001</c:v>
                </c:pt>
                <c:pt idx="975" formatCode="_-[$$-409]* #,##0.00_ ;_-[$$-409]* \-#,##0.00\ ;_-[$$-409]* &quot;-&quot;??_ ;_-@_ ">
                  <c:v>550.35360000000003</c:v>
                </c:pt>
                <c:pt idx="976" formatCode="_-[$$-409]* #,##0.00_ ;_-[$$-409]* \-#,##0.00\ ;_-[$$-409]* &quot;-&quot;??_ ;_-@_ ">
                  <c:v>550.58900000000006</c:v>
                </c:pt>
                <c:pt idx="977" formatCode="_-[$$-409]* #,##0.00_ ;_-[$$-409]* \-#,##0.00\ ;_-[$$-409]* &quot;-&quot;??_ ;_-@_ ">
                  <c:v>550.7826</c:v>
                </c:pt>
                <c:pt idx="978" formatCode="_-[$$-409]* #,##0.00_ ;_-[$$-409]* \-#,##0.00\ ;_-[$$-409]* &quot;-&quot;??_ ;_-@_ ">
                  <c:v>550.97800000000007</c:v>
                </c:pt>
                <c:pt idx="979" formatCode="_-[$$-409]* #,##0.00_ ;_-[$$-409]* \-#,##0.00\ ;_-[$$-409]* &quot;-&quot;??_ ;_-@_ ">
                  <c:v>551.08159999999998</c:v>
                </c:pt>
                <c:pt idx="980" formatCode="_-[$$-409]* #,##0.00_ ;_-[$$-409]* \-#,##0.00\ ;_-[$$-409]* &quot;-&quot;??_ ;_-@_ ">
                  <c:v>551.38879999999995</c:v>
                </c:pt>
                <c:pt idx="981" formatCode="_-[$$-409]* #,##0.00_ ;_-[$$-409]* \-#,##0.00\ ;_-[$$-409]* &quot;-&quot;??_ ;_-@_ ">
                  <c:v>551.76499999999999</c:v>
                </c:pt>
                <c:pt idx="982" formatCode="_-[$$-409]* #,##0.00_ ;_-[$$-409]* \-#,##0.00\ ;_-[$$-409]* &quot;-&quot;??_ ;_-@_ ">
                  <c:v>552.26039999999989</c:v>
                </c:pt>
                <c:pt idx="983" formatCode="_-[$$-409]* #,##0.00_ ;_-[$$-409]* \-#,##0.00\ ;_-[$$-409]* &quot;-&quot;??_ ;_-@_ ">
                  <c:v>552.53980000000001</c:v>
                </c:pt>
                <c:pt idx="984" formatCode="_-[$$-409]* #,##0.00_ ;_-[$$-409]* \-#,##0.00\ ;_-[$$-409]* &quot;-&quot;??_ ;_-@_ ">
                  <c:v>552.84139999999979</c:v>
                </c:pt>
                <c:pt idx="985" formatCode="_-[$$-409]* #,##0.00_ ;_-[$$-409]* \-#,##0.00\ ;_-[$$-409]* &quot;-&quot;??_ ;_-@_ ">
                  <c:v>553.37319999999988</c:v>
                </c:pt>
                <c:pt idx="986" formatCode="_-[$$-409]* #,##0.00_ ;_-[$$-409]* \-#,##0.00\ ;_-[$$-409]* &quot;-&quot;??_ ;_-@_ ">
                  <c:v>554.06459999999993</c:v>
                </c:pt>
                <c:pt idx="987" formatCode="_-[$$-409]* #,##0.00_ ;_-[$$-409]* \-#,##0.00\ ;_-[$$-409]* &quot;-&quot;??_ ;_-@_ ">
                  <c:v>554.53179999999998</c:v>
                </c:pt>
                <c:pt idx="988" formatCode="_-[$$-409]* #,##0.00_ ;_-[$$-409]* \-#,##0.00\ ;_-[$$-409]* &quot;-&quot;??_ ;_-@_ ">
                  <c:v>555.0999999999998</c:v>
                </c:pt>
                <c:pt idx="989" formatCode="_-[$$-409]* #,##0.00_ ;_-[$$-409]* \-#,##0.00\ ;_-[$$-409]* &quot;-&quot;??_ ;_-@_ ">
                  <c:v>555.80279999999982</c:v>
                </c:pt>
                <c:pt idx="990" formatCode="_-[$$-409]* #,##0.00_ ;_-[$$-409]* \-#,##0.00\ ;_-[$$-409]* &quot;-&quot;??_ ;_-@_ ">
                  <c:v>556.30919999999981</c:v>
                </c:pt>
                <c:pt idx="991" formatCode="_-[$$-409]* #,##0.00_ ;_-[$$-409]* \-#,##0.00\ ;_-[$$-409]* &quot;-&quot;??_ ;_-@_ ">
                  <c:v>557.04059999999993</c:v>
                </c:pt>
                <c:pt idx="992" formatCode="_-[$$-409]* #,##0.00_ ;_-[$$-409]* \-#,##0.00\ ;_-[$$-409]* &quot;-&quot;??_ ;_-@_ ">
                  <c:v>558.06899999999996</c:v>
                </c:pt>
                <c:pt idx="993" formatCode="_-[$$-409]* #,##0.00_ ;_-[$$-409]* \-#,##0.00\ ;_-[$$-409]* &quot;-&quot;??_ ;_-@_ ">
                  <c:v>559.31699999999989</c:v>
                </c:pt>
                <c:pt idx="994" formatCode="_-[$$-409]* #,##0.00_ ;_-[$$-409]* \-#,##0.00\ ;_-[$$-409]* &quot;-&quot;??_ ;_-@_ ">
                  <c:v>560.52</c:v>
                </c:pt>
                <c:pt idx="995" formatCode="_-[$$-409]* #,##0.00_ ;_-[$$-409]* \-#,##0.00\ ;_-[$$-409]* &quot;-&quot;??_ ;_-@_ ">
                  <c:v>561.79379999999992</c:v>
                </c:pt>
                <c:pt idx="996" formatCode="_-[$$-409]* #,##0.00_ ;_-[$$-409]* \-#,##0.00\ ;_-[$$-409]* &quot;-&quot;??_ ;_-@_ ">
                  <c:v>562.87259999999992</c:v>
                </c:pt>
                <c:pt idx="997" formatCode="_-[$$-409]* #,##0.00_ ;_-[$$-409]* \-#,##0.00\ ;_-[$$-409]* &quot;-&quot;??_ ;_-@_ ">
                  <c:v>563.88539999999989</c:v>
                </c:pt>
                <c:pt idx="998" formatCode="_-[$$-409]* #,##0.00_ ;_-[$$-409]* \-#,##0.00\ ;_-[$$-409]* &quot;-&quot;??_ ;_-@_ ">
                  <c:v>564.88639999999998</c:v>
                </c:pt>
                <c:pt idx="999" formatCode="_-[$$-409]* #,##0.00_ ;_-[$$-409]* \-#,##0.00\ ;_-[$$-409]* &quot;-&quot;??_ ;_-@_ ">
                  <c:v>565.60539999999992</c:v>
                </c:pt>
                <c:pt idx="1000" formatCode="_-[$$-409]* #,##0.00_ ;_-[$$-409]* \-#,##0.00\ ;_-[$$-409]* &quot;-&quot;??_ ;_-@_ ">
                  <c:v>566.3152</c:v>
                </c:pt>
                <c:pt idx="1001" formatCode="_-[$$-409]* #,##0.00_ ;_-[$$-409]* \-#,##0.00\ ;_-[$$-409]* &quot;-&quot;??_ ;_-@_ ">
                  <c:v>566.83460000000002</c:v>
                </c:pt>
                <c:pt idx="1002" formatCode="_-[$$-409]* #,##0.00_ ;_-[$$-409]* \-#,##0.00\ ;_-[$$-409]* &quot;-&quot;??_ ;_-@_ ">
                  <c:v>567.36500000000001</c:v>
                </c:pt>
                <c:pt idx="1003" formatCode="_-[$$-409]* #,##0.00_ ;_-[$$-409]* \-#,##0.00\ ;_-[$$-409]* &quot;-&quot;??_ ;_-@_ ">
                  <c:v>567.80819999999994</c:v>
                </c:pt>
                <c:pt idx="1004" formatCode="_-[$$-409]* #,##0.00_ ;_-[$$-409]* \-#,##0.00\ ;_-[$$-409]* &quot;-&quot;??_ ;_-@_ ">
                  <c:v>568.23439999999994</c:v>
                </c:pt>
                <c:pt idx="1005" formatCode="_-[$$-409]* #,##0.00_ ;_-[$$-409]* \-#,##0.00\ ;_-[$$-409]* &quot;-&quot;??_ ;_-@_ ">
                  <c:v>568.39479999999992</c:v>
                </c:pt>
                <c:pt idx="1006" formatCode="_-[$$-409]* #,##0.00_ ;_-[$$-409]* \-#,##0.00\ ;_-[$$-409]* &quot;-&quot;??_ ;_-@_ ">
                  <c:v>568.69119999999998</c:v>
                </c:pt>
                <c:pt idx="1007" formatCode="_-[$$-409]* #,##0.00_ ;_-[$$-409]* \-#,##0.00\ ;_-[$$-409]* &quot;-&quot;??_ ;_-@_ ">
                  <c:v>568.84480000000008</c:v>
                </c:pt>
                <c:pt idx="1008" formatCode="_-[$$-409]* #,##0.00_ ;_-[$$-409]* \-#,##0.00\ ;_-[$$-409]* &quot;-&quot;??_ ;_-@_ ">
                  <c:v>569.16300000000012</c:v>
                </c:pt>
                <c:pt idx="1009" formatCode="_-[$$-409]* #,##0.00_ ;_-[$$-409]* \-#,##0.00\ ;_-[$$-409]* &quot;-&quot;??_ ;_-@_ ">
                  <c:v>569.75260000000014</c:v>
                </c:pt>
                <c:pt idx="1010" formatCode="_-[$$-409]* #,##0.00_ ;_-[$$-409]* \-#,##0.00\ ;_-[$$-409]* &quot;-&quot;??_ ;_-@_ ">
                  <c:v>570.49880000000007</c:v>
                </c:pt>
                <c:pt idx="1011" formatCode="_-[$$-409]* #,##0.00_ ;_-[$$-409]* \-#,##0.00\ ;_-[$$-409]* &quot;-&quot;??_ ;_-@_ ">
                  <c:v>571.29560000000004</c:v>
                </c:pt>
                <c:pt idx="1012" formatCode="_-[$$-409]* #,##0.00_ ;_-[$$-409]* \-#,##0.00\ ;_-[$$-409]* &quot;-&quot;??_ ;_-@_ ">
                  <c:v>571.99720000000002</c:v>
                </c:pt>
                <c:pt idx="1013" formatCode="_-[$$-409]* #,##0.00_ ;_-[$$-409]* \-#,##0.00\ ;_-[$$-409]* &quot;-&quot;??_ ;_-@_ ">
                  <c:v>572.89359999999999</c:v>
                </c:pt>
                <c:pt idx="1014" formatCode="_-[$$-409]* #,##0.00_ ;_-[$$-409]* \-#,##0.00\ ;_-[$$-409]* &quot;-&quot;??_ ;_-@_ ">
                  <c:v>573.8184</c:v>
                </c:pt>
                <c:pt idx="1015" formatCode="_-[$$-409]* #,##0.00_ ;_-[$$-409]* \-#,##0.00\ ;_-[$$-409]* &quot;-&quot;??_ ;_-@_ ">
                  <c:v>574.69320000000005</c:v>
                </c:pt>
                <c:pt idx="1016" formatCode="_-[$$-409]* #,##0.00_ ;_-[$$-409]* \-#,##0.00\ ;_-[$$-409]* &quot;-&quot;??_ ;_-@_ ">
                  <c:v>575.60100000000011</c:v>
                </c:pt>
                <c:pt idx="1017" formatCode="_-[$$-409]* #,##0.00_ ;_-[$$-409]* \-#,##0.00\ ;_-[$$-409]* &quot;-&quot;??_ ;_-@_ ">
                  <c:v>576.43580000000009</c:v>
                </c:pt>
                <c:pt idx="1018" formatCode="_-[$$-409]* #,##0.00_ ;_-[$$-409]* \-#,##0.00\ ;_-[$$-409]* &quot;-&quot;??_ ;_-@_ ">
                  <c:v>577.26600000000008</c:v>
                </c:pt>
                <c:pt idx="1019" formatCode="_-[$$-409]* #,##0.00_ ;_-[$$-409]* \-#,##0.00\ ;_-[$$-409]* &quot;-&quot;??_ ;_-@_ ">
                  <c:v>577.98760000000004</c:v>
                </c:pt>
                <c:pt idx="1020" formatCode="_-[$$-409]* #,##0.00_ ;_-[$$-409]* \-#,##0.00\ ;_-[$$-409]* &quot;-&quot;??_ ;_-@_ ">
                  <c:v>578.67920000000004</c:v>
                </c:pt>
                <c:pt idx="1021" formatCode="_-[$$-409]* #,##0.00_ ;_-[$$-409]* \-#,##0.00\ ;_-[$$-409]* &quot;-&quot;??_ ;_-@_ ">
                  <c:v>579.34919999999988</c:v>
                </c:pt>
                <c:pt idx="1022" formatCode="_-[$$-409]* #,##0.00_ ;_-[$$-409]* \-#,##0.00\ ;_-[$$-409]* &quot;-&quot;??_ ;_-@_ ">
                  <c:v>580.04299999999989</c:v>
                </c:pt>
                <c:pt idx="1023" formatCode="_-[$$-409]* #,##0.00_ ;_-[$$-409]* \-#,##0.00\ ;_-[$$-409]* &quot;-&quot;??_ ;_-@_ ">
                  <c:v>580.79459999999995</c:v>
                </c:pt>
                <c:pt idx="1024" formatCode="_-[$$-409]* #,##0.00_ ;_-[$$-409]* \-#,##0.00\ ;_-[$$-409]* &quot;-&quot;??_ ;_-@_ ">
                  <c:v>581.54319999999984</c:v>
                </c:pt>
                <c:pt idx="1025" formatCode="_-[$$-409]* #,##0.00_ ;_-[$$-409]* \-#,##0.00\ ;_-[$$-409]* &quot;-&quot;??_ ;_-@_ ">
                  <c:v>582.17459999999994</c:v>
                </c:pt>
                <c:pt idx="1026" formatCode="_-[$$-409]* #,##0.00_ ;_-[$$-409]* \-#,##0.00\ ;_-[$$-409]* &quot;-&quot;??_ ;_-@_ ">
                  <c:v>582.88220000000001</c:v>
                </c:pt>
                <c:pt idx="1027" formatCode="_-[$$-409]* #,##0.00_ ;_-[$$-409]* \-#,##0.00\ ;_-[$$-409]* &quot;-&quot;??_ ;_-@_ ">
                  <c:v>583.56700000000001</c:v>
                </c:pt>
                <c:pt idx="1028" formatCode="_-[$$-409]* #,##0.00_ ;_-[$$-409]* \-#,##0.00\ ;_-[$$-409]* &quot;-&quot;??_ ;_-@_ ">
                  <c:v>584.29419999999993</c:v>
                </c:pt>
                <c:pt idx="1029" formatCode="_-[$$-409]* #,##0.00_ ;_-[$$-409]* \-#,##0.00\ ;_-[$$-409]* &quot;-&quot;??_ ;_-@_ ">
                  <c:v>585.02659999999992</c:v>
                </c:pt>
                <c:pt idx="1030" formatCode="_-[$$-409]* #,##0.00_ ;_-[$$-409]* \-#,##0.00\ ;_-[$$-409]* &quot;-&quot;??_ ;_-@_ ">
                  <c:v>585.7367999999999</c:v>
                </c:pt>
                <c:pt idx="1031" formatCode="_-[$$-409]* #,##0.00_ ;_-[$$-409]* \-#,##0.00\ ;_-[$$-409]* &quot;-&quot;??_ ;_-@_ ">
                  <c:v>586.40099999999995</c:v>
                </c:pt>
                <c:pt idx="1032" formatCode="_-[$$-409]* #,##0.00_ ;_-[$$-409]* \-#,##0.00\ ;_-[$$-409]* &quot;-&quot;??_ ;_-@_ ">
                  <c:v>586.98179999999991</c:v>
                </c:pt>
                <c:pt idx="1033" formatCode="_-[$$-409]* #,##0.00_ ;_-[$$-409]* \-#,##0.00\ ;_-[$$-409]* &quot;-&quot;??_ ;_-@_ ">
                  <c:v>587.7586</c:v>
                </c:pt>
                <c:pt idx="1034" formatCode="_-[$$-409]* #,##0.00_ ;_-[$$-409]* \-#,##0.00\ ;_-[$$-409]* &quot;-&quot;??_ ;_-@_ ">
                  <c:v>588.46800000000007</c:v>
                </c:pt>
                <c:pt idx="1035" formatCode="_-[$$-409]* #,##0.00_ ;_-[$$-409]* \-#,##0.00\ ;_-[$$-409]* &quot;-&quot;??_ ;_-@_ ">
                  <c:v>589.19579999999996</c:v>
                </c:pt>
                <c:pt idx="1036" formatCode="_-[$$-409]* #,##0.00_ ;_-[$$-409]* \-#,##0.00\ ;_-[$$-409]* &quot;-&quot;??_ ;_-@_ ">
                  <c:v>589.87200000000007</c:v>
                </c:pt>
                <c:pt idx="1037" formatCode="_-[$$-409]* #,##0.00_ ;_-[$$-409]* \-#,##0.00\ ;_-[$$-409]* &quot;-&quot;??_ ;_-@_ ">
                  <c:v>590.60180000000003</c:v>
                </c:pt>
                <c:pt idx="1038" formatCode="_-[$$-409]* #,##0.00_ ;_-[$$-409]* \-#,##0.00\ ;_-[$$-409]* &quot;-&quot;??_ ;_-@_ ">
                  <c:v>590.86399999999992</c:v>
                </c:pt>
                <c:pt idx="1039" formatCode="_-[$$-409]* #,##0.00_ ;_-[$$-409]* \-#,##0.00\ ;_-[$$-409]* &quot;-&quot;??_ ;_-@_ ">
                  <c:v>591.04319999999996</c:v>
                </c:pt>
                <c:pt idx="1040" formatCode="_-[$$-409]* #,##0.00_ ;_-[$$-409]* \-#,##0.00\ ;_-[$$-409]* &quot;-&quot;??_ ;_-@_ ">
                  <c:v>591.34360000000004</c:v>
                </c:pt>
                <c:pt idx="1041" formatCode="_-[$$-409]* #,##0.00_ ;_-[$$-409]* \-#,##0.00\ ;_-[$$-409]* &quot;-&quot;??_ ;_-@_ ">
                  <c:v>591.64580000000001</c:v>
                </c:pt>
                <c:pt idx="1042" formatCode="_-[$$-409]* #,##0.00_ ;_-[$$-409]* \-#,##0.00\ ;_-[$$-409]* &quot;-&quot;??_ ;_-@_ ">
                  <c:v>591.98540000000003</c:v>
                </c:pt>
                <c:pt idx="1043" formatCode="_-[$$-409]* #,##0.00_ ;_-[$$-409]* \-#,##0.00\ ;_-[$$-409]* &quot;-&quot;??_ ;_-@_ ">
                  <c:v>592.41660000000002</c:v>
                </c:pt>
                <c:pt idx="1044" formatCode="_-[$$-409]* #,##0.00_ ;_-[$$-409]* \-#,##0.00\ ;_-[$$-409]* &quot;-&quot;??_ ;_-@_ ">
                  <c:v>592.67079999999999</c:v>
                </c:pt>
                <c:pt idx="1045" formatCode="_-[$$-409]* #,##0.00_ ;_-[$$-409]* \-#,##0.00\ ;_-[$$-409]* &quot;-&quot;??_ ;_-@_ ">
                  <c:v>592.78820000000007</c:v>
                </c:pt>
                <c:pt idx="1046" formatCode="_-[$$-409]* #,##0.00_ ;_-[$$-409]* \-#,##0.00\ ;_-[$$-409]* &quot;-&quot;??_ ;_-@_ ">
                  <c:v>592.81799999999998</c:v>
                </c:pt>
                <c:pt idx="1047" formatCode="_-[$$-409]* #,##0.00_ ;_-[$$-409]* \-#,##0.00\ ;_-[$$-409]* &quot;-&quot;??_ ;_-@_ ">
                  <c:v>592.83820000000003</c:v>
                </c:pt>
                <c:pt idx="1048" formatCode="_-[$$-409]* #,##0.00_ ;_-[$$-409]* \-#,##0.00\ ;_-[$$-409]* &quot;-&quot;??_ ;_-@_ ">
                  <c:v>593.0107999999999</c:v>
                </c:pt>
                <c:pt idx="1049" formatCode="_-[$$-409]* #,##0.00_ ;_-[$$-409]* \-#,##0.00\ ;_-[$$-409]* &quot;-&quot;??_ ;_-@_ ">
                  <c:v>593.35820000000001</c:v>
                </c:pt>
                <c:pt idx="1050" formatCode="_-[$$-409]* #,##0.00_ ;_-[$$-409]* \-#,##0.00\ ;_-[$$-409]* &quot;-&quot;??_ ;_-@_ ">
                  <c:v>593.54599999999994</c:v>
                </c:pt>
                <c:pt idx="1051" formatCode="_-[$$-409]* #,##0.00_ ;_-[$$-409]* \-#,##0.00\ ;_-[$$-409]* &quot;-&quot;??_ ;_-@_ ">
                  <c:v>593.75500000000011</c:v>
                </c:pt>
                <c:pt idx="1052" formatCode="_-[$$-409]* #,##0.00_ ;_-[$$-409]* \-#,##0.00\ ;_-[$$-409]* &quot;-&quot;??_ ;_-@_ ">
                  <c:v>593.74820000000011</c:v>
                </c:pt>
                <c:pt idx="1053" formatCode="_-[$$-409]* #,##0.00_ ;_-[$$-409]* \-#,##0.00\ ;_-[$$-409]* &quot;-&quot;??_ ;_-@_ ">
                  <c:v>593.74059999999997</c:v>
                </c:pt>
                <c:pt idx="1054" formatCode="_-[$$-409]* #,##0.00_ ;_-[$$-409]* \-#,##0.00\ ;_-[$$-409]* &quot;-&quot;??_ ;_-@_ ">
                  <c:v>593.78419999999994</c:v>
                </c:pt>
                <c:pt idx="1055" formatCode="_-[$$-409]* #,##0.00_ ;_-[$$-409]* \-#,##0.00\ ;_-[$$-409]* &quot;-&quot;??_ ;_-@_ ">
                  <c:v>594.26700000000005</c:v>
                </c:pt>
                <c:pt idx="1056" formatCode="_-[$$-409]* #,##0.00_ ;_-[$$-409]* \-#,##0.00\ ;_-[$$-409]* &quot;-&quot;??_ ;_-@_ ">
                  <c:v>594.67899999999997</c:v>
                </c:pt>
                <c:pt idx="1057" formatCode="_-[$$-409]* #,##0.00_ ;_-[$$-409]* \-#,##0.00\ ;_-[$$-409]* &quot;-&quot;??_ ;_-@_ ">
                  <c:v>595.23440000000005</c:v>
                </c:pt>
                <c:pt idx="1058" formatCode="_-[$$-409]* #,##0.00_ ;_-[$$-409]* \-#,##0.00\ ;_-[$$-409]* &quot;-&quot;??_ ;_-@_ ">
                  <c:v>595.76139999999998</c:v>
                </c:pt>
                <c:pt idx="1059" formatCode="_-[$$-409]* #,##0.00_ ;_-[$$-409]* \-#,##0.00\ ;_-[$$-409]* &quot;-&quot;??_ ;_-@_ ">
                  <c:v>596.06939999999997</c:v>
                </c:pt>
                <c:pt idx="1060" formatCode="_-[$$-409]* #,##0.00_ ;_-[$$-409]* \-#,##0.00\ ;_-[$$-409]* &quot;-&quot;??_ ;_-@_ ">
                  <c:v>596.35220000000004</c:v>
                </c:pt>
                <c:pt idx="1061" formatCode="_-[$$-409]* #,##0.00_ ;_-[$$-409]* \-#,##0.00\ ;_-[$$-409]* &quot;-&quot;??_ ;_-@_ ">
                  <c:v>596.54780000000005</c:v>
                </c:pt>
                <c:pt idx="1062" formatCode="_-[$$-409]* #,##0.00_ ;_-[$$-409]* \-#,##0.00\ ;_-[$$-409]* &quot;-&quot;??_ ;_-@_ ">
                  <c:v>596.56000000000006</c:v>
                </c:pt>
                <c:pt idx="1063" formatCode="_-[$$-409]* #,##0.00_ ;_-[$$-409]* \-#,##0.00\ ;_-[$$-409]* &quot;-&quot;??_ ;_-@_ ">
                  <c:v>596.71240000000012</c:v>
                </c:pt>
                <c:pt idx="1064" formatCode="_-[$$-409]* #,##0.00_ ;_-[$$-409]* \-#,##0.00\ ;_-[$$-409]* &quot;-&quot;??_ ;_-@_ ">
                  <c:v>596.80480000000011</c:v>
                </c:pt>
                <c:pt idx="1065" formatCode="_-[$$-409]* #,##0.00_ ;_-[$$-409]* \-#,##0.00\ ;_-[$$-409]* &quot;-&quot;??_ ;_-@_ ">
                  <c:v>597.0386000000002</c:v>
                </c:pt>
                <c:pt idx="1066" formatCode="_-[$$-409]* #,##0.00_ ;_-[$$-409]* \-#,##0.00\ ;_-[$$-409]* &quot;-&quot;??_ ;_-@_ ">
                  <c:v>597.36000000000013</c:v>
                </c:pt>
                <c:pt idx="1067" formatCode="_-[$$-409]* #,##0.00_ ;_-[$$-409]* \-#,##0.00\ ;_-[$$-409]* &quot;-&quot;??_ ;_-@_ ">
                  <c:v>597.55240000000015</c:v>
                </c:pt>
                <c:pt idx="1068" formatCode="_-[$$-409]* #,##0.00_ ;_-[$$-409]* \-#,##0.00\ ;_-[$$-409]* &quot;-&quot;??_ ;_-@_ ">
                  <c:v>597.78200000000015</c:v>
                </c:pt>
                <c:pt idx="1069" formatCode="_-[$$-409]* #,##0.00_ ;_-[$$-409]* \-#,##0.00\ ;_-[$$-409]* &quot;-&quot;??_ ;_-@_ ">
                  <c:v>598.05640000000017</c:v>
                </c:pt>
                <c:pt idx="1070" formatCode="_-[$$-409]* #,##0.00_ ;_-[$$-409]* \-#,##0.00\ ;_-[$$-409]* &quot;-&quot;??_ ;_-@_ ">
                  <c:v>598.3094000000001</c:v>
                </c:pt>
                <c:pt idx="1071" formatCode="_-[$$-409]* #,##0.00_ ;_-[$$-409]* \-#,##0.00\ ;_-[$$-409]* &quot;-&quot;??_ ;_-@_ ">
                  <c:v>598.41460000000006</c:v>
                </c:pt>
                <c:pt idx="1072" formatCode="_-[$$-409]* #,##0.00_ ;_-[$$-409]* \-#,##0.00\ ;_-[$$-409]* &quot;-&quot;??_ ;_-@_ ">
                  <c:v>598.56100000000004</c:v>
                </c:pt>
                <c:pt idx="1073" formatCode="_-[$$-409]* #,##0.00_ ;_-[$$-409]* \-#,##0.00\ ;_-[$$-409]* &quot;-&quot;??_ ;_-@_ ">
                  <c:v>598.65420000000006</c:v>
                </c:pt>
                <c:pt idx="1074" formatCode="_-[$$-409]* #,##0.00_ ;_-[$$-409]* \-#,##0.00\ ;_-[$$-409]* &quot;-&quot;??_ ;_-@_ ">
                  <c:v>598.74479999999994</c:v>
                </c:pt>
                <c:pt idx="1075" formatCode="_-[$$-409]* #,##0.00_ ;_-[$$-409]* \-#,##0.00\ ;_-[$$-409]* &quot;-&quot;??_ ;_-@_ ">
                  <c:v>598.88839999999993</c:v>
                </c:pt>
                <c:pt idx="1076" formatCode="_-[$$-409]* #,##0.00_ ;_-[$$-409]* \-#,##0.00\ ;_-[$$-409]* &quot;-&quot;??_ ;_-@_ ">
                  <c:v>599.00979999999993</c:v>
                </c:pt>
                <c:pt idx="1077" formatCode="_-[$$-409]* #,##0.00_ ;_-[$$-409]* \-#,##0.00\ ;_-[$$-409]* &quot;-&quot;??_ ;_-@_ ">
                  <c:v>599.16140000000007</c:v>
                </c:pt>
                <c:pt idx="1078" formatCode="_-[$$-409]* #,##0.00_ ;_-[$$-409]* \-#,##0.00\ ;_-[$$-409]* &quot;-&quot;??_ ;_-@_ ">
                  <c:v>599.2668000000001</c:v>
                </c:pt>
                <c:pt idx="1079" formatCode="_-[$$-409]* #,##0.00_ ;_-[$$-409]* \-#,##0.00\ ;_-[$$-409]* &quot;-&quot;??_ ;_-@_ ">
                  <c:v>599.34120000000007</c:v>
                </c:pt>
                <c:pt idx="1080" formatCode="_-[$$-409]* #,##0.00_ ;_-[$$-409]* \-#,##0.00\ ;_-[$$-409]* &quot;-&quot;??_ ;_-@_ ">
                  <c:v>599.18380000000002</c:v>
                </c:pt>
                <c:pt idx="1081" formatCode="_-[$$-409]* #,##0.00_ ;_-[$$-409]* \-#,##0.00\ ;_-[$$-409]* &quot;-&quot;??_ ;_-@_ ">
                  <c:v>599.03440000000012</c:v>
                </c:pt>
                <c:pt idx="1082" formatCode="_-[$$-409]* #,##0.00_ ;_-[$$-409]* \-#,##0.00\ ;_-[$$-409]* &quot;-&quot;??_ ;_-@_ ">
                  <c:v>598.86320000000012</c:v>
                </c:pt>
                <c:pt idx="1083" formatCode="_-[$$-409]* #,##0.00_ ;_-[$$-409]* \-#,##0.00\ ;_-[$$-409]* &quot;-&quot;??_ ;_-@_ ">
                  <c:v>598.60480000000007</c:v>
                </c:pt>
                <c:pt idx="1084" formatCode="_-[$$-409]* #,##0.00_ ;_-[$$-409]* \-#,##0.00\ ;_-[$$-409]* &quot;-&quot;??_ ;_-@_ ">
                  <c:v>598.21920000000011</c:v>
                </c:pt>
                <c:pt idx="1085" formatCode="_-[$$-409]* #,##0.00_ ;_-[$$-409]* \-#,##0.00\ ;_-[$$-409]* &quot;-&quot;??_ ;_-@_ ">
                  <c:v>598.01860000000011</c:v>
                </c:pt>
                <c:pt idx="1086" formatCode="_-[$$-409]* #,##0.00_ ;_-[$$-409]* \-#,##0.00\ ;_-[$$-409]* &quot;-&quot;??_ ;_-@_ ">
                  <c:v>597.55820000000017</c:v>
                </c:pt>
                <c:pt idx="1087" formatCode="_-[$$-409]* #,##0.00_ ;_-[$$-409]* \-#,##0.00\ ;_-[$$-409]* &quot;-&quot;??_ ;_-@_ ">
                  <c:v>597.00960000000009</c:v>
                </c:pt>
                <c:pt idx="1088" formatCode="_-[$$-409]* #,##0.00_ ;_-[$$-409]* \-#,##0.00\ ;_-[$$-409]* &quot;-&quot;??_ ;_-@_ ">
                  <c:v>596.94520000000011</c:v>
                </c:pt>
                <c:pt idx="1089" formatCode="_-[$$-409]* #,##0.00_ ;_-[$$-409]* \-#,##0.00\ ;_-[$$-409]* &quot;-&quot;??_ ;_-@_ ">
                  <c:v>596.67740000000015</c:v>
                </c:pt>
                <c:pt idx="1090" formatCode="_-[$$-409]* #,##0.00_ ;_-[$$-409]* \-#,##0.00\ ;_-[$$-409]* &quot;-&quot;??_ ;_-@_ ">
                  <c:v>596.3728000000001</c:v>
                </c:pt>
                <c:pt idx="1091" formatCode="_-[$$-409]* #,##0.00_ ;_-[$$-409]* \-#,##0.00\ ;_-[$$-409]* &quot;-&quot;??_ ;_-@_ ">
                  <c:v>595.69060000000013</c:v>
                </c:pt>
                <c:pt idx="1092" formatCode="_-[$$-409]* #,##0.00_ ;_-[$$-409]* \-#,##0.00\ ;_-[$$-409]* &quot;-&quot;??_ ;_-@_ ">
                  <c:v>594.78300000000002</c:v>
                </c:pt>
                <c:pt idx="1093" formatCode="_-[$$-409]* #,##0.00_ ;_-[$$-409]* \-#,##0.00\ ;_-[$$-409]* &quot;-&quot;??_ ;_-@_ ">
                  <c:v>593.93359999999996</c:v>
                </c:pt>
                <c:pt idx="1094" formatCode="_-[$$-409]* #,##0.00_ ;_-[$$-409]* \-#,##0.00\ ;_-[$$-409]* &quot;-&quot;??_ ;_-@_ ">
                  <c:v>593.06179999999995</c:v>
                </c:pt>
                <c:pt idx="1095" formatCode="_-[$$-409]* #,##0.00_ ;_-[$$-409]* \-#,##0.00\ ;_-[$$-409]* &quot;-&quot;??_ ;_-@_ ">
                  <c:v>592.55360000000007</c:v>
                </c:pt>
                <c:pt idx="1096" formatCode="_-[$$-409]* #,##0.00_ ;_-[$$-409]* \-#,##0.00\ ;_-[$$-409]* &quot;-&quot;??_ ;_-@_ ">
                  <c:v>592.17500000000007</c:v>
                </c:pt>
                <c:pt idx="1097" formatCode="_-[$$-409]* #,##0.00_ ;_-[$$-409]* \-#,##0.00\ ;_-[$$-409]* &quot;-&quot;??_ ;_-@_ ">
                  <c:v>591.70260000000007</c:v>
                </c:pt>
                <c:pt idx="1098" formatCode="_-[$$-409]* #,##0.00_ ;_-[$$-409]* \-#,##0.00\ ;_-[$$-409]* &quot;-&quot;??_ ;_-@_ ">
                  <c:v>591.20620000000008</c:v>
                </c:pt>
                <c:pt idx="1099" formatCode="_-[$$-409]* #,##0.00_ ;_-[$$-409]* \-#,##0.00\ ;_-[$$-409]* &quot;-&quot;??_ ;_-@_ ">
                  <c:v>590.60880000000009</c:v>
                </c:pt>
                <c:pt idx="1100" formatCode="_-[$$-409]* #,##0.00_ ;_-[$$-409]* \-#,##0.00\ ;_-[$$-409]* &quot;-&quot;??_ ;_-@_ ">
                  <c:v>590.11580000000004</c:v>
                </c:pt>
                <c:pt idx="1101" formatCode="_-[$$-409]* #,##0.00_ ;_-[$$-409]* \-#,##0.00\ ;_-[$$-409]* &quot;-&quot;??_ ;_-@_ ">
                  <c:v>589.80760000000009</c:v>
                </c:pt>
                <c:pt idx="1102" formatCode="_-[$$-409]* #,##0.00_ ;_-[$$-409]* \-#,##0.00\ ;_-[$$-409]* &quot;-&quot;??_ ;_-@_ ">
                  <c:v>589.70700000000011</c:v>
                </c:pt>
                <c:pt idx="1103" formatCode="_-[$$-409]* #,##0.00_ ;_-[$$-409]* \-#,##0.00\ ;_-[$$-409]* &quot;-&quot;??_ ;_-@_ ">
                  <c:v>589.45100000000014</c:v>
                </c:pt>
                <c:pt idx="1104" formatCode="_-[$$-409]* #,##0.00_ ;_-[$$-409]* \-#,##0.00\ ;_-[$$-409]* &quot;-&quot;??_ ;_-@_ ">
                  <c:v>589.14880000000016</c:v>
                </c:pt>
                <c:pt idx="1105" formatCode="_-[$$-409]* #,##0.00_ ;_-[$$-409]* \-#,##0.00\ ;_-[$$-409]* &quot;-&quot;??_ ;_-@_ ">
                  <c:v>588.40640000000008</c:v>
                </c:pt>
                <c:pt idx="1106" formatCode="_-[$$-409]* #,##0.00_ ;_-[$$-409]* \-#,##0.00\ ;_-[$$-409]* &quot;-&quot;??_ ;_-@_ ">
                  <c:v>587.76140000000009</c:v>
                </c:pt>
                <c:pt idx="1107" formatCode="_-[$$-409]* #,##0.00_ ;_-[$$-409]* \-#,##0.00\ ;_-[$$-409]* &quot;-&quot;??_ ;_-@_ ">
                  <c:v>587.02920000000006</c:v>
                </c:pt>
                <c:pt idx="1108" formatCode="_-[$$-409]* #,##0.00_ ;_-[$$-409]* \-#,##0.00\ ;_-[$$-409]* &quot;-&quot;??_ ;_-@_ ">
                  <c:v>586.25860000000011</c:v>
                </c:pt>
                <c:pt idx="1109" formatCode="_-[$$-409]* #,##0.00_ ;_-[$$-409]* \-#,##0.00\ ;_-[$$-409]* &quot;-&quot;??_ ;_-@_ ">
                  <c:v>584.86380000000008</c:v>
                </c:pt>
                <c:pt idx="1110" formatCode="_-[$$-409]* #,##0.00_ ;_-[$$-409]* \-#,##0.00\ ;_-[$$-409]* &quot;-&quot;??_ ;_-@_ ">
                  <c:v>582.77440000000013</c:v>
                </c:pt>
                <c:pt idx="1111" formatCode="_-[$$-409]* #,##0.00_ ;_-[$$-409]* \-#,##0.00\ ;_-[$$-409]* &quot;-&quot;??_ ;_-@_ ">
                  <c:v>580.70260000000007</c:v>
                </c:pt>
                <c:pt idx="1112" formatCode="_-[$$-409]* #,##0.00_ ;_-[$$-409]* \-#,##0.00\ ;_-[$$-409]* &quot;-&quot;??_ ;_-@_ ">
                  <c:v>578.64480000000015</c:v>
                </c:pt>
                <c:pt idx="1113" formatCode="_-[$$-409]* #,##0.00_ ;_-[$$-409]* \-#,##0.00\ ;_-[$$-409]* &quot;-&quot;??_ ;_-@_ ">
                  <c:v>577.52680000000009</c:v>
                </c:pt>
                <c:pt idx="1114" formatCode="_-[$$-409]* #,##0.00_ ;_-[$$-409]* \-#,##0.00\ ;_-[$$-409]* &quot;-&quot;??_ ;_-@_ ">
                  <c:v>575.98220000000003</c:v>
                </c:pt>
                <c:pt idx="1115" formatCode="_-[$$-409]* #,##0.00_ ;_-[$$-409]* \-#,##0.00\ ;_-[$$-409]* &quot;-&quot;??_ ;_-@_ ">
                  <c:v>574.56020000000024</c:v>
                </c:pt>
                <c:pt idx="1116" formatCode="_-[$$-409]* #,##0.00_ ;_-[$$-409]* \-#,##0.00\ ;_-[$$-409]* &quot;-&quot;??_ ;_-@_ ">
                  <c:v>573.30620000000022</c:v>
                </c:pt>
                <c:pt idx="1117" formatCode="_-[$$-409]* #,##0.00_ ;_-[$$-409]* \-#,##0.00\ ;_-[$$-409]* &quot;-&quot;??_ ;_-@_ ">
                  <c:v>572.10300000000018</c:v>
                </c:pt>
                <c:pt idx="1118" formatCode="_-[$$-409]* #,##0.00_ ;_-[$$-409]* \-#,##0.00\ ;_-[$$-409]* &quot;-&quot;??_ ;_-@_ ">
                  <c:v>570.58060000000023</c:v>
                </c:pt>
                <c:pt idx="1119" formatCode="_-[$$-409]* #,##0.00_ ;_-[$$-409]* \-#,##0.00\ ;_-[$$-409]* &quot;-&quot;??_ ;_-@_ ">
                  <c:v>569.02440000000013</c:v>
                </c:pt>
                <c:pt idx="1120" formatCode="_-[$$-409]* #,##0.00_ ;_-[$$-409]* \-#,##0.00\ ;_-[$$-409]* &quot;-&quot;??_ ;_-@_ ">
                  <c:v>567.17560000000014</c:v>
                </c:pt>
                <c:pt idx="1121" formatCode="_-[$$-409]* #,##0.00_ ;_-[$$-409]* \-#,##0.00\ ;_-[$$-409]* &quot;-&quot;??_ ;_-@_ ">
                  <c:v>565.7052000000001</c:v>
                </c:pt>
                <c:pt idx="1122" formatCode="_-[$$-409]* #,##0.00_ ;_-[$$-409]* \-#,##0.00\ ;_-[$$-409]* &quot;-&quot;??_ ;_-@_ ">
                  <c:v>564.31659999999999</c:v>
                </c:pt>
                <c:pt idx="1123" formatCode="_-[$$-409]* #,##0.00_ ;_-[$$-409]* \-#,##0.00\ ;_-[$$-409]* &quot;-&quot;??_ ;_-@_ ">
                  <c:v>563.14419999999996</c:v>
                </c:pt>
                <c:pt idx="1124" formatCode="_-[$$-409]* #,##0.00_ ;_-[$$-409]* \-#,##0.00\ ;_-[$$-409]* &quot;-&quot;??_ ;_-@_ ">
                  <c:v>562.08979999999997</c:v>
                </c:pt>
                <c:pt idx="1125" formatCode="_-[$$-409]* #,##0.00_ ;_-[$$-409]* \-#,##0.00\ ;_-[$$-409]* &quot;-&quot;??_ ;_-@_ ">
                  <c:v>560.91219999999998</c:v>
                </c:pt>
                <c:pt idx="1126" formatCode="_-[$$-409]* #,##0.00_ ;_-[$$-409]* \-#,##0.00\ ;_-[$$-409]* &quot;-&quot;??_ ;_-@_ ">
                  <c:v>559.80459999999994</c:v>
                </c:pt>
                <c:pt idx="1127" formatCode="_-[$$-409]* #,##0.00_ ;_-[$$-409]* \-#,##0.00\ ;_-[$$-409]* &quot;-&quot;??_ ;_-@_ ">
                  <c:v>558.66559999999993</c:v>
                </c:pt>
                <c:pt idx="1128" formatCode="_-[$$-409]* #,##0.00_ ;_-[$$-409]* \-#,##0.00\ ;_-[$$-409]* &quot;-&quot;??_ ;_-@_ ">
                  <c:v>557.57639999999992</c:v>
                </c:pt>
                <c:pt idx="1129" formatCode="_-[$$-409]* #,##0.00_ ;_-[$$-409]* \-#,##0.00\ ;_-[$$-409]* &quot;-&quot;??_ ;_-@_ ">
                  <c:v>556.70399999999984</c:v>
                </c:pt>
                <c:pt idx="1130" formatCode="_-[$$-409]* #,##0.00_ ;_-[$$-409]* \-#,##0.00\ ;_-[$$-409]* &quot;-&quot;??_ ;_-@_ ">
                  <c:v>555.97539999999981</c:v>
                </c:pt>
                <c:pt idx="1131" formatCode="_-[$$-409]* #,##0.00_ ;_-[$$-409]* \-#,##0.00\ ;_-[$$-409]* &quot;-&quot;??_ ;_-@_ ">
                  <c:v>555.20719999999983</c:v>
                </c:pt>
                <c:pt idx="1132" formatCode="_-[$$-409]* #,##0.00_ ;_-[$$-409]* \-#,##0.00\ ;_-[$$-409]* &quot;-&quot;??_ ;_-@_ ">
                  <c:v>554.54539999999986</c:v>
                </c:pt>
                <c:pt idx="1133" formatCode="_-[$$-409]* #,##0.00_ ;_-[$$-409]* \-#,##0.00\ ;_-[$$-409]* &quot;-&quot;??_ ;_-@_ ">
                  <c:v>553.95579999999984</c:v>
                </c:pt>
                <c:pt idx="1134" formatCode="_-[$$-409]* #,##0.00_ ;_-[$$-409]* \-#,##0.00\ ;_-[$$-409]* &quot;-&quot;??_ ;_-@_ ">
                  <c:v>553.5415999999999</c:v>
                </c:pt>
                <c:pt idx="1135" formatCode="_-[$$-409]* #,##0.00_ ;_-[$$-409]* \-#,##0.00\ ;_-[$$-409]* &quot;-&quot;??_ ;_-@_ ">
                  <c:v>553.31779999999992</c:v>
                </c:pt>
                <c:pt idx="1136" formatCode="_-[$$-409]* #,##0.00_ ;_-[$$-409]* \-#,##0.00\ ;_-[$$-409]* &quot;-&quot;??_ ;_-@_ ">
                  <c:v>553.37919999999997</c:v>
                </c:pt>
                <c:pt idx="1137" formatCode="_-[$$-409]* #,##0.00_ ;_-[$$-409]* \-#,##0.00\ ;_-[$$-409]* &quot;-&quot;??_ ;_-@_ ">
                  <c:v>553.59379999999999</c:v>
                </c:pt>
                <c:pt idx="1138" formatCode="_-[$$-409]* #,##0.00_ ;_-[$$-409]* \-#,##0.00\ ;_-[$$-409]* &quot;-&quot;??_ ;_-@_ ">
                  <c:v>553.74180000000001</c:v>
                </c:pt>
                <c:pt idx="1139" formatCode="_-[$$-409]* #,##0.00_ ;_-[$$-409]* \-#,##0.00\ ;_-[$$-409]* &quot;-&quot;??_ ;_-@_ ">
                  <c:v>554.17160000000001</c:v>
                </c:pt>
                <c:pt idx="1140" formatCode="_-[$$-409]* #,##0.00_ ;_-[$$-409]* \-#,##0.00\ ;_-[$$-409]* &quot;-&quot;??_ ;_-@_ ">
                  <c:v>554.55020000000002</c:v>
                </c:pt>
                <c:pt idx="1141" formatCode="_-[$$-409]* #,##0.00_ ;_-[$$-409]* \-#,##0.00\ ;_-[$$-409]* &quot;-&quot;??_ ;_-@_ ">
                  <c:v>555.19560000000001</c:v>
                </c:pt>
                <c:pt idx="1142" formatCode="_-[$$-409]* #,##0.00_ ;_-[$$-409]* \-#,##0.00\ ;_-[$$-409]* &quot;-&quot;??_ ;_-@_ ">
                  <c:v>555.73440000000005</c:v>
                </c:pt>
                <c:pt idx="1143" formatCode="_-[$$-409]* #,##0.00_ ;_-[$$-409]* \-#,##0.00\ ;_-[$$-409]* &quot;-&quot;??_ ;_-@_ ">
                  <c:v>556.2188000000001</c:v>
                </c:pt>
                <c:pt idx="1144" formatCode="_-[$$-409]* #,##0.00_ ;_-[$$-409]* \-#,##0.00\ ;_-[$$-409]* &quot;-&quot;??_ ;_-@_ ">
                  <c:v>556.77260000000012</c:v>
                </c:pt>
                <c:pt idx="1145" formatCode="_-[$$-409]* #,##0.00_ ;_-[$$-409]* \-#,##0.00\ ;_-[$$-409]* &quot;-&quot;??_ ;_-@_ ">
                  <c:v>557.33940000000007</c:v>
                </c:pt>
                <c:pt idx="1146" formatCode="_-[$$-409]* #,##0.00_ ;_-[$$-409]* \-#,##0.00\ ;_-[$$-409]* &quot;-&quot;??_ ;_-@_ ">
                  <c:v>557.75100000000009</c:v>
                </c:pt>
                <c:pt idx="1147" formatCode="_-[$$-409]* #,##0.00_ ;_-[$$-409]* \-#,##0.00\ ;_-[$$-409]* &quot;-&quot;??_ ;_-@_ ">
                  <c:v>558.33159999999998</c:v>
                </c:pt>
                <c:pt idx="1148" formatCode="_-[$$-409]* #,##0.00_ ;_-[$$-409]* \-#,##0.00\ ;_-[$$-409]* &quot;-&quot;??_ ;_-@_ ">
                  <c:v>558.77680000000009</c:v>
                </c:pt>
                <c:pt idx="1149" formatCode="_-[$$-409]* #,##0.00_ ;_-[$$-409]* \-#,##0.00\ ;_-[$$-409]* &quot;-&quot;??_ ;_-@_ ">
                  <c:v>559.32119999999998</c:v>
                </c:pt>
                <c:pt idx="1150" formatCode="_-[$$-409]* #,##0.00_ ;_-[$$-409]* \-#,##0.00\ ;_-[$$-409]* &quot;-&quot;??_ ;_-@_ ">
                  <c:v>559.96340000000009</c:v>
                </c:pt>
                <c:pt idx="1151" formatCode="_-[$$-409]* #,##0.00_ ;_-[$$-409]* \-#,##0.00\ ;_-[$$-409]* &quot;-&quot;??_ ;_-@_ ">
                  <c:v>560.40039999999999</c:v>
                </c:pt>
                <c:pt idx="1152" formatCode="_-[$$-409]* #,##0.00_ ;_-[$$-409]* \-#,##0.00\ ;_-[$$-409]* &quot;-&quot;??_ ;_-@_ ">
                  <c:v>560.7521999999999</c:v>
                </c:pt>
                <c:pt idx="1153" formatCode="_-[$$-409]* #,##0.00_ ;_-[$$-409]* \-#,##0.00\ ;_-[$$-409]* &quot;-&quot;??_ ;_-@_ ">
                  <c:v>561.36319999999989</c:v>
                </c:pt>
                <c:pt idx="1154" formatCode="_-[$$-409]* #,##0.00_ ;_-[$$-409]* \-#,##0.00\ ;_-[$$-409]* &quot;-&quot;??_ ;_-@_ ">
                  <c:v>562.01519999999982</c:v>
                </c:pt>
                <c:pt idx="1155" formatCode="_-[$$-409]* #,##0.00_ ;_-[$$-409]* \-#,##0.00\ ;_-[$$-409]* &quot;-&quot;??_ ;_-@_ ">
                  <c:v>562.96359999999993</c:v>
                </c:pt>
                <c:pt idx="1156" formatCode="_-[$$-409]* #,##0.00_ ;_-[$$-409]* \-#,##0.00\ ;_-[$$-409]* &quot;-&quot;??_ ;_-@_ ">
                  <c:v>563.803</c:v>
                </c:pt>
                <c:pt idx="1157" formatCode="_-[$$-409]* #,##0.00_ ;_-[$$-409]* \-#,##0.00\ ;_-[$$-409]* &quot;-&quot;??_ ;_-@_ ">
                  <c:v>564.65859999999998</c:v>
                </c:pt>
                <c:pt idx="1158" formatCode="_-[$$-409]* #,##0.00_ ;_-[$$-409]* \-#,##0.00\ ;_-[$$-409]* &quot;-&quot;??_ ;_-@_ ">
                  <c:v>565.30819999999994</c:v>
                </c:pt>
                <c:pt idx="1159" formatCode="_-[$$-409]* #,##0.00_ ;_-[$$-409]* \-#,##0.00\ ;_-[$$-409]* &quot;-&quot;??_ ;_-@_ ">
                  <c:v>566.62779999999987</c:v>
                </c:pt>
                <c:pt idx="1160" formatCode="_-[$$-409]* #,##0.00_ ;_-[$$-409]* \-#,##0.00\ ;_-[$$-409]* &quot;-&quot;??_ ;_-@_ ">
                  <c:v>568.47280000000001</c:v>
                </c:pt>
                <c:pt idx="1161" formatCode="_-[$$-409]* #,##0.00_ ;_-[$$-409]* \-#,##0.00\ ;_-[$$-409]* &quot;-&quot;??_ ;_-@_ ">
                  <c:v>570.33400000000006</c:v>
                </c:pt>
                <c:pt idx="1162" formatCode="_-[$$-409]* #,##0.00_ ;_-[$$-409]* \-#,##0.00\ ;_-[$$-409]* &quot;-&quot;??_ ;_-@_ ">
                  <c:v>572.29</c:v>
                </c:pt>
                <c:pt idx="1163" formatCode="_-[$$-409]* #,##0.00_ ;_-[$$-409]* \-#,##0.00\ ;_-[$$-409]* &quot;-&quot;??_ ;_-@_ ">
                  <c:v>573.32060000000001</c:v>
                </c:pt>
                <c:pt idx="1164" formatCode="_-[$$-409]* #,##0.00_ ;_-[$$-409]* \-#,##0.00\ ;_-[$$-409]* &quot;-&quot;??_ ;_-@_ ">
                  <c:v>574.96460000000002</c:v>
                </c:pt>
                <c:pt idx="1165" formatCode="_-[$$-409]* #,##0.00_ ;_-[$$-409]* \-#,##0.00\ ;_-[$$-409]* &quot;-&quot;??_ ;_-@_ ">
                  <c:v>576.42819999999995</c:v>
                </c:pt>
                <c:pt idx="1166" formatCode="_-[$$-409]* #,##0.00_ ;_-[$$-409]* \-#,##0.00\ ;_-[$$-409]* &quot;-&quot;??_ ;_-@_ ">
                  <c:v>577.88319999999999</c:v>
                </c:pt>
                <c:pt idx="1167" formatCode="_-[$$-409]* #,##0.00_ ;_-[$$-409]* \-#,##0.00\ ;_-[$$-409]* &quot;-&quot;??_ ;_-@_ ">
                  <c:v>579.42920000000004</c:v>
                </c:pt>
                <c:pt idx="1168" formatCode="_-[$$-409]* #,##0.00_ ;_-[$$-409]* \-#,##0.00\ ;_-[$$-409]* &quot;-&quot;??_ ;_-@_ ">
                  <c:v>581.27299999999991</c:v>
                </c:pt>
                <c:pt idx="1169" formatCode="_-[$$-409]* #,##0.00_ ;_-[$$-409]* \-#,##0.00\ ;_-[$$-409]* &quot;-&quot;??_ ;_-@_ ">
                  <c:v>583.09780000000001</c:v>
                </c:pt>
                <c:pt idx="1170" formatCode="_-[$$-409]* #,##0.00_ ;_-[$$-409]* \-#,##0.00\ ;_-[$$-409]* &quot;-&quot;??_ ;_-@_ ">
                  <c:v>585.22919999999999</c:v>
                </c:pt>
                <c:pt idx="1171" formatCode="_-[$$-409]* #,##0.00_ ;_-[$$-409]* \-#,##0.00\ ;_-[$$-409]* &quot;-&quot;??_ ;_-@_ ">
                  <c:v>587.19100000000003</c:v>
                </c:pt>
                <c:pt idx="1172" formatCode="_-[$$-409]* #,##0.00_ ;_-[$$-409]* \-#,##0.00\ ;_-[$$-409]* &quot;-&quot;??_ ;_-@_ ">
                  <c:v>588.89620000000002</c:v>
                </c:pt>
                <c:pt idx="1173" formatCode="_-[$$-409]* #,##0.00_ ;_-[$$-409]* \-#,##0.00\ ;_-[$$-409]* &quot;-&quot;??_ ;_-@_ ">
                  <c:v>590.36919999999998</c:v>
                </c:pt>
                <c:pt idx="1174" formatCode="_-[$$-409]* #,##0.00_ ;_-[$$-409]* \-#,##0.00\ ;_-[$$-409]* &quot;-&quot;??_ ;_-@_ ">
                  <c:v>591.83760000000007</c:v>
                </c:pt>
                <c:pt idx="1175" formatCode="_-[$$-409]* #,##0.00_ ;_-[$$-409]* \-#,##0.00\ ;_-[$$-409]* &quot;-&quot;??_ ;_-@_ ">
                  <c:v>593.33699999999999</c:v>
                </c:pt>
                <c:pt idx="1176" formatCode="_-[$$-409]* #,##0.00_ ;_-[$$-409]* \-#,##0.00\ ;_-[$$-409]* &quot;-&quot;??_ ;_-@_ ">
                  <c:v>594.72299999999996</c:v>
                </c:pt>
                <c:pt idx="1177" formatCode="_-[$$-409]* #,##0.00_ ;_-[$$-409]* \-#,##0.00\ ;_-[$$-409]* &quot;-&quot;??_ ;_-@_ ">
                  <c:v>596.12839999999994</c:v>
                </c:pt>
                <c:pt idx="1178" formatCode="_-[$$-409]* #,##0.00_ ;_-[$$-409]* \-#,##0.00\ ;_-[$$-409]* &quot;-&quot;??_ ;_-@_ ">
                  <c:v>597.40179999999987</c:v>
                </c:pt>
                <c:pt idx="1179" formatCode="_-[$$-409]* #,##0.00_ ;_-[$$-409]* \-#,##0.00\ ;_-[$$-409]* &quot;-&quot;??_ ;_-@_ ">
                  <c:v>598.55099999999993</c:v>
                </c:pt>
                <c:pt idx="1180" formatCode="_-[$$-409]* #,##0.00_ ;_-[$$-409]* \-#,##0.00\ ;_-[$$-409]* &quot;-&quot;??_ ;_-@_ ">
                  <c:v>599.84159999999986</c:v>
                </c:pt>
                <c:pt idx="1181" formatCode="_-[$$-409]* #,##0.00_ ;_-[$$-409]* \-#,##0.00\ ;_-[$$-409]* &quot;-&quot;??_ ;_-@_ ">
                  <c:v>601.21719999999993</c:v>
                </c:pt>
                <c:pt idx="1182" formatCode="_-[$$-409]* #,##0.00_ ;_-[$$-409]* \-#,##0.00\ ;_-[$$-409]* &quot;-&quot;??_ ;_-@_ ">
                  <c:v>602.56960000000004</c:v>
                </c:pt>
                <c:pt idx="1183" formatCode="_-[$$-409]* #,##0.00_ ;_-[$$-409]* \-#,##0.00\ ;_-[$$-409]* &quot;-&quot;??_ ;_-@_ ">
                  <c:v>603.8456000000001</c:v>
                </c:pt>
                <c:pt idx="1184" formatCode="_-[$$-409]* #,##0.00_ ;_-[$$-409]* \-#,##0.00\ ;_-[$$-409]* &quot;-&quot;??_ ;_-@_ ">
                  <c:v>605.24300000000005</c:v>
                </c:pt>
                <c:pt idx="1185" formatCode="_-[$$-409]* #,##0.00_ ;_-[$$-409]* \-#,##0.00\ ;_-[$$-409]* &quot;-&quot;??_ ;_-@_ ">
                  <c:v>606.27160000000015</c:v>
                </c:pt>
                <c:pt idx="1186" formatCode="_-[$$-409]* #,##0.00_ ;_-[$$-409]* \-#,##0.00\ ;_-[$$-409]* &quot;-&quot;??_ ;_-@_ ">
                  <c:v>607.27679999999998</c:v>
                </c:pt>
                <c:pt idx="1187" formatCode="_-[$$-409]* #,##0.00_ ;_-[$$-409]* \-#,##0.00\ ;_-[$$-409]* &quot;-&quot;??_ ;_-@_ ">
                  <c:v>608.26380000000006</c:v>
                </c:pt>
                <c:pt idx="1188" formatCode="_-[$$-409]* #,##0.00_ ;_-[$$-409]* \-#,##0.00\ ;_-[$$-409]* &quot;-&quot;??_ ;_-@_ ">
                  <c:v>609.15980000000013</c:v>
                </c:pt>
                <c:pt idx="1189" formatCode="_-[$$-409]* #,##0.00_ ;_-[$$-409]* \-#,##0.00\ ;_-[$$-409]* &quot;-&quot;??_ ;_-@_ ">
                  <c:v>609.96500000000015</c:v>
                </c:pt>
                <c:pt idx="1190" formatCode="_-[$$-409]* #,##0.00_ ;_-[$$-409]* \-#,##0.00\ ;_-[$$-409]* &quot;-&quot;??_ ;_-@_ ">
                  <c:v>610.70960000000014</c:v>
                </c:pt>
                <c:pt idx="1191" formatCode="_-[$$-409]* #,##0.00_ ;_-[$$-409]* \-#,##0.00\ ;_-[$$-409]* &quot;-&quot;??_ ;_-@_ ">
                  <c:v>611.28700000000015</c:v>
                </c:pt>
                <c:pt idx="1192" formatCode="_-[$$-409]* #,##0.00_ ;_-[$$-409]* \-#,##0.00\ ;_-[$$-409]* &quot;-&quot;??_ ;_-@_ ">
                  <c:v>612.25320000000011</c:v>
                </c:pt>
                <c:pt idx="1193" formatCode="_-[$$-409]* #,##0.00_ ;_-[$$-409]* \-#,##0.00\ ;_-[$$-409]* &quot;-&quot;??_ ;_-@_ ">
                  <c:v>613.15080000000012</c:v>
                </c:pt>
                <c:pt idx="1194" formatCode="_-[$$-409]* #,##0.00_ ;_-[$$-409]* \-#,##0.00\ ;_-[$$-409]* &quot;-&quot;??_ ;_-@_ ">
                  <c:v>614.22420000000011</c:v>
                </c:pt>
                <c:pt idx="1195" formatCode="_-[$$-409]* #,##0.00_ ;_-[$$-409]* \-#,##0.00\ ;_-[$$-409]* &quot;-&quot;??_ ;_-@_ ">
                  <c:v>615.0462</c:v>
                </c:pt>
                <c:pt idx="1196" formatCode="_-[$$-409]* #,##0.00_ ;_-[$$-409]* \-#,##0.00\ ;_-[$$-409]* &quot;-&quot;??_ ;_-@_ ">
                  <c:v>616.03520000000003</c:v>
                </c:pt>
                <c:pt idx="1197" formatCode="_-[$$-409]* #,##0.00_ ;_-[$$-409]* \-#,##0.00\ ;_-[$$-409]* &quot;-&quot;??_ ;_-@_ ">
                  <c:v>616.95260000000007</c:v>
                </c:pt>
                <c:pt idx="1198" formatCode="_-[$$-409]* #,##0.00_ ;_-[$$-409]* \-#,##0.00\ ;_-[$$-409]* &quot;-&quot;??_ ;_-@_ ">
                  <c:v>618.01859999999988</c:v>
                </c:pt>
                <c:pt idx="1199" formatCode="_-[$$-409]* #,##0.00_ ;_-[$$-409]* \-#,##0.00\ ;_-[$$-409]* &quot;-&quot;??_ ;_-@_ ">
                  <c:v>619.06219999999996</c:v>
                </c:pt>
                <c:pt idx="1200" formatCode="_-[$$-409]* #,##0.00_ ;_-[$$-409]* \-#,##0.00\ ;_-[$$-409]* &quot;-&quot;??_ ;_-@_ ">
                  <c:v>620.0394</c:v>
                </c:pt>
                <c:pt idx="1201" formatCode="_-[$$-409]* #,##0.00_ ;_-[$$-409]* \-#,##0.00\ ;_-[$$-409]* &quot;-&quot;??_ ;_-@_ ">
                  <c:v>620.98959999999988</c:v>
                </c:pt>
                <c:pt idx="1202" formatCode="_-[$$-409]* #,##0.00_ ;_-[$$-409]* \-#,##0.00\ ;_-[$$-409]* &quot;-&quot;??_ ;_-@_ ">
                  <c:v>621.99459999999988</c:v>
                </c:pt>
                <c:pt idx="1203" formatCode="_-[$$-409]* #,##0.00_ ;_-[$$-409]* \-#,##0.00\ ;_-[$$-409]* &quot;-&quot;??_ ;_-@_ ">
                  <c:v>622.80799999999977</c:v>
                </c:pt>
                <c:pt idx="1204" formatCode="_-[$$-409]* #,##0.00_ ;_-[$$-409]* \-#,##0.00\ ;_-[$$-409]* &quot;-&quot;??_ ;_-@_ ">
                  <c:v>623.57659999999987</c:v>
                </c:pt>
                <c:pt idx="1205" formatCode="_-[$$-409]* #,##0.00_ ;_-[$$-409]* \-#,##0.00\ ;_-[$$-409]* &quot;-&quot;??_ ;_-@_ ">
                  <c:v>624.22599999999977</c:v>
                </c:pt>
                <c:pt idx="1206" formatCode="_-[$$-409]* #,##0.00_ ;_-[$$-409]* \-#,##0.00\ ;_-[$$-409]* &quot;-&quot;??_ ;_-@_ ">
                  <c:v>625.10499999999979</c:v>
                </c:pt>
                <c:pt idx="1207" formatCode="_-[$$-409]* #,##0.00_ ;_-[$$-409]* \-#,##0.00\ ;_-[$$-409]* &quot;-&quot;??_ ;_-@_ ">
                  <c:v>625.87939999999992</c:v>
                </c:pt>
                <c:pt idx="1208" formatCode="_-[$$-409]* #,##0.00_ ;_-[$$-409]* \-#,##0.00\ ;_-[$$-409]* &quot;-&quot;??_ ;_-@_ ">
                  <c:v>626.84259999999983</c:v>
                </c:pt>
                <c:pt idx="1209" formatCode="_-[$$-409]* #,##0.00_ ;_-[$$-409]* \-#,##0.00\ ;_-[$$-409]* &quot;-&quot;??_ ;_-@_ ">
                  <c:v>627.72159999999997</c:v>
                </c:pt>
                <c:pt idx="1210" formatCode="_-[$$-409]* #,##0.00_ ;_-[$$-409]* \-#,##0.00\ ;_-[$$-409]* &quot;-&quot;??_ ;_-@_ ">
                  <c:v>628.74939999999992</c:v>
                </c:pt>
                <c:pt idx="1211" formatCode="_-[$$-409]* #,##0.00_ ;_-[$$-409]* \-#,##0.00\ ;_-[$$-409]* &quot;-&quot;??_ ;_-@_ ">
                  <c:v>629.70159999999998</c:v>
                </c:pt>
                <c:pt idx="1212" formatCode="_-[$$-409]* #,##0.00_ ;_-[$$-409]* \-#,##0.00\ ;_-[$$-409]* &quot;-&quot;??_ ;_-@_ ">
                  <c:v>630.62139999999999</c:v>
                </c:pt>
                <c:pt idx="1213" formatCode="_-[$$-409]* #,##0.00_ ;_-[$$-409]* \-#,##0.00\ ;_-[$$-409]* &quot;-&quot;??_ ;_-@_ ">
                  <c:v>631.49320000000012</c:v>
                </c:pt>
                <c:pt idx="1214" formatCode="_-[$$-409]* #,##0.00_ ;_-[$$-409]* \-#,##0.00\ ;_-[$$-409]* &quot;-&quot;??_ ;_-@_ ">
                  <c:v>632.33999999999992</c:v>
                </c:pt>
                <c:pt idx="1215" formatCode="_-[$$-409]* #,##0.00_ ;_-[$$-409]* \-#,##0.00\ ;_-[$$-409]* &quot;-&quot;??_ ;_-@_ ">
                  <c:v>633.14240000000007</c:v>
                </c:pt>
                <c:pt idx="1216" formatCode="_-[$$-409]* #,##0.00_ ;_-[$$-409]* \-#,##0.00\ ;_-[$$-409]* &quot;-&quot;??_ ;_-@_ ">
                  <c:v>633.88160000000005</c:v>
                </c:pt>
                <c:pt idx="1217" formatCode="_-[$$-409]* #,##0.00_ ;_-[$$-409]* \-#,##0.00\ ;_-[$$-409]* &quot;-&quot;??_ ;_-@_ ">
                  <c:v>634.59</c:v>
                </c:pt>
                <c:pt idx="1218" formatCode="_-[$$-409]* #,##0.00_ ;_-[$$-409]* \-#,##0.00\ ;_-[$$-409]* &quot;-&quot;??_ ;_-@_ ">
                  <c:v>635.27719999999999</c:v>
                </c:pt>
                <c:pt idx="1219" formatCode="_-[$$-409]* #,##0.00_ ;_-[$$-409]* \-#,##0.00\ ;_-[$$-409]* &quot;-&quot;??_ ;_-@_ ">
                  <c:v>636.07680000000005</c:v>
                </c:pt>
                <c:pt idx="1220" formatCode="_-[$$-409]* #,##0.00_ ;_-[$$-409]* \-#,##0.00\ ;_-[$$-409]* &quot;-&quot;??_ ;_-@_ ">
                  <c:v>636.81600000000014</c:v>
                </c:pt>
                <c:pt idx="1221" formatCode="_-[$$-409]* #,##0.00_ ;_-[$$-409]* \-#,##0.00\ ;_-[$$-409]* &quot;-&quot;??_ ;_-@_ ">
                  <c:v>637.52740000000017</c:v>
                </c:pt>
                <c:pt idx="1222" formatCode="_-[$$-409]* #,##0.00_ ;_-[$$-409]* \-#,##0.00\ ;_-[$$-409]* &quot;-&quot;??_ ;_-@_ ">
                  <c:v>638.31380000000013</c:v>
                </c:pt>
                <c:pt idx="1223" formatCode="_-[$$-409]* #,##0.00_ ;_-[$$-409]* \-#,##0.00\ ;_-[$$-409]* &quot;-&quot;??_ ;_-@_ ">
                  <c:v>639.09060000000022</c:v>
                </c:pt>
                <c:pt idx="1224" formatCode="_-[$$-409]* #,##0.00_ ;_-[$$-409]* \-#,##0.00\ ;_-[$$-409]* &quot;-&quot;??_ ;_-@_ ">
                  <c:v>639.85460000000012</c:v>
                </c:pt>
                <c:pt idx="1225" formatCode="_-[$$-409]* #,##0.00_ ;_-[$$-409]* \-#,##0.00\ ;_-[$$-409]* &quot;-&quot;??_ ;_-@_ ">
                  <c:v>640.61220000000014</c:v>
                </c:pt>
                <c:pt idx="1226" formatCode="_-[$$-409]* #,##0.00_ ;_-[$$-409]* \-#,##0.00\ ;_-[$$-409]* &quot;-&quot;??_ ;_-@_ ">
                  <c:v>641.47660000000019</c:v>
                </c:pt>
                <c:pt idx="1227" formatCode="_-[$$-409]* #,##0.00_ ;_-[$$-409]* \-#,##0.00\ ;_-[$$-409]* &quot;-&quot;??_ ;_-@_ ">
                  <c:v>642.2446000000001</c:v>
                </c:pt>
                <c:pt idx="1228" formatCode="_-[$$-409]* #,##0.00_ ;_-[$$-409]* \-#,##0.00\ ;_-[$$-409]* &quot;-&quot;??_ ;_-@_ ">
                  <c:v>643.02380000000016</c:v>
                </c:pt>
                <c:pt idx="1229" formatCode="_-[$$-409]* #,##0.00_ ;_-[$$-409]* \-#,##0.00\ ;_-[$$-409]* &quot;-&quot;??_ ;_-@_ ">
                  <c:v>643.70040000000006</c:v>
                </c:pt>
                <c:pt idx="1230" formatCode="_-[$$-409]* #,##0.00_ ;_-[$$-409]* \-#,##0.00\ ;_-[$$-409]* &quot;-&quot;??_ ;_-@_ ">
                  <c:v>644.37600000000009</c:v>
                </c:pt>
                <c:pt idx="1231" formatCode="_-[$$-409]* #,##0.00_ ;_-[$$-409]* \-#,##0.00\ ;_-[$$-409]* &quot;-&quot;??_ ;_-@_ ">
                  <c:v>645.09800000000007</c:v>
                </c:pt>
                <c:pt idx="1232" formatCode="_-[$$-409]* #,##0.00_ ;_-[$$-409]* \-#,##0.00\ ;_-[$$-409]* &quot;-&quot;??_ ;_-@_ ">
                  <c:v>645.84620000000007</c:v>
                </c:pt>
                <c:pt idx="1233" formatCode="_-[$$-409]* #,##0.00_ ;_-[$$-409]* \-#,##0.00\ ;_-[$$-409]* &quot;-&quot;??_ ;_-@_ ">
                  <c:v>646.63800000000003</c:v>
                </c:pt>
                <c:pt idx="1234" formatCode="_-[$$-409]* #,##0.00_ ;_-[$$-409]* \-#,##0.00\ ;_-[$$-409]* &quot;-&quot;??_ ;_-@_ ">
                  <c:v>647.33820000000003</c:v>
                </c:pt>
                <c:pt idx="1235" formatCode="_-[$$-409]* #,##0.00_ ;_-[$$-409]* \-#,##0.00\ ;_-[$$-409]* &quot;-&quot;??_ ;_-@_ ">
                  <c:v>648.03399999999999</c:v>
                </c:pt>
                <c:pt idx="1236" formatCode="_-[$$-409]* #,##0.00_ ;_-[$$-409]* \-#,##0.00\ ;_-[$$-409]* &quot;-&quot;??_ ;_-@_ ">
                  <c:v>648.7242</c:v>
                </c:pt>
                <c:pt idx="1237" formatCode="_-[$$-409]* #,##0.00_ ;_-[$$-409]* \-#,##0.00\ ;_-[$$-409]* &quot;-&quot;??_ ;_-@_ ">
                  <c:v>649.36779999999999</c:v>
                </c:pt>
                <c:pt idx="1238" formatCode="_-[$$-409]* #,##0.00_ ;_-[$$-409]* \-#,##0.00\ ;_-[$$-409]* &quot;-&quot;??_ ;_-@_ ">
                  <c:v>650.12479999999994</c:v>
                </c:pt>
                <c:pt idx="1239" formatCode="_-[$$-409]* #,##0.00_ ;_-[$$-409]* \-#,##0.00\ ;_-[$$-409]* &quot;-&quot;??_ ;_-@_ ">
                  <c:v>650.85879999999997</c:v>
                </c:pt>
                <c:pt idx="1240" formatCode="_-[$$-409]* #,##0.00_ ;_-[$$-409]* \-#,##0.00\ ;_-[$$-409]* &quot;-&quot;??_ ;_-@_ ">
                  <c:v>651.27760000000001</c:v>
                </c:pt>
                <c:pt idx="1241" formatCode="_-[$$-409]* #,##0.00_ ;_-[$$-409]* \-#,##0.00\ ;_-[$$-409]* &quot;-&quot;??_ ;_-@_ ">
                  <c:v>652.10399999999993</c:v>
                </c:pt>
                <c:pt idx="1242" formatCode="_-[$$-409]* #,##0.00_ ;_-[$$-409]* \-#,##0.00\ ;_-[$$-409]* &quot;-&quot;??_ ;_-@_ ">
                  <c:v>652.72519999999997</c:v>
                </c:pt>
                <c:pt idx="1243" formatCode="_-[$$-409]* #,##0.00_ ;_-[$$-409]* \-#,##0.00\ ;_-[$$-409]* &quot;-&quot;??_ ;_-@_ ">
                  <c:v>653.46919999999989</c:v>
                </c:pt>
                <c:pt idx="1244" formatCode="_-[$$-409]* #,##0.00_ ;_-[$$-409]* \-#,##0.00\ ;_-[$$-409]* &quot;-&quot;??_ ;_-@_ ">
                  <c:v>654.02639999999997</c:v>
                </c:pt>
                <c:pt idx="1245" formatCode="_-[$$-409]* #,##0.00_ ;_-[$$-409]* \-#,##0.00\ ;_-[$$-409]* &quot;-&quot;??_ ;_-@_ ">
                  <c:v>654.66919999999993</c:v>
                </c:pt>
                <c:pt idx="1246" formatCode="_-[$$-409]* #,##0.00_ ;_-[$$-409]* \-#,##0.00\ ;_-[$$-409]* &quot;-&quot;??_ ;_-@_ ">
                  <c:v>655.35159999999985</c:v>
                </c:pt>
                <c:pt idx="1247" formatCode="_-[$$-409]* #,##0.00_ ;_-[$$-409]* \-#,##0.00\ ;_-[$$-409]* &quot;-&quot;??_ ;_-@_ ">
                  <c:v>656.05899999999974</c:v>
                </c:pt>
                <c:pt idx="1248" formatCode="_-[$$-409]* #,##0.00_ ;_-[$$-409]* \-#,##0.00\ ;_-[$$-409]* &quot;-&quot;??_ ;_-@_ ">
                  <c:v>656.56119999999999</c:v>
                </c:pt>
                <c:pt idx="1249" formatCode="_-[$$-409]* #,##0.00_ ;_-[$$-409]* \-#,##0.00\ ;_-[$$-409]* &quot;-&quot;??_ ;_-@_ ">
                  <c:v>657.09859999999981</c:v>
                </c:pt>
                <c:pt idx="1250" formatCode="_-[$$-409]* #,##0.00_ ;_-[$$-409]* \-#,##0.00\ ;_-[$$-409]* &quot;-&quot;??_ ;_-@_ ">
                  <c:v>657.74459999999988</c:v>
                </c:pt>
                <c:pt idx="1251" formatCode="_-[$$-409]* #,##0.00_ ;_-[$$-409]* \-#,##0.00\ ;_-[$$-409]* &quot;-&quot;??_ ;_-@_ ">
                  <c:v>658.58059999999978</c:v>
                </c:pt>
                <c:pt idx="1252" formatCode="_-[$$-409]* #,##0.00_ ;_-[$$-409]* \-#,##0.00\ ;_-[$$-409]* &quot;-&quot;??_ ;_-@_ ">
                  <c:v>659.45579999999984</c:v>
                </c:pt>
                <c:pt idx="1253" formatCode="_-[$$-409]* #,##0.00_ ;_-[$$-409]* \-#,##0.00\ ;_-[$$-409]* &quot;-&quot;??_ ;_-@_ ">
                  <c:v>660.40740000000005</c:v>
                </c:pt>
                <c:pt idx="1254" formatCode="_-[$$-409]* #,##0.00_ ;_-[$$-409]* \-#,##0.00\ ;_-[$$-409]* &quot;-&quot;??_ ;_-@_ ">
                  <c:v>661.24180000000013</c:v>
                </c:pt>
                <c:pt idx="1255" formatCode="_-[$$-409]* #,##0.00_ ;_-[$$-409]* \-#,##0.00\ ;_-[$$-409]* &quot;-&quot;??_ ;_-@_ ">
                  <c:v>662.17200000000003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95-45A0-8533-C467442FB603}"/>
            </c:ext>
          </c:extLst>
        </c:ser>
        <c:ser>
          <c:idx val="2"/>
          <c:order val="2"/>
          <c:tx>
            <c:strRef>
              <c:f>'Data Analysis Addin'!$D$2</c:f>
              <c:strCache>
                <c:ptCount val="1"/>
                <c:pt idx="0">
                  <c:v>200-Day MA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'Data Analysis Addin'!$A$3:$A$1258</c:f>
              <c:numCache>
                <c:formatCode>m/d/yyyy</c:formatCode>
                <c:ptCount val="1256"/>
                <c:pt idx="0">
                  <c:v>44137</c:v>
                </c:pt>
                <c:pt idx="1">
                  <c:v>44138</c:v>
                </c:pt>
                <c:pt idx="2">
                  <c:v>44139</c:v>
                </c:pt>
                <c:pt idx="3">
                  <c:v>44140</c:v>
                </c:pt>
                <c:pt idx="4">
                  <c:v>44141</c:v>
                </c:pt>
                <c:pt idx="5">
                  <c:v>44144</c:v>
                </c:pt>
                <c:pt idx="6">
                  <c:v>44145</c:v>
                </c:pt>
                <c:pt idx="7">
                  <c:v>44146</c:v>
                </c:pt>
                <c:pt idx="8">
                  <c:v>44147</c:v>
                </c:pt>
                <c:pt idx="9">
                  <c:v>44148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44158</c:v>
                </c:pt>
                <c:pt idx="16">
                  <c:v>44159</c:v>
                </c:pt>
                <c:pt idx="17">
                  <c:v>44160</c:v>
                </c:pt>
                <c:pt idx="18">
                  <c:v>44162</c:v>
                </c:pt>
                <c:pt idx="19">
                  <c:v>44165</c:v>
                </c:pt>
                <c:pt idx="20">
                  <c:v>44166</c:v>
                </c:pt>
                <c:pt idx="21">
                  <c:v>44167</c:v>
                </c:pt>
                <c:pt idx="22">
                  <c:v>44168</c:v>
                </c:pt>
                <c:pt idx="23">
                  <c:v>44169</c:v>
                </c:pt>
                <c:pt idx="24">
                  <c:v>44172</c:v>
                </c:pt>
                <c:pt idx="25">
                  <c:v>44173</c:v>
                </c:pt>
                <c:pt idx="26">
                  <c:v>44174</c:v>
                </c:pt>
                <c:pt idx="27">
                  <c:v>44175</c:v>
                </c:pt>
                <c:pt idx="28">
                  <c:v>44176</c:v>
                </c:pt>
                <c:pt idx="29">
                  <c:v>44179</c:v>
                </c:pt>
                <c:pt idx="30">
                  <c:v>44180</c:v>
                </c:pt>
                <c:pt idx="31">
                  <c:v>44181</c:v>
                </c:pt>
                <c:pt idx="32">
                  <c:v>44182</c:v>
                </c:pt>
                <c:pt idx="33">
                  <c:v>44183</c:v>
                </c:pt>
                <c:pt idx="34">
                  <c:v>44186</c:v>
                </c:pt>
                <c:pt idx="35">
                  <c:v>44187</c:v>
                </c:pt>
                <c:pt idx="36">
                  <c:v>44188</c:v>
                </c:pt>
                <c:pt idx="37">
                  <c:v>44189</c:v>
                </c:pt>
                <c:pt idx="38">
                  <c:v>44193</c:v>
                </c:pt>
                <c:pt idx="39">
                  <c:v>44194</c:v>
                </c:pt>
                <c:pt idx="40">
                  <c:v>44195</c:v>
                </c:pt>
                <c:pt idx="41">
                  <c:v>44196</c:v>
                </c:pt>
                <c:pt idx="42">
                  <c:v>44200</c:v>
                </c:pt>
                <c:pt idx="43">
                  <c:v>44201</c:v>
                </c:pt>
                <c:pt idx="44">
                  <c:v>44202</c:v>
                </c:pt>
                <c:pt idx="45">
                  <c:v>44203</c:v>
                </c:pt>
                <c:pt idx="46">
                  <c:v>44204</c:v>
                </c:pt>
                <c:pt idx="47">
                  <c:v>44207</c:v>
                </c:pt>
                <c:pt idx="48">
                  <c:v>44208</c:v>
                </c:pt>
                <c:pt idx="49">
                  <c:v>44209</c:v>
                </c:pt>
                <c:pt idx="50">
                  <c:v>44210</c:v>
                </c:pt>
                <c:pt idx="51">
                  <c:v>44211</c:v>
                </c:pt>
                <c:pt idx="52">
                  <c:v>44215</c:v>
                </c:pt>
                <c:pt idx="53">
                  <c:v>44216</c:v>
                </c:pt>
                <c:pt idx="54">
                  <c:v>44217</c:v>
                </c:pt>
                <c:pt idx="55">
                  <c:v>44218</c:v>
                </c:pt>
                <c:pt idx="56">
                  <c:v>44221</c:v>
                </c:pt>
                <c:pt idx="57">
                  <c:v>44222</c:v>
                </c:pt>
                <c:pt idx="58">
                  <c:v>44223</c:v>
                </c:pt>
                <c:pt idx="59">
                  <c:v>44224</c:v>
                </c:pt>
                <c:pt idx="60">
                  <c:v>44225</c:v>
                </c:pt>
                <c:pt idx="61">
                  <c:v>44228</c:v>
                </c:pt>
                <c:pt idx="62">
                  <c:v>44229</c:v>
                </c:pt>
                <c:pt idx="63">
                  <c:v>44230</c:v>
                </c:pt>
                <c:pt idx="64">
                  <c:v>44231</c:v>
                </c:pt>
                <c:pt idx="65">
                  <c:v>44232</c:v>
                </c:pt>
                <c:pt idx="66">
                  <c:v>44235</c:v>
                </c:pt>
                <c:pt idx="67">
                  <c:v>44236</c:v>
                </c:pt>
                <c:pt idx="68">
                  <c:v>44237</c:v>
                </c:pt>
                <c:pt idx="69">
                  <c:v>44238</c:v>
                </c:pt>
                <c:pt idx="70">
                  <c:v>44239</c:v>
                </c:pt>
                <c:pt idx="71">
                  <c:v>44243</c:v>
                </c:pt>
                <c:pt idx="72">
                  <c:v>44244</c:v>
                </c:pt>
                <c:pt idx="73">
                  <c:v>44245</c:v>
                </c:pt>
                <c:pt idx="74">
                  <c:v>44246</c:v>
                </c:pt>
                <c:pt idx="75">
                  <c:v>44249</c:v>
                </c:pt>
                <c:pt idx="76">
                  <c:v>44250</c:v>
                </c:pt>
                <c:pt idx="77">
                  <c:v>44251</c:v>
                </c:pt>
                <c:pt idx="78">
                  <c:v>44252</c:v>
                </c:pt>
                <c:pt idx="79">
                  <c:v>44253</c:v>
                </c:pt>
                <c:pt idx="80">
                  <c:v>44256</c:v>
                </c:pt>
                <c:pt idx="81">
                  <c:v>44257</c:v>
                </c:pt>
                <c:pt idx="82">
                  <c:v>44258</c:v>
                </c:pt>
                <c:pt idx="83">
                  <c:v>44259</c:v>
                </c:pt>
                <c:pt idx="84">
                  <c:v>44260</c:v>
                </c:pt>
                <c:pt idx="85">
                  <c:v>44263</c:v>
                </c:pt>
                <c:pt idx="86">
                  <c:v>44264</c:v>
                </c:pt>
                <c:pt idx="87">
                  <c:v>44265</c:v>
                </c:pt>
                <c:pt idx="88">
                  <c:v>44266</c:v>
                </c:pt>
                <c:pt idx="89">
                  <c:v>44267</c:v>
                </c:pt>
                <c:pt idx="90">
                  <c:v>44270</c:v>
                </c:pt>
                <c:pt idx="91">
                  <c:v>44271</c:v>
                </c:pt>
                <c:pt idx="92">
                  <c:v>44272</c:v>
                </c:pt>
                <c:pt idx="93">
                  <c:v>44273</c:v>
                </c:pt>
                <c:pt idx="94">
                  <c:v>44274</c:v>
                </c:pt>
                <c:pt idx="95">
                  <c:v>44277</c:v>
                </c:pt>
                <c:pt idx="96">
                  <c:v>44278</c:v>
                </c:pt>
                <c:pt idx="97">
                  <c:v>44279</c:v>
                </c:pt>
                <c:pt idx="98">
                  <c:v>44280</c:v>
                </c:pt>
                <c:pt idx="99">
                  <c:v>44281</c:v>
                </c:pt>
                <c:pt idx="100">
                  <c:v>44284</c:v>
                </c:pt>
                <c:pt idx="101">
                  <c:v>44285</c:v>
                </c:pt>
                <c:pt idx="102">
                  <c:v>44286</c:v>
                </c:pt>
                <c:pt idx="103">
                  <c:v>44287</c:v>
                </c:pt>
                <c:pt idx="104">
                  <c:v>44291</c:v>
                </c:pt>
                <c:pt idx="105">
                  <c:v>44292</c:v>
                </c:pt>
                <c:pt idx="106">
                  <c:v>44293</c:v>
                </c:pt>
                <c:pt idx="107">
                  <c:v>44294</c:v>
                </c:pt>
                <c:pt idx="108">
                  <c:v>44295</c:v>
                </c:pt>
                <c:pt idx="109">
                  <c:v>44298</c:v>
                </c:pt>
                <c:pt idx="110">
                  <c:v>44299</c:v>
                </c:pt>
                <c:pt idx="111">
                  <c:v>44300</c:v>
                </c:pt>
                <c:pt idx="112">
                  <c:v>44301</c:v>
                </c:pt>
                <c:pt idx="113">
                  <c:v>44302</c:v>
                </c:pt>
                <c:pt idx="114">
                  <c:v>44305</c:v>
                </c:pt>
                <c:pt idx="115">
                  <c:v>44306</c:v>
                </c:pt>
                <c:pt idx="116">
                  <c:v>44307</c:v>
                </c:pt>
                <c:pt idx="117">
                  <c:v>44308</c:v>
                </c:pt>
                <c:pt idx="118">
                  <c:v>44309</c:v>
                </c:pt>
                <c:pt idx="119">
                  <c:v>44312</c:v>
                </c:pt>
                <c:pt idx="120">
                  <c:v>44313</c:v>
                </c:pt>
                <c:pt idx="121">
                  <c:v>44314</c:v>
                </c:pt>
                <c:pt idx="122">
                  <c:v>44315</c:v>
                </c:pt>
                <c:pt idx="123">
                  <c:v>44316</c:v>
                </c:pt>
                <c:pt idx="124">
                  <c:v>44319</c:v>
                </c:pt>
                <c:pt idx="125">
                  <c:v>44320</c:v>
                </c:pt>
                <c:pt idx="126">
                  <c:v>44321</c:v>
                </c:pt>
                <c:pt idx="127">
                  <c:v>44322</c:v>
                </c:pt>
                <c:pt idx="128">
                  <c:v>44323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44333</c:v>
                </c:pt>
                <c:pt idx="135">
                  <c:v>44334</c:v>
                </c:pt>
                <c:pt idx="136">
                  <c:v>44335</c:v>
                </c:pt>
                <c:pt idx="137">
                  <c:v>44336</c:v>
                </c:pt>
                <c:pt idx="138">
                  <c:v>44337</c:v>
                </c:pt>
                <c:pt idx="139">
                  <c:v>44340</c:v>
                </c:pt>
                <c:pt idx="140">
                  <c:v>44341</c:v>
                </c:pt>
                <c:pt idx="141">
                  <c:v>44342</c:v>
                </c:pt>
                <c:pt idx="142">
                  <c:v>44343</c:v>
                </c:pt>
                <c:pt idx="143">
                  <c:v>44344</c:v>
                </c:pt>
                <c:pt idx="144">
                  <c:v>44348</c:v>
                </c:pt>
                <c:pt idx="145">
                  <c:v>44349</c:v>
                </c:pt>
                <c:pt idx="146">
                  <c:v>44350</c:v>
                </c:pt>
                <c:pt idx="147">
                  <c:v>44351</c:v>
                </c:pt>
                <c:pt idx="148">
                  <c:v>44354</c:v>
                </c:pt>
                <c:pt idx="149">
                  <c:v>44355</c:v>
                </c:pt>
                <c:pt idx="150">
                  <c:v>44356</c:v>
                </c:pt>
                <c:pt idx="151">
                  <c:v>44357</c:v>
                </c:pt>
                <c:pt idx="152">
                  <c:v>44358</c:v>
                </c:pt>
                <c:pt idx="153">
                  <c:v>44361</c:v>
                </c:pt>
                <c:pt idx="154">
                  <c:v>44362</c:v>
                </c:pt>
                <c:pt idx="155">
                  <c:v>44363</c:v>
                </c:pt>
                <c:pt idx="156">
                  <c:v>44364</c:v>
                </c:pt>
                <c:pt idx="157">
                  <c:v>44365</c:v>
                </c:pt>
                <c:pt idx="158">
                  <c:v>44368</c:v>
                </c:pt>
                <c:pt idx="159">
                  <c:v>44369</c:v>
                </c:pt>
                <c:pt idx="160">
                  <c:v>44370</c:v>
                </c:pt>
                <c:pt idx="161">
                  <c:v>44371</c:v>
                </c:pt>
                <c:pt idx="162">
                  <c:v>44372</c:v>
                </c:pt>
                <c:pt idx="163">
                  <c:v>44375</c:v>
                </c:pt>
                <c:pt idx="164">
                  <c:v>44376</c:v>
                </c:pt>
                <c:pt idx="165">
                  <c:v>44377</c:v>
                </c:pt>
                <c:pt idx="166">
                  <c:v>44378</c:v>
                </c:pt>
                <c:pt idx="167">
                  <c:v>44379</c:v>
                </c:pt>
                <c:pt idx="168">
                  <c:v>44383</c:v>
                </c:pt>
                <c:pt idx="169">
                  <c:v>44384</c:v>
                </c:pt>
                <c:pt idx="170">
                  <c:v>44385</c:v>
                </c:pt>
                <c:pt idx="171">
                  <c:v>44386</c:v>
                </c:pt>
                <c:pt idx="172">
                  <c:v>44389</c:v>
                </c:pt>
                <c:pt idx="173">
                  <c:v>44390</c:v>
                </c:pt>
                <c:pt idx="174">
                  <c:v>44391</c:v>
                </c:pt>
                <c:pt idx="175">
                  <c:v>44392</c:v>
                </c:pt>
                <c:pt idx="176">
                  <c:v>44393</c:v>
                </c:pt>
                <c:pt idx="177">
                  <c:v>44396</c:v>
                </c:pt>
                <c:pt idx="178">
                  <c:v>44397</c:v>
                </c:pt>
                <c:pt idx="179">
                  <c:v>44398</c:v>
                </c:pt>
                <c:pt idx="180">
                  <c:v>44399</c:v>
                </c:pt>
                <c:pt idx="181">
                  <c:v>44400</c:v>
                </c:pt>
                <c:pt idx="182">
                  <c:v>44403</c:v>
                </c:pt>
                <c:pt idx="183">
                  <c:v>44404</c:v>
                </c:pt>
                <c:pt idx="184">
                  <c:v>44405</c:v>
                </c:pt>
                <c:pt idx="185">
                  <c:v>44406</c:v>
                </c:pt>
                <c:pt idx="186">
                  <c:v>44407</c:v>
                </c:pt>
                <c:pt idx="187">
                  <c:v>44410</c:v>
                </c:pt>
                <c:pt idx="188">
                  <c:v>44411</c:v>
                </c:pt>
                <c:pt idx="189">
                  <c:v>44412</c:v>
                </c:pt>
                <c:pt idx="190">
                  <c:v>44413</c:v>
                </c:pt>
                <c:pt idx="191">
                  <c:v>44414</c:v>
                </c:pt>
                <c:pt idx="192">
                  <c:v>44417</c:v>
                </c:pt>
                <c:pt idx="193">
                  <c:v>44418</c:v>
                </c:pt>
                <c:pt idx="194">
                  <c:v>44419</c:v>
                </c:pt>
                <c:pt idx="195">
                  <c:v>44420</c:v>
                </c:pt>
                <c:pt idx="196">
                  <c:v>44421</c:v>
                </c:pt>
                <c:pt idx="197">
                  <c:v>44424</c:v>
                </c:pt>
                <c:pt idx="198">
                  <c:v>44425</c:v>
                </c:pt>
                <c:pt idx="199">
                  <c:v>44426</c:v>
                </c:pt>
                <c:pt idx="200">
                  <c:v>44427</c:v>
                </c:pt>
                <c:pt idx="201">
                  <c:v>44428</c:v>
                </c:pt>
                <c:pt idx="202">
                  <c:v>44431</c:v>
                </c:pt>
                <c:pt idx="203">
                  <c:v>44432</c:v>
                </c:pt>
                <c:pt idx="204">
                  <c:v>44433</c:v>
                </c:pt>
                <c:pt idx="205">
                  <c:v>44434</c:v>
                </c:pt>
                <c:pt idx="206">
                  <c:v>44435</c:v>
                </c:pt>
                <c:pt idx="207">
                  <c:v>44438</c:v>
                </c:pt>
                <c:pt idx="208">
                  <c:v>44439</c:v>
                </c:pt>
                <c:pt idx="209">
                  <c:v>44440</c:v>
                </c:pt>
                <c:pt idx="210">
                  <c:v>44441</c:v>
                </c:pt>
                <c:pt idx="211">
                  <c:v>44442</c:v>
                </c:pt>
                <c:pt idx="212">
                  <c:v>44446</c:v>
                </c:pt>
                <c:pt idx="213">
                  <c:v>44447</c:v>
                </c:pt>
                <c:pt idx="214">
                  <c:v>44448</c:v>
                </c:pt>
                <c:pt idx="215">
                  <c:v>44449</c:v>
                </c:pt>
                <c:pt idx="216">
                  <c:v>44452</c:v>
                </c:pt>
                <c:pt idx="217">
                  <c:v>44453</c:v>
                </c:pt>
                <c:pt idx="218">
                  <c:v>44454</c:v>
                </c:pt>
                <c:pt idx="219">
                  <c:v>44455</c:v>
                </c:pt>
                <c:pt idx="220">
                  <c:v>44456</c:v>
                </c:pt>
                <c:pt idx="221">
                  <c:v>44459</c:v>
                </c:pt>
                <c:pt idx="222">
                  <c:v>44460</c:v>
                </c:pt>
                <c:pt idx="223">
                  <c:v>44461</c:v>
                </c:pt>
                <c:pt idx="224">
                  <c:v>44462</c:v>
                </c:pt>
                <c:pt idx="225">
                  <c:v>44463</c:v>
                </c:pt>
                <c:pt idx="226">
                  <c:v>44466</c:v>
                </c:pt>
                <c:pt idx="227">
                  <c:v>44467</c:v>
                </c:pt>
                <c:pt idx="228">
                  <c:v>44468</c:v>
                </c:pt>
                <c:pt idx="229">
                  <c:v>44469</c:v>
                </c:pt>
                <c:pt idx="230">
                  <c:v>44470</c:v>
                </c:pt>
                <c:pt idx="231">
                  <c:v>44473</c:v>
                </c:pt>
                <c:pt idx="232">
                  <c:v>44474</c:v>
                </c:pt>
                <c:pt idx="233">
                  <c:v>44475</c:v>
                </c:pt>
                <c:pt idx="234">
                  <c:v>44476</c:v>
                </c:pt>
                <c:pt idx="235">
                  <c:v>44477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44487</c:v>
                </c:pt>
                <c:pt idx="242">
                  <c:v>44488</c:v>
                </c:pt>
                <c:pt idx="243">
                  <c:v>44489</c:v>
                </c:pt>
                <c:pt idx="244">
                  <c:v>44490</c:v>
                </c:pt>
                <c:pt idx="245">
                  <c:v>44491</c:v>
                </c:pt>
                <c:pt idx="246">
                  <c:v>44494</c:v>
                </c:pt>
                <c:pt idx="247">
                  <c:v>44495</c:v>
                </c:pt>
                <c:pt idx="248">
                  <c:v>44496</c:v>
                </c:pt>
                <c:pt idx="249">
                  <c:v>44497</c:v>
                </c:pt>
                <c:pt idx="250">
                  <c:v>44498</c:v>
                </c:pt>
                <c:pt idx="251">
                  <c:v>44501</c:v>
                </c:pt>
                <c:pt idx="252">
                  <c:v>44502</c:v>
                </c:pt>
                <c:pt idx="253">
                  <c:v>44503</c:v>
                </c:pt>
                <c:pt idx="254">
                  <c:v>44504</c:v>
                </c:pt>
                <c:pt idx="255">
                  <c:v>44505</c:v>
                </c:pt>
                <c:pt idx="256">
                  <c:v>44508</c:v>
                </c:pt>
                <c:pt idx="257">
                  <c:v>44509</c:v>
                </c:pt>
                <c:pt idx="258">
                  <c:v>44510</c:v>
                </c:pt>
                <c:pt idx="259">
                  <c:v>44511</c:v>
                </c:pt>
                <c:pt idx="260">
                  <c:v>44512</c:v>
                </c:pt>
                <c:pt idx="261">
                  <c:v>44515</c:v>
                </c:pt>
                <c:pt idx="262">
                  <c:v>44516</c:v>
                </c:pt>
                <c:pt idx="263">
                  <c:v>44517</c:v>
                </c:pt>
                <c:pt idx="264">
                  <c:v>44518</c:v>
                </c:pt>
                <c:pt idx="265">
                  <c:v>44519</c:v>
                </c:pt>
                <c:pt idx="266">
                  <c:v>44522</c:v>
                </c:pt>
                <c:pt idx="267">
                  <c:v>44523</c:v>
                </c:pt>
                <c:pt idx="268">
                  <c:v>44524</c:v>
                </c:pt>
                <c:pt idx="269">
                  <c:v>44526</c:v>
                </c:pt>
                <c:pt idx="270">
                  <c:v>44529</c:v>
                </c:pt>
                <c:pt idx="271">
                  <c:v>44530</c:v>
                </c:pt>
                <c:pt idx="272">
                  <c:v>44531</c:v>
                </c:pt>
                <c:pt idx="273">
                  <c:v>44532</c:v>
                </c:pt>
                <c:pt idx="274">
                  <c:v>44533</c:v>
                </c:pt>
                <c:pt idx="275">
                  <c:v>44536</c:v>
                </c:pt>
                <c:pt idx="276">
                  <c:v>44537</c:v>
                </c:pt>
                <c:pt idx="277">
                  <c:v>44538</c:v>
                </c:pt>
                <c:pt idx="278">
                  <c:v>44539</c:v>
                </c:pt>
                <c:pt idx="279">
                  <c:v>44540</c:v>
                </c:pt>
                <c:pt idx="280">
                  <c:v>44543</c:v>
                </c:pt>
                <c:pt idx="281">
                  <c:v>44544</c:v>
                </c:pt>
                <c:pt idx="282">
                  <c:v>44545</c:v>
                </c:pt>
                <c:pt idx="283">
                  <c:v>44546</c:v>
                </c:pt>
                <c:pt idx="284">
                  <c:v>44547</c:v>
                </c:pt>
                <c:pt idx="285">
                  <c:v>44550</c:v>
                </c:pt>
                <c:pt idx="286">
                  <c:v>44551</c:v>
                </c:pt>
                <c:pt idx="287">
                  <c:v>44552</c:v>
                </c:pt>
                <c:pt idx="288">
                  <c:v>44553</c:v>
                </c:pt>
                <c:pt idx="289">
                  <c:v>44557</c:v>
                </c:pt>
                <c:pt idx="290">
                  <c:v>44558</c:v>
                </c:pt>
                <c:pt idx="291">
                  <c:v>44559</c:v>
                </c:pt>
                <c:pt idx="292">
                  <c:v>44560</c:v>
                </c:pt>
                <c:pt idx="293">
                  <c:v>44561</c:v>
                </c:pt>
                <c:pt idx="294">
                  <c:v>44564</c:v>
                </c:pt>
                <c:pt idx="295">
                  <c:v>44565</c:v>
                </c:pt>
                <c:pt idx="296">
                  <c:v>44566</c:v>
                </c:pt>
                <c:pt idx="297">
                  <c:v>44567</c:v>
                </c:pt>
                <c:pt idx="298">
                  <c:v>44568</c:v>
                </c:pt>
                <c:pt idx="299">
                  <c:v>44571</c:v>
                </c:pt>
                <c:pt idx="300">
                  <c:v>44572</c:v>
                </c:pt>
                <c:pt idx="301">
                  <c:v>44573</c:v>
                </c:pt>
                <c:pt idx="302">
                  <c:v>44574</c:v>
                </c:pt>
                <c:pt idx="303">
                  <c:v>44575</c:v>
                </c:pt>
                <c:pt idx="304">
                  <c:v>44579</c:v>
                </c:pt>
                <c:pt idx="305">
                  <c:v>44580</c:v>
                </c:pt>
                <c:pt idx="306">
                  <c:v>44581</c:v>
                </c:pt>
                <c:pt idx="307">
                  <c:v>44582</c:v>
                </c:pt>
                <c:pt idx="308">
                  <c:v>44585</c:v>
                </c:pt>
                <c:pt idx="309">
                  <c:v>44586</c:v>
                </c:pt>
                <c:pt idx="310">
                  <c:v>44587</c:v>
                </c:pt>
                <c:pt idx="311">
                  <c:v>44588</c:v>
                </c:pt>
                <c:pt idx="312">
                  <c:v>44589</c:v>
                </c:pt>
                <c:pt idx="313">
                  <c:v>44592</c:v>
                </c:pt>
                <c:pt idx="314">
                  <c:v>44593</c:v>
                </c:pt>
                <c:pt idx="315">
                  <c:v>44594</c:v>
                </c:pt>
                <c:pt idx="316">
                  <c:v>44595</c:v>
                </c:pt>
                <c:pt idx="317">
                  <c:v>44596</c:v>
                </c:pt>
                <c:pt idx="318">
                  <c:v>44599</c:v>
                </c:pt>
                <c:pt idx="319">
                  <c:v>44600</c:v>
                </c:pt>
                <c:pt idx="320">
                  <c:v>44601</c:v>
                </c:pt>
                <c:pt idx="321">
                  <c:v>44602</c:v>
                </c:pt>
                <c:pt idx="322">
                  <c:v>44603</c:v>
                </c:pt>
                <c:pt idx="323">
                  <c:v>44606</c:v>
                </c:pt>
                <c:pt idx="324">
                  <c:v>44607</c:v>
                </c:pt>
                <c:pt idx="325">
                  <c:v>44608</c:v>
                </c:pt>
                <c:pt idx="326">
                  <c:v>44609</c:v>
                </c:pt>
                <c:pt idx="327">
                  <c:v>44610</c:v>
                </c:pt>
                <c:pt idx="328">
                  <c:v>44614</c:v>
                </c:pt>
                <c:pt idx="329">
                  <c:v>44615</c:v>
                </c:pt>
                <c:pt idx="330">
                  <c:v>44616</c:v>
                </c:pt>
                <c:pt idx="331">
                  <c:v>44617</c:v>
                </c:pt>
                <c:pt idx="332">
                  <c:v>44620</c:v>
                </c:pt>
                <c:pt idx="333">
                  <c:v>44621</c:v>
                </c:pt>
                <c:pt idx="334">
                  <c:v>44622</c:v>
                </c:pt>
                <c:pt idx="335">
                  <c:v>44623</c:v>
                </c:pt>
                <c:pt idx="336">
                  <c:v>44624</c:v>
                </c:pt>
                <c:pt idx="337">
                  <c:v>44627</c:v>
                </c:pt>
                <c:pt idx="338">
                  <c:v>44628</c:v>
                </c:pt>
                <c:pt idx="339">
                  <c:v>44629</c:v>
                </c:pt>
                <c:pt idx="340">
                  <c:v>44630</c:v>
                </c:pt>
                <c:pt idx="341">
                  <c:v>44631</c:v>
                </c:pt>
                <c:pt idx="342">
                  <c:v>44634</c:v>
                </c:pt>
                <c:pt idx="343">
                  <c:v>44635</c:v>
                </c:pt>
                <c:pt idx="344">
                  <c:v>44636</c:v>
                </c:pt>
                <c:pt idx="345">
                  <c:v>44637</c:v>
                </c:pt>
                <c:pt idx="346">
                  <c:v>44638</c:v>
                </c:pt>
                <c:pt idx="347">
                  <c:v>44641</c:v>
                </c:pt>
                <c:pt idx="348">
                  <c:v>44642</c:v>
                </c:pt>
                <c:pt idx="349">
                  <c:v>44643</c:v>
                </c:pt>
                <c:pt idx="350">
                  <c:v>44644</c:v>
                </c:pt>
                <c:pt idx="351">
                  <c:v>44645</c:v>
                </c:pt>
                <c:pt idx="352">
                  <c:v>44648</c:v>
                </c:pt>
                <c:pt idx="353">
                  <c:v>44649</c:v>
                </c:pt>
                <c:pt idx="354">
                  <c:v>44650</c:v>
                </c:pt>
                <c:pt idx="355">
                  <c:v>44651</c:v>
                </c:pt>
                <c:pt idx="356">
                  <c:v>44652</c:v>
                </c:pt>
                <c:pt idx="357">
                  <c:v>44655</c:v>
                </c:pt>
                <c:pt idx="358">
                  <c:v>44656</c:v>
                </c:pt>
                <c:pt idx="359">
                  <c:v>44657</c:v>
                </c:pt>
                <c:pt idx="360">
                  <c:v>44658</c:v>
                </c:pt>
                <c:pt idx="361">
                  <c:v>44659</c:v>
                </c:pt>
                <c:pt idx="362">
                  <c:v>44662</c:v>
                </c:pt>
                <c:pt idx="363">
                  <c:v>44663</c:v>
                </c:pt>
                <c:pt idx="364">
                  <c:v>44664</c:v>
                </c:pt>
                <c:pt idx="365">
                  <c:v>44665</c:v>
                </c:pt>
                <c:pt idx="366">
                  <c:v>44669</c:v>
                </c:pt>
                <c:pt idx="367">
                  <c:v>44670</c:v>
                </c:pt>
                <c:pt idx="368">
                  <c:v>44671</c:v>
                </c:pt>
                <c:pt idx="369">
                  <c:v>44672</c:v>
                </c:pt>
                <c:pt idx="370">
                  <c:v>44673</c:v>
                </c:pt>
                <c:pt idx="371">
                  <c:v>44676</c:v>
                </c:pt>
                <c:pt idx="372">
                  <c:v>44677</c:v>
                </c:pt>
                <c:pt idx="373">
                  <c:v>44678</c:v>
                </c:pt>
                <c:pt idx="374">
                  <c:v>44679</c:v>
                </c:pt>
                <c:pt idx="375">
                  <c:v>44680</c:v>
                </c:pt>
                <c:pt idx="376">
                  <c:v>44683</c:v>
                </c:pt>
                <c:pt idx="377">
                  <c:v>44684</c:v>
                </c:pt>
                <c:pt idx="378">
                  <c:v>44685</c:v>
                </c:pt>
                <c:pt idx="379">
                  <c:v>44686</c:v>
                </c:pt>
                <c:pt idx="380">
                  <c:v>44687</c:v>
                </c:pt>
                <c:pt idx="381">
                  <c:v>44690</c:v>
                </c:pt>
                <c:pt idx="382">
                  <c:v>44691</c:v>
                </c:pt>
                <c:pt idx="383">
                  <c:v>44692</c:v>
                </c:pt>
                <c:pt idx="384">
                  <c:v>44693</c:v>
                </c:pt>
                <c:pt idx="385">
                  <c:v>44694</c:v>
                </c:pt>
                <c:pt idx="386">
                  <c:v>44697</c:v>
                </c:pt>
                <c:pt idx="387">
                  <c:v>44698</c:v>
                </c:pt>
                <c:pt idx="388">
                  <c:v>44699</c:v>
                </c:pt>
                <c:pt idx="389">
                  <c:v>44700</c:v>
                </c:pt>
                <c:pt idx="390">
                  <c:v>44701</c:v>
                </c:pt>
                <c:pt idx="391">
                  <c:v>44704</c:v>
                </c:pt>
                <c:pt idx="392">
                  <c:v>44705</c:v>
                </c:pt>
                <c:pt idx="393">
                  <c:v>44706</c:v>
                </c:pt>
                <c:pt idx="394">
                  <c:v>44707</c:v>
                </c:pt>
                <c:pt idx="395">
                  <c:v>44708</c:v>
                </c:pt>
                <c:pt idx="396">
                  <c:v>44712</c:v>
                </c:pt>
                <c:pt idx="397">
                  <c:v>44713</c:v>
                </c:pt>
                <c:pt idx="398">
                  <c:v>44714</c:v>
                </c:pt>
                <c:pt idx="399">
                  <c:v>44715</c:v>
                </c:pt>
                <c:pt idx="400">
                  <c:v>44718</c:v>
                </c:pt>
                <c:pt idx="401">
                  <c:v>44719</c:v>
                </c:pt>
                <c:pt idx="402">
                  <c:v>44720</c:v>
                </c:pt>
                <c:pt idx="403">
                  <c:v>44721</c:v>
                </c:pt>
                <c:pt idx="404">
                  <c:v>44722</c:v>
                </c:pt>
                <c:pt idx="405">
                  <c:v>44725</c:v>
                </c:pt>
                <c:pt idx="406">
                  <c:v>44726</c:v>
                </c:pt>
                <c:pt idx="407">
                  <c:v>44727</c:v>
                </c:pt>
                <c:pt idx="408">
                  <c:v>44728</c:v>
                </c:pt>
                <c:pt idx="409">
                  <c:v>44729</c:v>
                </c:pt>
                <c:pt idx="410">
                  <c:v>44733</c:v>
                </c:pt>
                <c:pt idx="411">
                  <c:v>44734</c:v>
                </c:pt>
                <c:pt idx="412">
                  <c:v>44735</c:v>
                </c:pt>
                <c:pt idx="413">
                  <c:v>44736</c:v>
                </c:pt>
                <c:pt idx="414">
                  <c:v>44739</c:v>
                </c:pt>
                <c:pt idx="415">
                  <c:v>44740</c:v>
                </c:pt>
                <c:pt idx="416">
                  <c:v>44741</c:v>
                </c:pt>
                <c:pt idx="417">
                  <c:v>44742</c:v>
                </c:pt>
                <c:pt idx="418">
                  <c:v>44743</c:v>
                </c:pt>
                <c:pt idx="419">
                  <c:v>44747</c:v>
                </c:pt>
                <c:pt idx="420">
                  <c:v>44748</c:v>
                </c:pt>
                <c:pt idx="421">
                  <c:v>44749</c:v>
                </c:pt>
                <c:pt idx="422">
                  <c:v>44750</c:v>
                </c:pt>
                <c:pt idx="423">
                  <c:v>44753</c:v>
                </c:pt>
                <c:pt idx="424">
                  <c:v>44754</c:v>
                </c:pt>
                <c:pt idx="425">
                  <c:v>44755</c:v>
                </c:pt>
                <c:pt idx="426">
                  <c:v>44756</c:v>
                </c:pt>
                <c:pt idx="427">
                  <c:v>44757</c:v>
                </c:pt>
                <c:pt idx="428">
                  <c:v>44760</c:v>
                </c:pt>
                <c:pt idx="429">
                  <c:v>44761</c:v>
                </c:pt>
                <c:pt idx="430">
                  <c:v>44762</c:v>
                </c:pt>
                <c:pt idx="431">
                  <c:v>44763</c:v>
                </c:pt>
                <c:pt idx="432">
                  <c:v>44764</c:v>
                </c:pt>
                <c:pt idx="433">
                  <c:v>44767</c:v>
                </c:pt>
                <c:pt idx="434">
                  <c:v>44768</c:v>
                </c:pt>
                <c:pt idx="435">
                  <c:v>44769</c:v>
                </c:pt>
                <c:pt idx="436">
                  <c:v>44770</c:v>
                </c:pt>
                <c:pt idx="437">
                  <c:v>44771</c:v>
                </c:pt>
                <c:pt idx="438">
                  <c:v>44774</c:v>
                </c:pt>
                <c:pt idx="439">
                  <c:v>44775</c:v>
                </c:pt>
                <c:pt idx="440">
                  <c:v>44776</c:v>
                </c:pt>
                <c:pt idx="441">
                  <c:v>44777</c:v>
                </c:pt>
                <c:pt idx="442">
                  <c:v>44778</c:v>
                </c:pt>
                <c:pt idx="443">
                  <c:v>44781</c:v>
                </c:pt>
                <c:pt idx="444">
                  <c:v>44782</c:v>
                </c:pt>
                <c:pt idx="445">
                  <c:v>44783</c:v>
                </c:pt>
                <c:pt idx="446">
                  <c:v>44784</c:v>
                </c:pt>
                <c:pt idx="447">
                  <c:v>44785</c:v>
                </c:pt>
                <c:pt idx="448">
                  <c:v>44788</c:v>
                </c:pt>
                <c:pt idx="449">
                  <c:v>44789</c:v>
                </c:pt>
                <c:pt idx="450">
                  <c:v>44790</c:v>
                </c:pt>
                <c:pt idx="451">
                  <c:v>44791</c:v>
                </c:pt>
                <c:pt idx="452">
                  <c:v>44792</c:v>
                </c:pt>
                <c:pt idx="453">
                  <c:v>44795</c:v>
                </c:pt>
                <c:pt idx="454">
                  <c:v>44796</c:v>
                </c:pt>
                <c:pt idx="455">
                  <c:v>44797</c:v>
                </c:pt>
                <c:pt idx="456">
                  <c:v>44798</c:v>
                </c:pt>
                <c:pt idx="457">
                  <c:v>44799</c:v>
                </c:pt>
                <c:pt idx="458">
                  <c:v>44802</c:v>
                </c:pt>
                <c:pt idx="459">
                  <c:v>44803</c:v>
                </c:pt>
                <c:pt idx="460">
                  <c:v>44804</c:v>
                </c:pt>
                <c:pt idx="461">
                  <c:v>44805</c:v>
                </c:pt>
                <c:pt idx="462">
                  <c:v>44806</c:v>
                </c:pt>
                <c:pt idx="463">
                  <c:v>44810</c:v>
                </c:pt>
                <c:pt idx="464">
                  <c:v>44811</c:v>
                </c:pt>
                <c:pt idx="465">
                  <c:v>44812</c:v>
                </c:pt>
                <c:pt idx="466">
                  <c:v>44813</c:v>
                </c:pt>
                <c:pt idx="467">
                  <c:v>44816</c:v>
                </c:pt>
                <c:pt idx="468">
                  <c:v>44817</c:v>
                </c:pt>
                <c:pt idx="469">
                  <c:v>44818</c:v>
                </c:pt>
                <c:pt idx="470">
                  <c:v>44819</c:v>
                </c:pt>
                <c:pt idx="471">
                  <c:v>44820</c:v>
                </c:pt>
                <c:pt idx="472">
                  <c:v>44823</c:v>
                </c:pt>
                <c:pt idx="473">
                  <c:v>44824</c:v>
                </c:pt>
                <c:pt idx="474">
                  <c:v>44825</c:v>
                </c:pt>
                <c:pt idx="475">
                  <c:v>44826</c:v>
                </c:pt>
                <c:pt idx="476">
                  <c:v>44827</c:v>
                </c:pt>
                <c:pt idx="477">
                  <c:v>44830</c:v>
                </c:pt>
                <c:pt idx="478">
                  <c:v>44831</c:v>
                </c:pt>
                <c:pt idx="479">
                  <c:v>44832</c:v>
                </c:pt>
                <c:pt idx="480">
                  <c:v>44833</c:v>
                </c:pt>
                <c:pt idx="481">
                  <c:v>44834</c:v>
                </c:pt>
                <c:pt idx="482">
                  <c:v>44837</c:v>
                </c:pt>
                <c:pt idx="483">
                  <c:v>44838</c:v>
                </c:pt>
                <c:pt idx="484">
                  <c:v>44839</c:v>
                </c:pt>
                <c:pt idx="485">
                  <c:v>44840</c:v>
                </c:pt>
                <c:pt idx="486">
                  <c:v>44841</c:v>
                </c:pt>
                <c:pt idx="487">
                  <c:v>44844</c:v>
                </c:pt>
                <c:pt idx="488">
                  <c:v>44845</c:v>
                </c:pt>
                <c:pt idx="489">
                  <c:v>44846</c:v>
                </c:pt>
                <c:pt idx="490">
                  <c:v>44847</c:v>
                </c:pt>
                <c:pt idx="491">
                  <c:v>44848</c:v>
                </c:pt>
                <c:pt idx="492">
                  <c:v>44851</c:v>
                </c:pt>
                <c:pt idx="493">
                  <c:v>44852</c:v>
                </c:pt>
                <c:pt idx="494">
                  <c:v>44853</c:v>
                </c:pt>
                <c:pt idx="495">
                  <c:v>44854</c:v>
                </c:pt>
                <c:pt idx="496">
                  <c:v>44855</c:v>
                </c:pt>
                <c:pt idx="497">
                  <c:v>44858</c:v>
                </c:pt>
                <c:pt idx="498">
                  <c:v>44859</c:v>
                </c:pt>
                <c:pt idx="499">
                  <c:v>44860</c:v>
                </c:pt>
                <c:pt idx="500">
                  <c:v>44861</c:v>
                </c:pt>
                <c:pt idx="501">
                  <c:v>44862</c:v>
                </c:pt>
                <c:pt idx="502">
                  <c:v>44865</c:v>
                </c:pt>
                <c:pt idx="503">
                  <c:v>44866</c:v>
                </c:pt>
                <c:pt idx="504">
                  <c:v>44867</c:v>
                </c:pt>
                <c:pt idx="505">
                  <c:v>44868</c:v>
                </c:pt>
                <c:pt idx="506">
                  <c:v>44869</c:v>
                </c:pt>
                <c:pt idx="507">
                  <c:v>44872</c:v>
                </c:pt>
                <c:pt idx="508">
                  <c:v>44873</c:v>
                </c:pt>
                <c:pt idx="509">
                  <c:v>44874</c:v>
                </c:pt>
                <c:pt idx="510">
                  <c:v>44875</c:v>
                </c:pt>
                <c:pt idx="511">
                  <c:v>44876</c:v>
                </c:pt>
                <c:pt idx="512">
                  <c:v>44879</c:v>
                </c:pt>
                <c:pt idx="513">
                  <c:v>44880</c:v>
                </c:pt>
                <c:pt idx="514">
                  <c:v>44881</c:v>
                </c:pt>
                <c:pt idx="515">
                  <c:v>44882</c:v>
                </c:pt>
                <c:pt idx="516">
                  <c:v>44883</c:v>
                </c:pt>
                <c:pt idx="517">
                  <c:v>44886</c:v>
                </c:pt>
                <c:pt idx="518">
                  <c:v>44887</c:v>
                </c:pt>
                <c:pt idx="519">
                  <c:v>44888</c:v>
                </c:pt>
                <c:pt idx="520">
                  <c:v>44890</c:v>
                </c:pt>
                <c:pt idx="521">
                  <c:v>44893</c:v>
                </c:pt>
                <c:pt idx="522">
                  <c:v>44894</c:v>
                </c:pt>
                <c:pt idx="523">
                  <c:v>44895</c:v>
                </c:pt>
                <c:pt idx="524">
                  <c:v>44896</c:v>
                </c:pt>
                <c:pt idx="525">
                  <c:v>44897</c:v>
                </c:pt>
                <c:pt idx="526">
                  <c:v>44900</c:v>
                </c:pt>
                <c:pt idx="527">
                  <c:v>44901</c:v>
                </c:pt>
                <c:pt idx="528">
                  <c:v>44902</c:v>
                </c:pt>
                <c:pt idx="529">
                  <c:v>44903</c:v>
                </c:pt>
                <c:pt idx="530">
                  <c:v>44904</c:v>
                </c:pt>
                <c:pt idx="531">
                  <c:v>44907</c:v>
                </c:pt>
                <c:pt idx="532">
                  <c:v>44908</c:v>
                </c:pt>
                <c:pt idx="533">
                  <c:v>44909</c:v>
                </c:pt>
                <c:pt idx="534">
                  <c:v>44910</c:v>
                </c:pt>
                <c:pt idx="535">
                  <c:v>44911</c:v>
                </c:pt>
                <c:pt idx="536">
                  <c:v>44914</c:v>
                </c:pt>
                <c:pt idx="537">
                  <c:v>44915</c:v>
                </c:pt>
                <c:pt idx="538">
                  <c:v>44916</c:v>
                </c:pt>
                <c:pt idx="539">
                  <c:v>44917</c:v>
                </c:pt>
                <c:pt idx="540">
                  <c:v>44918</c:v>
                </c:pt>
                <c:pt idx="541">
                  <c:v>44922</c:v>
                </c:pt>
                <c:pt idx="542">
                  <c:v>44923</c:v>
                </c:pt>
                <c:pt idx="543">
                  <c:v>44924</c:v>
                </c:pt>
                <c:pt idx="544">
                  <c:v>44925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44943</c:v>
                </c:pt>
                <c:pt idx="555">
                  <c:v>44944</c:v>
                </c:pt>
                <c:pt idx="556">
                  <c:v>44945</c:v>
                </c:pt>
                <c:pt idx="557">
                  <c:v>44946</c:v>
                </c:pt>
                <c:pt idx="558">
                  <c:v>44949</c:v>
                </c:pt>
                <c:pt idx="559">
                  <c:v>44950</c:v>
                </c:pt>
                <c:pt idx="560">
                  <c:v>44951</c:v>
                </c:pt>
                <c:pt idx="561">
                  <c:v>44952</c:v>
                </c:pt>
                <c:pt idx="562">
                  <c:v>44953</c:v>
                </c:pt>
                <c:pt idx="563">
                  <c:v>44956</c:v>
                </c:pt>
                <c:pt idx="564">
                  <c:v>44957</c:v>
                </c:pt>
                <c:pt idx="565">
                  <c:v>44958</c:v>
                </c:pt>
                <c:pt idx="566">
                  <c:v>44959</c:v>
                </c:pt>
                <c:pt idx="567">
                  <c:v>44960</c:v>
                </c:pt>
                <c:pt idx="568">
                  <c:v>44963</c:v>
                </c:pt>
                <c:pt idx="569">
                  <c:v>44964</c:v>
                </c:pt>
                <c:pt idx="570">
                  <c:v>44965</c:v>
                </c:pt>
                <c:pt idx="571">
                  <c:v>44966</c:v>
                </c:pt>
                <c:pt idx="572">
                  <c:v>44967</c:v>
                </c:pt>
                <c:pt idx="573">
                  <c:v>44970</c:v>
                </c:pt>
                <c:pt idx="574">
                  <c:v>44971</c:v>
                </c:pt>
                <c:pt idx="575">
                  <c:v>44972</c:v>
                </c:pt>
                <c:pt idx="576">
                  <c:v>44973</c:v>
                </c:pt>
                <c:pt idx="577">
                  <c:v>44974</c:v>
                </c:pt>
                <c:pt idx="578">
                  <c:v>44978</c:v>
                </c:pt>
                <c:pt idx="579">
                  <c:v>44979</c:v>
                </c:pt>
                <c:pt idx="580">
                  <c:v>44980</c:v>
                </c:pt>
                <c:pt idx="581">
                  <c:v>44981</c:v>
                </c:pt>
                <c:pt idx="582">
                  <c:v>44984</c:v>
                </c:pt>
                <c:pt idx="583">
                  <c:v>44985</c:v>
                </c:pt>
                <c:pt idx="584">
                  <c:v>44986</c:v>
                </c:pt>
                <c:pt idx="585">
                  <c:v>44987</c:v>
                </c:pt>
                <c:pt idx="586">
                  <c:v>44988</c:v>
                </c:pt>
                <c:pt idx="587">
                  <c:v>44991</c:v>
                </c:pt>
                <c:pt idx="588">
                  <c:v>44992</c:v>
                </c:pt>
                <c:pt idx="589">
                  <c:v>44993</c:v>
                </c:pt>
                <c:pt idx="590">
                  <c:v>44994</c:v>
                </c:pt>
                <c:pt idx="591">
                  <c:v>44995</c:v>
                </c:pt>
                <c:pt idx="592">
                  <c:v>44998</c:v>
                </c:pt>
                <c:pt idx="593">
                  <c:v>44999</c:v>
                </c:pt>
                <c:pt idx="594">
                  <c:v>45000</c:v>
                </c:pt>
                <c:pt idx="595">
                  <c:v>45001</c:v>
                </c:pt>
                <c:pt idx="596">
                  <c:v>45002</c:v>
                </c:pt>
                <c:pt idx="597">
                  <c:v>45005</c:v>
                </c:pt>
                <c:pt idx="598">
                  <c:v>45006</c:v>
                </c:pt>
                <c:pt idx="599">
                  <c:v>45007</c:v>
                </c:pt>
                <c:pt idx="600">
                  <c:v>45008</c:v>
                </c:pt>
                <c:pt idx="601">
                  <c:v>45009</c:v>
                </c:pt>
                <c:pt idx="602">
                  <c:v>45012</c:v>
                </c:pt>
                <c:pt idx="603">
                  <c:v>45013</c:v>
                </c:pt>
                <c:pt idx="604">
                  <c:v>45014</c:v>
                </c:pt>
                <c:pt idx="605">
                  <c:v>45015</c:v>
                </c:pt>
                <c:pt idx="606">
                  <c:v>45016</c:v>
                </c:pt>
                <c:pt idx="607">
                  <c:v>45019</c:v>
                </c:pt>
                <c:pt idx="608">
                  <c:v>45020</c:v>
                </c:pt>
                <c:pt idx="609">
                  <c:v>45021</c:v>
                </c:pt>
                <c:pt idx="610">
                  <c:v>45022</c:v>
                </c:pt>
                <c:pt idx="611">
                  <c:v>45026</c:v>
                </c:pt>
                <c:pt idx="612">
                  <c:v>45027</c:v>
                </c:pt>
                <c:pt idx="613">
                  <c:v>45028</c:v>
                </c:pt>
                <c:pt idx="614">
                  <c:v>45029</c:v>
                </c:pt>
                <c:pt idx="615">
                  <c:v>45030</c:v>
                </c:pt>
                <c:pt idx="616">
                  <c:v>45033</c:v>
                </c:pt>
                <c:pt idx="617">
                  <c:v>45034</c:v>
                </c:pt>
                <c:pt idx="618">
                  <c:v>45035</c:v>
                </c:pt>
                <c:pt idx="619">
                  <c:v>45036</c:v>
                </c:pt>
                <c:pt idx="620">
                  <c:v>45037</c:v>
                </c:pt>
                <c:pt idx="621">
                  <c:v>45040</c:v>
                </c:pt>
                <c:pt idx="622">
                  <c:v>45041</c:v>
                </c:pt>
                <c:pt idx="623">
                  <c:v>45042</c:v>
                </c:pt>
                <c:pt idx="624">
                  <c:v>45043</c:v>
                </c:pt>
                <c:pt idx="625">
                  <c:v>45044</c:v>
                </c:pt>
                <c:pt idx="626">
                  <c:v>45047</c:v>
                </c:pt>
                <c:pt idx="627">
                  <c:v>45048</c:v>
                </c:pt>
                <c:pt idx="628">
                  <c:v>45049</c:v>
                </c:pt>
                <c:pt idx="629">
                  <c:v>45050</c:v>
                </c:pt>
                <c:pt idx="630">
                  <c:v>45051</c:v>
                </c:pt>
                <c:pt idx="631">
                  <c:v>45054</c:v>
                </c:pt>
                <c:pt idx="632">
                  <c:v>45055</c:v>
                </c:pt>
                <c:pt idx="633">
                  <c:v>45056</c:v>
                </c:pt>
                <c:pt idx="634">
                  <c:v>45057</c:v>
                </c:pt>
                <c:pt idx="635">
                  <c:v>45058</c:v>
                </c:pt>
                <c:pt idx="636">
                  <c:v>45061</c:v>
                </c:pt>
                <c:pt idx="637">
                  <c:v>45062</c:v>
                </c:pt>
                <c:pt idx="638">
                  <c:v>45063</c:v>
                </c:pt>
                <c:pt idx="639">
                  <c:v>45064</c:v>
                </c:pt>
                <c:pt idx="640">
                  <c:v>45065</c:v>
                </c:pt>
                <c:pt idx="641">
                  <c:v>45068</c:v>
                </c:pt>
                <c:pt idx="642">
                  <c:v>45069</c:v>
                </c:pt>
                <c:pt idx="643">
                  <c:v>45070</c:v>
                </c:pt>
                <c:pt idx="644">
                  <c:v>45071</c:v>
                </c:pt>
                <c:pt idx="645">
                  <c:v>45072</c:v>
                </c:pt>
                <c:pt idx="646">
                  <c:v>45076</c:v>
                </c:pt>
                <c:pt idx="647">
                  <c:v>45077</c:v>
                </c:pt>
                <c:pt idx="648">
                  <c:v>45078</c:v>
                </c:pt>
                <c:pt idx="649">
                  <c:v>45079</c:v>
                </c:pt>
                <c:pt idx="650">
                  <c:v>45082</c:v>
                </c:pt>
                <c:pt idx="651">
                  <c:v>45083</c:v>
                </c:pt>
                <c:pt idx="652">
                  <c:v>45084</c:v>
                </c:pt>
                <c:pt idx="653">
                  <c:v>45085</c:v>
                </c:pt>
                <c:pt idx="654">
                  <c:v>45086</c:v>
                </c:pt>
                <c:pt idx="655">
                  <c:v>45089</c:v>
                </c:pt>
                <c:pt idx="656">
                  <c:v>45090</c:v>
                </c:pt>
                <c:pt idx="657">
                  <c:v>45091</c:v>
                </c:pt>
                <c:pt idx="658">
                  <c:v>45092</c:v>
                </c:pt>
                <c:pt idx="659">
                  <c:v>45093</c:v>
                </c:pt>
                <c:pt idx="660">
                  <c:v>45097</c:v>
                </c:pt>
                <c:pt idx="661">
                  <c:v>45098</c:v>
                </c:pt>
                <c:pt idx="662">
                  <c:v>45099</c:v>
                </c:pt>
                <c:pt idx="663">
                  <c:v>45100</c:v>
                </c:pt>
                <c:pt idx="664">
                  <c:v>45103</c:v>
                </c:pt>
                <c:pt idx="665">
                  <c:v>45104</c:v>
                </c:pt>
                <c:pt idx="666">
                  <c:v>45105</c:v>
                </c:pt>
                <c:pt idx="667">
                  <c:v>45106</c:v>
                </c:pt>
                <c:pt idx="668">
                  <c:v>45107</c:v>
                </c:pt>
                <c:pt idx="669">
                  <c:v>45110</c:v>
                </c:pt>
                <c:pt idx="670">
                  <c:v>45112</c:v>
                </c:pt>
                <c:pt idx="671">
                  <c:v>45113</c:v>
                </c:pt>
                <c:pt idx="672">
                  <c:v>45114</c:v>
                </c:pt>
                <c:pt idx="673">
                  <c:v>45117</c:v>
                </c:pt>
                <c:pt idx="674">
                  <c:v>45118</c:v>
                </c:pt>
                <c:pt idx="675">
                  <c:v>45119</c:v>
                </c:pt>
                <c:pt idx="676">
                  <c:v>45120</c:v>
                </c:pt>
                <c:pt idx="677">
                  <c:v>45121</c:v>
                </c:pt>
                <c:pt idx="678">
                  <c:v>45124</c:v>
                </c:pt>
                <c:pt idx="679">
                  <c:v>45125</c:v>
                </c:pt>
                <c:pt idx="680">
                  <c:v>45126</c:v>
                </c:pt>
                <c:pt idx="681">
                  <c:v>45127</c:v>
                </c:pt>
                <c:pt idx="682">
                  <c:v>45128</c:v>
                </c:pt>
                <c:pt idx="683">
                  <c:v>45131</c:v>
                </c:pt>
                <c:pt idx="684">
                  <c:v>45132</c:v>
                </c:pt>
                <c:pt idx="685">
                  <c:v>45133</c:v>
                </c:pt>
                <c:pt idx="686">
                  <c:v>45134</c:v>
                </c:pt>
                <c:pt idx="687">
                  <c:v>45135</c:v>
                </c:pt>
                <c:pt idx="688">
                  <c:v>45138</c:v>
                </c:pt>
                <c:pt idx="689">
                  <c:v>45139</c:v>
                </c:pt>
                <c:pt idx="690">
                  <c:v>45140</c:v>
                </c:pt>
                <c:pt idx="691">
                  <c:v>45141</c:v>
                </c:pt>
                <c:pt idx="692">
                  <c:v>45142</c:v>
                </c:pt>
                <c:pt idx="693">
                  <c:v>45145</c:v>
                </c:pt>
                <c:pt idx="694">
                  <c:v>45146</c:v>
                </c:pt>
                <c:pt idx="695">
                  <c:v>45147</c:v>
                </c:pt>
                <c:pt idx="696">
                  <c:v>45148</c:v>
                </c:pt>
                <c:pt idx="697">
                  <c:v>45149</c:v>
                </c:pt>
                <c:pt idx="698">
                  <c:v>45152</c:v>
                </c:pt>
                <c:pt idx="699">
                  <c:v>45153</c:v>
                </c:pt>
                <c:pt idx="700">
                  <c:v>45154</c:v>
                </c:pt>
                <c:pt idx="701">
                  <c:v>45155</c:v>
                </c:pt>
                <c:pt idx="702">
                  <c:v>45156</c:v>
                </c:pt>
                <c:pt idx="703">
                  <c:v>45159</c:v>
                </c:pt>
                <c:pt idx="704">
                  <c:v>45160</c:v>
                </c:pt>
                <c:pt idx="705">
                  <c:v>45161</c:v>
                </c:pt>
                <c:pt idx="706">
                  <c:v>45162</c:v>
                </c:pt>
                <c:pt idx="707">
                  <c:v>45163</c:v>
                </c:pt>
                <c:pt idx="708">
                  <c:v>45166</c:v>
                </c:pt>
                <c:pt idx="709">
                  <c:v>45167</c:v>
                </c:pt>
                <c:pt idx="710">
                  <c:v>45168</c:v>
                </c:pt>
                <c:pt idx="711">
                  <c:v>45169</c:v>
                </c:pt>
                <c:pt idx="712">
                  <c:v>45170</c:v>
                </c:pt>
                <c:pt idx="713">
                  <c:v>45174</c:v>
                </c:pt>
                <c:pt idx="714">
                  <c:v>45175</c:v>
                </c:pt>
                <c:pt idx="715">
                  <c:v>45176</c:v>
                </c:pt>
                <c:pt idx="716">
                  <c:v>45177</c:v>
                </c:pt>
                <c:pt idx="717">
                  <c:v>45180</c:v>
                </c:pt>
                <c:pt idx="718">
                  <c:v>45181</c:v>
                </c:pt>
                <c:pt idx="719">
                  <c:v>45182</c:v>
                </c:pt>
                <c:pt idx="720">
                  <c:v>45183</c:v>
                </c:pt>
                <c:pt idx="721">
                  <c:v>45184</c:v>
                </c:pt>
                <c:pt idx="722">
                  <c:v>45187</c:v>
                </c:pt>
                <c:pt idx="723">
                  <c:v>45188</c:v>
                </c:pt>
                <c:pt idx="724">
                  <c:v>45189</c:v>
                </c:pt>
                <c:pt idx="725">
                  <c:v>45190</c:v>
                </c:pt>
                <c:pt idx="726">
                  <c:v>45191</c:v>
                </c:pt>
                <c:pt idx="727">
                  <c:v>45194</c:v>
                </c:pt>
                <c:pt idx="728">
                  <c:v>45195</c:v>
                </c:pt>
                <c:pt idx="729">
                  <c:v>45196</c:v>
                </c:pt>
                <c:pt idx="730">
                  <c:v>45197</c:v>
                </c:pt>
                <c:pt idx="731">
                  <c:v>45198</c:v>
                </c:pt>
                <c:pt idx="732">
                  <c:v>45201</c:v>
                </c:pt>
                <c:pt idx="733">
                  <c:v>45202</c:v>
                </c:pt>
                <c:pt idx="734">
                  <c:v>45203</c:v>
                </c:pt>
                <c:pt idx="735">
                  <c:v>45204</c:v>
                </c:pt>
                <c:pt idx="736">
                  <c:v>45205</c:v>
                </c:pt>
                <c:pt idx="737">
                  <c:v>45208</c:v>
                </c:pt>
                <c:pt idx="738">
                  <c:v>45209</c:v>
                </c:pt>
                <c:pt idx="739">
                  <c:v>45210</c:v>
                </c:pt>
                <c:pt idx="740">
                  <c:v>45211</c:v>
                </c:pt>
                <c:pt idx="741">
                  <c:v>45212</c:v>
                </c:pt>
                <c:pt idx="742">
                  <c:v>45215</c:v>
                </c:pt>
                <c:pt idx="743">
                  <c:v>45216</c:v>
                </c:pt>
                <c:pt idx="744">
                  <c:v>45217</c:v>
                </c:pt>
                <c:pt idx="745">
                  <c:v>45218</c:v>
                </c:pt>
                <c:pt idx="746">
                  <c:v>45219</c:v>
                </c:pt>
                <c:pt idx="747">
                  <c:v>45222</c:v>
                </c:pt>
                <c:pt idx="748">
                  <c:v>45223</c:v>
                </c:pt>
                <c:pt idx="749">
                  <c:v>45224</c:v>
                </c:pt>
                <c:pt idx="750">
                  <c:v>45225</c:v>
                </c:pt>
                <c:pt idx="751">
                  <c:v>45226</c:v>
                </c:pt>
                <c:pt idx="752">
                  <c:v>45229</c:v>
                </c:pt>
                <c:pt idx="753">
                  <c:v>45230</c:v>
                </c:pt>
                <c:pt idx="754">
                  <c:v>45231</c:v>
                </c:pt>
                <c:pt idx="755">
                  <c:v>45232</c:v>
                </c:pt>
                <c:pt idx="756">
                  <c:v>45233</c:v>
                </c:pt>
                <c:pt idx="757">
                  <c:v>45236</c:v>
                </c:pt>
                <c:pt idx="758">
                  <c:v>45237</c:v>
                </c:pt>
                <c:pt idx="759">
                  <c:v>45238</c:v>
                </c:pt>
                <c:pt idx="760">
                  <c:v>45239</c:v>
                </c:pt>
                <c:pt idx="761">
                  <c:v>45240</c:v>
                </c:pt>
                <c:pt idx="762">
                  <c:v>45243</c:v>
                </c:pt>
                <c:pt idx="763">
                  <c:v>45244</c:v>
                </c:pt>
                <c:pt idx="764">
                  <c:v>45245</c:v>
                </c:pt>
                <c:pt idx="765">
                  <c:v>45246</c:v>
                </c:pt>
                <c:pt idx="766">
                  <c:v>45247</c:v>
                </c:pt>
                <c:pt idx="767">
                  <c:v>45250</c:v>
                </c:pt>
                <c:pt idx="768">
                  <c:v>45251</c:v>
                </c:pt>
                <c:pt idx="769">
                  <c:v>45252</c:v>
                </c:pt>
                <c:pt idx="770">
                  <c:v>45254</c:v>
                </c:pt>
                <c:pt idx="771">
                  <c:v>45257</c:v>
                </c:pt>
                <c:pt idx="772">
                  <c:v>45258</c:v>
                </c:pt>
                <c:pt idx="773">
                  <c:v>45259</c:v>
                </c:pt>
                <c:pt idx="774">
                  <c:v>45260</c:v>
                </c:pt>
                <c:pt idx="775">
                  <c:v>45261</c:v>
                </c:pt>
                <c:pt idx="776">
                  <c:v>45264</c:v>
                </c:pt>
                <c:pt idx="777">
                  <c:v>45265</c:v>
                </c:pt>
                <c:pt idx="778">
                  <c:v>45266</c:v>
                </c:pt>
                <c:pt idx="779">
                  <c:v>45267</c:v>
                </c:pt>
                <c:pt idx="780">
                  <c:v>45268</c:v>
                </c:pt>
                <c:pt idx="781">
                  <c:v>45271</c:v>
                </c:pt>
                <c:pt idx="782">
                  <c:v>45272</c:v>
                </c:pt>
                <c:pt idx="783">
                  <c:v>45273</c:v>
                </c:pt>
                <c:pt idx="784">
                  <c:v>45274</c:v>
                </c:pt>
                <c:pt idx="785">
                  <c:v>45275</c:v>
                </c:pt>
                <c:pt idx="786">
                  <c:v>45278</c:v>
                </c:pt>
                <c:pt idx="787">
                  <c:v>45279</c:v>
                </c:pt>
                <c:pt idx="788">
                  <c:v>45280</c:v>
                </c:pt>
                <c:pt idx="789">
                  <c:v>45281</c:v>
                </c:pt>
                <c:pt idx="790">
                  <c:v>45282</c:v>
                </c:pt>
                <c:pt idx="791">
                  <c:v>45286</c:v>
                </c:pt>
                <c:pt idx="792">
                  <c:v>45287</c:v>
                </c:pt>
                <c:pt idx="793">
                  <c:v>45288</c:v>
                </c:pt>
                <c:pt idx="794">
                  <c:v>45289</c:v>
                </c:pt>
                <c:pt idx="795">
                  <c:v>45293</c:v>
                </c:pt>
                <c:pt idx="796">
                  <c:v>45294</c:v>
                </c:pt>
                <c:pt idx="797">
                  <c:v>45295</c:v>
                </c:pt>
                <c:pt idx="798">
                  <c:v>45296</c:v>
                </c:pt>
                <c:pt idx="799">
                  <c:v>45299</c:v>
                </c:pt>
                <c:pt idx="800">
                  <c:v>45300</c:v>
                </c:pt>
                <c:pt idx="801">
                  <c:v>45301</c:v>
                </c:pt>
                <c:pt idx="802">
                  <c:v>45302</c:v>
                </c:pt>
                <c:pt idx="803">
                  <c:v>45303</c:v>
                </c:pt>
                <c:pt idx="804">
                  <c:v>45307</c:v>
                </c:pt>
                <c:pt idx="805">
                  <c:v>45308</c:v>
                </c:pt>
                <c:pt idx="806">
                  <c:v>45309</c:v>
                </c:pt>
                <c:pt idx="807">
                  <c:v>45310</c:v>
                </c:pt>
                <c:pt idx="808">
                  <c:v>45313</c:v>
                </c:pt>
                <c:pt idx="809">
                  <c:v>45314</c:v>
                </c:pt>
                <c:pt idx="810">
                  <c:v>45315</c:v>
                </c:pt>
                <c:pt idx="811">
                  <c:v>45316</c:v>
                </c:pt>
                <c:pt idx="812">
                  <c:v>45317</c:v>
                </c:pt>
                <c:pt idx="813">
                  <c:v>45320</c:v>
                </c:pt>
                <c:pt idx="814">
                  <c:v>45321</c:v>
                </c:pt>
                <c:pt idx="815">
                  <c:v>45322</c:v>
                </c:pt>
                <c:pt idx="816">
                  <c:v>45323</c:v>
                </c:pt>
                <c:pt idx="817">
                  <c:v>45324</c:v>
                </c:pt>
                <c:pt idx="818">
                  <c:v>45327</c:v>
                </c:pt>
                <c:pt idx="819">
                  <c:v>45328</c:v>
                </c:pt>
                <c:pt idx="820">
                  <c:v>45329</c:v>
                </c:pt>
                <c:pt idx="821">
                  <c:v>45330</c:v>
                </c:pt>
                <c:pt idx="822">
                  <c:v>45331</c:v>
                </c:pt>
                <c:pt idx="823">
                  <c:v>45334</c:v>
                </c:pt>
                <c:pt idx="824">
                  <c:v>45335</c:v>
                </c:pt>
                <c:pt idx="825">
                  <c:v>45336</c:v>
                </c:pt>
                <c:pt idx="826">
                  <c:v>45337</c:v>
                </c:pt>
                <c:pt idx="827">
                  <c:v>45338</c:v>
                </c:pt>
                <c:pt idx="828">
                  <c:v>45342</c:v>
                </c:pt>
                <c:pt idx="829">
                  <c:v>45343</c:v>
                </c:pt>
                <c:pt idx="830">
                  <c:v>45344</c:v>
                </c:pt>
                <c:pt idx="831">
                  <c:v>45345</c:v>
                </c:pt>
                <c:pt idx="832">
                  <c:v>45348</c:v>
                </c:pt>
                <c:pt idx="833">
                  <c:v>45349</c:v>
                </c:pt>
                <c:pt idx="834">
                  <c:v>45350</c:v>
                </c:pt>
                <c:pt idx="835">
                  <c:v>45351</c:v>
                </c:pt>
                <c:pt idx="836">
                  <c:v>45352</c:v>
                </c:pt>
                <c:pt idx="837">
                  <c:v>45355</c:v>
                </c:pt>
                <c:pt idx="838">
                  <c:v>45356</c:v>
                </c:pt>
                <c:pt idx="839">
                  <c:v>45357</c:v>
                </c:pt>
                <c:pt idx="840">
                  <c:v>45358</c:v>
                </c:pt>
                <c:pt idx="841">
                  <c:v>45359</c:v>
                </c:pt>
                <c:pt idx="842">
                  <c:v>45362</c:v>
                </c:pt>
                <c:pt idx="843">
                  <c:v>45363</c:v>
                </c:pt>
                <c:pt idx="844">
                  <c:v>45364</c:v>
                </c:pt>
                <c:pt idx="845">
                  <c:v>45365</c:v>
                </c:pt>
                <c:pt idx="846">
                  <c:v>45366</c:v>
                </c:pt>
                <c:pt idx="847">
                  <c:v>45369</c:v>
                </c:pt>
                <c:pt idx="848">
                  <c:v>45370</c:v>
                </c:pt>
                <c:pt idx="849">
                  <c:v>45371</c:v>
                </c:pt>
                <c:pt idx="850">
                  <c:v>45372</c:v>
                </c:pt>
                <c:pt idx="851">
                  <c:v>45373</c:v>
                </c:pt>
                <c:pt idx="852">
                  <c:v>45376</c:v>
                </c:pt>
                <c:pt idx="853">
                  <c:v>45377</c:v>
                </c:pt>
                <c:pt idx="854">
                  <c:v>45378</c:v>
                </c:pt>
                <c:pt idx="855">
                  <c:v>45379</c:v>
                </c:pt>
                <c:pt idx="856">
                  <c:v>45383</c:v>
                </c:pt>
                <c:pt idx="857">
                  <c:v>45384</c:v>
                </c:pt>
                <c:pt idx="858">
                  <c:v>45385</c:v>
                </c:pt>
                <c:pt idx="859">
                  <c:v>45386</c:v>
                </c:pt>
                <c:pt idx="860">
                  <c:v>45387</c:v>
                </c:pt>
                <c:pt idx="861">
                  <c:v>45390</c:v>
                </c:pt>
                <c:pt idx="862">
                  <c:v>45391</c:v>
                </c:pt>
                <c:pt idx="863">
                  <c:v>45392</c:v>
                </c:pt>
                <c:pt idx="864">
                  <c:v>45393</c:v>
                </c:pt>
                <c:pt idx="865">
                  <c:v>45394</c:v>
                </c:pt>
                <c:pt idx="866">
                  <c:v>45397</c:v>
                </c:pt>
                <c:pt idx="867">
                  <c:v>45398</c:v>
                </c:pt>
                <c:pt idx="868">
                  <c:v>45399</c:v>
                </c:pt>
                <c:pt idx="869">
                  <c:v>45400</c:v>
                </c:pt>
                <c:pt idx="870">
                  <c:v>45401</c:v>
                </c:pt>
                <c:pt idx="871">
                  <c:v>45404</c:v>
                </c:pt>
                <c:pt idx="872">
                  <c:v>45405</c:v>
                </c:pt>
                <c:pt idx="873">
                  <c:v>45406</c:v>
                </c:pt>
                <c:pt idx="874">
                  <c:v>45407</c:v>
                </c:pt>
                <c:pt idx="875">
                  <c:v>45408</c:v>
                </c:pt>
                <c:pt idx="876">
                  <c:v>45411</c:v>
                </c:pt>
                <c:pt idx="877">
                  <c:v>45412</c:v>
                </c:pt>
                <c:pt idx="878">
                  <c:v>45413</c:v>
                </c:pt>
                <c:pt idx="879">
                  <c:v>45414</c:v>
                </c:pt>
                <c:pt idx="880">
                  <c:v>45415</c:v>
                </c:pt>
                <c:pt idx="881">
                  <c:v>45418</c:v>
                </c:pt>
                <c:pt idx="882">
                  <c:v>45419</c:v>
                </c:pt>
                <c:pt idx="883">
                  <c:v>45420</c:v>
                </c:pt>
                <c:pt idx="884">
                  <c:v>45421</c:v>
                </c:pt>
                <c:pt idx="885">
                  <c:v>45422</c:v>
                </c:pt>
                <c:pt idx="886">
                  <c:v>45425</c:v>
                </c:pt>
                <c:pt idx="887">
                  <c:v>45426</c:v>
                </c:pt>
                <c:pt idx="888">
                  <c:v>45427</c:v>
                </c:pt>
                <c:pt idx="889">
                  <c:v>45428</c:v>
                </c:pt>
                <c:pt idx="890">
                  <c:v>45429</c:v>
                </c:pt>
                <c:pt idx="891">
                  <c:v>45432</c:v>
                </c:pt>
                <c:pt idx="892">
                  <c:v>45433</c:v>
                </c:pt>
                <c:pt idx="893">
                  <c:v>45434</c:v>
                </c:pt>
                <c:pt idx="894">
                  <c:v>45435</c:v>
                </c:pt>
                <c:pt idx="895">
                  <c:v>45436</c:v>
                </c:pt>
                <c:pt idx="896">
                  <c:v>45440</c:v>
                </c:pt>
                <c:pt idx="897">
                  <c:v>45441</c:v>
                </c:pt>
                <c:pt idx="898">
                  <c:v>45442</c:v>
                </c:pt>
                <c:pt idx="899">
                  <c:v>45443</c:v>
                </c:pt>
                <c:pt idx="900">
                  <c:v>45446</c:v>
                </c:pt>
                <c:pt idx="901">
                  <c:v>45447</c:v>
                </c:pt>
                <c:pt idx="902">
                  <c:v>45448</c:v>
                </c:pt>
                <c:pt idx="903">
                  <c:v>45449</c:v>
                </c:pt>
                <c:pt idx="904">
                  <c:v>45450</c:v>
                </c:pt>
                <c:pt idx="905">
                  <c:v>45453</c:v>
                </c:pt>
                <c:pt idx="906">
                  <c:v>45454</c:v>
                </c:pt>
                <c:pt idx="907">
                  <c:v>45455</c:v>
                </c:pt>
                <c:pt idx="908">
                  <c:v>45456</c:v>
                </c:pt>
                <c:pt idx="909">
                  <c:v>45457</c:v>
                </c:pt>
                <c:pt idx="910">
                  <c:v>45460</c:v>
                </c:pt>
                <c:pt idx="911">
                  <c:v>45461</c:v>
                </c:pt>
                <c:pt idx="912">
                  <c:v>45463</c:v>
                </c:pt>
                <c:pt idx="913">
                  <c:v>45464</c:v>
                </c:pt>
                <c:pt idx="914">
                  <c:v>45467</c:v>
                </c:pt>
                <c:pt idx="915">
                  <c:v>45468</c:v>
                </c:pt>
                <c:pt idx="916">
                  <c:v>45469</c:v>
                </c:pt>
                <c:pt idx="917">
                  <c:v>45470</c:v>
                </c:pt>
                <c:pt idx="918">
                  <c:v>45471</c:v>
                </c:pt>
                <c:pt idx="919">
                  <c:v>45474</c:v>
                </c:pt>
                <c:pt idx="920">
                  <c:v>45475</c:v>
                </c:pt>
                <c:pt idx="921">
                  <c:v>45476</c:v>
                </c:pt>
                <c:pt idx="922">
                  <c:v>45478</c:v>
                </c:pt>
                <c:pt idx="923">
                  <c:v>45481</c:v>
                </c:pt>
                <c:pt idx="924">
                  <c:v>45482</c:v>
                </c:pt>
                <c:pt idx="925">
                  <c:v>45483</c:v>
                </c:pt>
                <c:pt idx="926">
                  <c:v>45484</c:v>
                </c:pt>
                <c:pt idx="927">
                  <c:v>45485</c:v>
                </c:pt>
                <c:pt idx="928">
                  <c:v>45488</c:v>
                </c:pt>
                <c:pt idx="929">
                  <c:v>45489</c:v>
                </c:pt>
                <c:pt idx="930">
                  <c:v>45490</c:v>
                </c:pt>
                <c:pt idx="931">
                  <c:v>45491</c:v>
                </c:pt>
                <c:pt idx="932">
                  <c:v>45492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45502</c:v>
                </c:pt>
                <c:pt idx="939">
                  <c:v>45503</c:v>
                </c:pt>
                <c:pt idx="940">
                  <c:v>45504</c:v>
                </c:pt>
                <c:pt idx="941">
                  <c:v>45505</c:v>
                </c:pt>
                <c:pt idx="942">
                  <c:v>45506</c:v>
                </c:pt>
                <c:pt idx="943">
                  <c:v>45509</c:v>
                </c:pt>
                <c:pt idx="944">
                  <c:v>45510</c:v>
                </c:pt>
                <c:pt idx="945">
                  <c:v>45511</c:v>
                </c:pt>
                <c:pt idx="946">
                  <c:v>45512</c:v>
                </c:pt>
                <c:pt idx="947">
                  <c:v>45513</c:v>
                </c:pt>
                <c:pt idx="948">
                  <c:v>45516</c:v>
                </c:pt>
                <c:pt idx="949">
                  <c:v>45517</c:v>
                </c:pt>
                <c:pt idx="950">
                  <c:v>45518</c:v>
                </c:pt>
                <c:pt idx="951">
                  <c:v>45519</c:v>
                </c:pt>
                <c:pt idx="952">
                  <c:v>45520</c:v>
                </c:pt>
                <c:pt idx="953">
                  <c:v>45523</c:v>
                </c:pt>
                <c:pt idx="954">
                  <c:v>45524</c:v>
                </c:pt>
                <c:pt idx="955">
                  <c:v>45525</c:v>
                </c:pt>
                <c:pt idx="956">
                  <c:v>45526</c:v>
                </c:pt>
                <c:pt idx="957">
                  <c:v>45527</c:v>
                </c:pt>
                <c:pt idx="958">
                  <c:v>45530</c:v>
                </c:pt>
                <c:pt idx="959">
                  <c:v>45531</c:v>
                </c:pt>
                <c:pt idx="960">
                  <c:v>45532</c:v>
                </c:pt>
                <c:pt idx="961">
                  <c:v>45533</c:v>
                </c:pt>
                <c:pt idx="962">
                  <c:v>45534</c:v>
                </c:pt>
                <c:pt idx="963">
                  <c:v>45538</c:v>
                </c:pt>
                <c:pt idx="964">
                  <c:v>45539</c:v>
                </c:pt>
                <c:pt idx="965">
                  <c:v>45540</c:v>
                </c:pt>
                <c:pt idx="966">
                  <c:v>45541</c:v>
                </c:pt>
                <c:pt idx="967">
                  <c:v>45544</c:v>
                </c:pt>
                <c:pt idx="968">
                  <c:v>45545</c:v>
                </c:pt>
                <c:pt idx="969">
                  <c:v>45546</c:v>
                </c:pt>
                <c:pt idx="970">
                  <c:v>45547</c:v>
                </c:pt>
                <c:pt idx="971">
                  <c:v>45548</c:v>
                </c:pt>
                <c:pt idx="972">
                  <c:v>45551</c:v>
                </c:pt>
                <c:pt idx="973">
                  <c:v>45552</c:v>
                </c:pt>
                <c:pt idx="974">
                  <c:v>45553</c:v>
                </c:pt>
                <c:pt idx="975">
                  <c:v>45554</c:v>
                </c:pt>
                <c:pt idx="976">
                  <c:v>45555</c:v>
                </c:pt>
                <c:pt idx="977">
                  <c:v>45558</c:v>
                </c:pt>
                <c:pt idx="978">
                  <c:v>45559</c:v>
                </c:pt>
                <c:pt idx="979">
                  <c:v>45560</c:v>
                </c:pt>
                <c:pt idx="980">
                  <c:v>45561</c:v>
                </c:pt>
                <c:pt idx="981">
                  <c:v>45562</c:v>
                </c:pt>
                <c:pt idx="982">
                  <c:v>45565</c:v>
                </c:pt>
                <c:pt idx="983">
                  <c:v>45566</c:v>
                </c:pt>
                <c:pt idx="984">
                  <c:v>45567</c:v>
                </c:pt>
                <c:pt idx="985">
                  <c:v>45568</c:v>
                </c:pt>
                <c:pt idx="986">
                  <c:v>45569</c:v>
                </c:pt>
                <c:pt idx="987">
                  <c:v>45572</c:v>
                </c:pt>
                <c:pt idx="988">
                  <c:v>45573</c:v>
                </c:pt>
                <c:pt idx="989">
                  <c:v>45574</c:v>
                </c:pt>
                <c:pt idx="990">
                  <c:v>45575</c:v>
                </c:pt>
                <c:pt idx="991">
                  <c:v>45576</c:v>
                </c:pt>
                <c:pt idx="992">
                  <c:v>45579</c:v>
                </c:pt>
                <c:pt idx="993">
                  <c:v>45580</c:v>
                </c:pt>
                <c:pt idx="994">
                  <c:v>45581</c:v>
                </c:pt>
                <c:pt idx="995">
                  <c:v>45582</c:v>
                </c:pt>
                <c:pt idx="996">
                  <c:v>45583</c:v>
                </c:pt>
                <c:pt idx="997">
                  <c:v>45586</c:v>
                </c:pt>
                <c:pt idx="998">
                  <c:v>45587</c:v>
                </c:pt>
                <c:pt idx="999">
                  <c:v>45588</c:v>
                </c:pt>
                <c:pt idx="1000">
                  <c:v>45589</c:v>
                </c:pt>
                <c:pt idx="1001">
                  <c:v>45590</c:v>
                </c:pt>
                <c:pt idx="1002">
                  <c:v>45593</c:v>
                </c:pt>
                <c:pt idx="1003">
                  <c:v>45594</c:v>
                </c:pt>
                <c:pt idx="1004">
                  <c:v>45595</c:v>
                </c:pt>
                <c:pt idx="1005">
                  <c:v>45596</c:v>
                </c:pt>
                <c:pt idx="1006">
                  <c:v>45597</c:v>
                </c:pt>
                <c:pt idx="1007">
                  <c:v>45600</c:v>
                </c:pt>
                <c:pt idx="1008">
                  <c:v>45601</c:v>
                </c:pt>
                <c:pt idx="1009">
                  <c:v>45602</c:v>
                </c:pt>
                <c:pt idx="1010">
                  <c:v>45603</c:v>
                </c:pt>
                <c:pt idx="1011">
                  <c:v>45604</c:v>
                </c:pt>
                <c:pt idx="1012">
                  <c:v>45607</c:v>
                </c:pt>
                <c:pt idx="1013">
                  <c:v>45608</c:v>
                </c:pt>
                <c:pt idx="1014">
                  <c:v>45609</c:v>
                </c:pt>
                <c:pt idx="1015">
                  <c:v>45610</c:v>
                </c:pt>
                <c:pt idx="1016">
                  <c:v>45611</c:v>
                </c:pt>
                <c:pt idx="1017">
                  <c:v>45614</c:v>
                </c:pt>
                <c:pt idx="1018">
                  <c:v>45615</c:v>
                </c:pt>
                <c:pt idx="1019">
                  <c:v>45616</c:v>
                </c:pt>
                <c:pt idx="1020">
                  <c:v>45617</c:v>
                </c:pt>
                <c:pt idx="1021">
                  <c:v>45618</c:v>
                </c:pt>
                <c:pt idx="1022">
                  <c:v>45621</c:v>
                </c:pt>
                <c:pt idx="1023">
                  <c:v>45622</c:v>
                </c:pt>
                <c:pt idx="1024">
                  <c:v>45623</c:v>
                </c:pt>
                <c:pt idx="1025">
                  <c:v>45625</c:v>
                </c:pt>
                <c:pt idx="1026">
                  <c:v>45628</c:v>
                </c:pt>
                <c:pt idx="1027">
                  <c:v>45629</c:v>
                </c:pt>
                <c:pt idx="1028">
                  <c:v>45630</c:v>
                </c:pt>
                <c:pt idx="1029">
                  <c:v>45631</c:v>
                </c:pt>
                <c:pt idx="1030">
                  <c:v>45632</c:v>
                </c:pt>
                <c:pt idx="1031">
                  <c:v>45635</c:v>
                </c:pt>
                <c:pt idx="1032">
                  <c:v>45636</c:v>
                </c:pt>
                <c:pt idx="1033">
                  <c:v>45637</c:v>
                </c:pt>
                <c:pt idx="1034">
                  <c:v>45638</c:v>
                </c:pt>
                <c:pt idx="1035">
                  <c:v>45639</c:v>
                </c:pt>
                <c:pt idx="1036">
                  <c:v>45642</c:v>
                </c:pt>
                <c:pt idx="1037">
                  <c:v>45643</c:v>
                </c:pt>
                <c:pt idx="1038">
                  <c:v>45644</c:v>
                </c:pt>
                <c:pt idx="1039">
                  <c:v>45645</c:v>
                </c:pt>
                <c:pt idx="1040">
                  <c:v>45646</c:v>
                </c:pt>
                <c:pt idx="1041">
                  <c:v>45649</c:v>
                </c:pt>
                <c:pt idx="1042">
                  <c:v>45650</c:v>
                </c:pt>
                <c:pt idx="1043">
                  <c:v>45652</c:v>
                </c:pt>
                <c:pt idx="1044">
                  <c:v>45653</c:v>
                </c:pt>
                <c:pt idx="1045">
                  <c:v>45656</c:v>
                </c:pt>
                <c:pt idx="1046">
                  <c:v>45657</c:v>
                </c:pt>
                <c:pt idx="1047">
                  <c:v>45659</c:v>
                </c:pt>
                <c:pt idx="1048">
                  <c:v>45660</c:v>
                </c:pt>
                <c:pt idx="1049">
                  <c:v>45663</c:v>
                </c:pt>
                <c:pt idx="1050">
                  <c:v>45664</c:v>
                </c:pt>
                <c:pt idx="1051">
                  <c:v>45665</c:v>
                </c:pt>
                <c:pt idx="1052">
                  <c:v>45667</c:v>
                </c:pt>
                <c:pt idx="1053">
                  <c:v>45670</c:v>
                </c:pt>
                <c:pt idx="1054">
                  <c:v>45671</c:v>
                </c:pt>
                <c:pt idx="1055">
                  <c:v>45672</c:v>
                </c:pt>
                <c:pt idx="1056">
                  <c:v>45673</c:v>
                </c:pt>
                <c:pt idx="1057">
                  <c:v>45674</c:v>
                </c:pt>
                <c:pt idx="1058">
                  <c:v>45678</c:v>
                </c:pt>
                <c:pt idx="1059">
                  <c:v>45679</c:v>
                </c:pt>
                <c:pt idx="1060">
                  <c:v>45680</c:v>
                </c:pt>
                <c:pt idx="1061">
                  <c:v>45681</c:v>
                </c:pt>
                <c:pt idx="1062">
                  <c:v>45684</c:v>
                </c:pt>
                <c:pt idx="1063">
                  <c:v>45685</c:v>
                </c:pt>
                <c:pt idx="1064">
                  <c:v>45686</c:v>
                </c:pt>
                <c:pt idx="1065">
                  <c:v>45687</c:v>
                </c:pt>
                <c:pt idx="1066">
                  <c:v>45688</c:v>
                </c:pt>
                <c:pt idx="1067">
                  <c:v>45691</c:v>
                </c:pt>
                <c:pt idx="1068">
                  <c:v>45692</c:v>
                </c:pt>
                <c:pt idx="1069">
                  <c:v>45693</c:v>
                </c:pt>
                <c:pt idx="1070">
                  <c:v>45694</c:v>
                </c:pt>
                <c:pt idx="1071">
                  <c:v>45695</c:v>
                </c:pt>
                <c:pt idx="1072">
                  <c:v>45698</c:v>
                </c:pt>
                <c:pt idx="1073">
                  <c:v>45699</c:v>
                </c:pt>
                <c:pt idx="1074">
                  <c:v>45700</c:v>
                </c:pt>
                <c:pt idx="1075">
                  <c:v>45701</c:v>
                </c:pt>
                <c:pt idx="1076">
                  <c:v>45702</c:v>
                </c:pt>
                <c:pt idx="1077">
                  <c:v>45706</c:v>
                </c:pt>
                <c:pt idx="1078">
                  <c:v>45707</c:v>
                </c:pt>
                <c:pt idx="1079">
                  <c:v>45708</c:v>
                </c:pt>
                <c:pt idx="1080">
                  <c:v>45709</c:v>
                </c:pt>
                <c:pt idx="1081">
                  <c:v>45712</c:v>
                </c:pt>
                <c:pt idx="1082">
                  <c:v>45713</c:v>
                </c:pt>
                <c:pt idx="1083">
                  <c:v>45714</c:v>
                </c:pt>
                <c:pt idx="1084">
                  <c:v>45715</c:v>
                </c:pt>
                <c:pt idx="1085">
                  <c:v>45716</c:v>
                </c:pt>
                <c:pt idx="1086">
                  <c:v>45719</c:v>
                </c:pt>
                <c:pt idx="1087">
                  <c:v>45720</c:v>
                </c:pt>
                <c:pt idx="1088">
                  <c:v>45721</c:v>
                </c:pt>
                <c:pt idx="1089">
                  <c:v>45722</c:v>
                </c:pt>
                <c:pt idx="1090">
                  <c:v>45723</c:v>
                </c:pt>
                <c:pt idx="1091">
                  <c:v>45726</c:v>
                </c:pt>
                <c:pt idx="1092">
                  <c:v>45727</c:v>
                </c:pt>
                <c:pt idx="1093">
                  <c:v>45728</c:v>
                </c:pt>
                <c:pt idx="1094">
                  <c:v>45729</c:v>
                </c:pt>
                <c:pt idx="1095">
                  <c:v>45730</c:v>
                </c:pt>
                <c:pt idx="1096">
                  <c:v>45733</c:v>
                </c:pt>
                <c:pt idx="1097">
                  <c:v>45734</c:v>
                </c:pt>
                <c:pt idx="1098">
                  <c:v>45735</c:v>
                </c:pt>
                <c:pt idx="1099">
                  <c:v>45736</c:v>
                </c:pt>
                <c:pt idx="1100">
                  <c:v>45737</c:v>
                </c:pt>
                <c:pt idx="1101">
                  <c:v>45740</c:v>
                </c:pt>
                <c:pt idx="1102">
                  <c:v>45741</c:v>
                </c:pt>
                <c:pt idx="1103">
                  <c:v>45742</c:v>
                </c:pt>
                <c:pt idx="1104">
                  <c:v>45743</c:v>
                </c:pt>
                <c:pt idx="1105">
                  <c:v>45744</c:v>
                </c:pt>
                <c:pt idx="1106">
                  <c:v>45747</c:v>
                </c:pt>
                <c:pt idx="1107">
                  <c:v>45748</c:v>
                </c:pt>
                <c:pt idx="1108">
                  <c:v>45749</c:v>
                </c:pt>
                <c:pt idx="1109">
                  <c:v>45750</c:v>
                </c:pt>
                <c:pt idx="1110">
                  <c:v>45751</c:v>
                </c:pt>
                <c:pt idx="1111">
                  <c:v>45754</c:v>
                </c:pt>
                <c:pt idx="1112">
                  <c:v>45755</c:v>
                </c:pt>
                <c:pt idx="1113">
                  <c:v>45756</c:v>
                </c:pt>
                <c:pt idx="1114">
                  <c:v>45757</c:v>
                </c:pt>
                <c:pt idx="1115">
                  <c:v>45758</c:v>
                </c:pt>
                <c:pt idx="1116">
                  <c:v>45761</c:v>
                </c:pt>
                <c:pt idx="1117">
                  <c:v>45762</c:v>
                </c:pt>
                <c:pt idx="1118">
                  <c:v>45763</c:v>
                </c:pt>
                <c:pt idx="1119">
                  <c:v>45764</c:v>
                </c:pt>
                <c:pt idx="1120">
                  <c:v>45768</c:v>
                </c:pt>
                <c:pt idx="1121">
                  <c:v>45769</c:v>
                </c:pt>
                <c:pt idx="1122">
                  <c:v>45770</c:v>
                </c:pt>
                <c:pt idx="1123">
                  <c:v>45771</c:v>
                </c:pt>
                <c:pt idx="1124">
                  <c:v>45772</c:v>
                </c:pt>
                <c:pt idx="1125">
                  <c:v>45775</c:v>
                </c:pt>
                <c:pt idx="1126">
                  <c:v>45776</c:v>
                </c:pt>
                <c:pt idx="1127">
                  <c:v>45777</c:v>
                </c:pt>
                <c:pt idx="1128">
                  <c:v>45778</c:v>
                </c:pt>
                <c:pt idx="1129">
                  <c:v>45779</c:v>
                </c:pt>
                <c:pt idx="1130">
                  <c:v>45782</c:v>
                </c:pt>
                <c:pt idx="1131">
                  <c:v>45783</c:v>
                </c:pt>
                <c:pt idx="1132">
                  <c:v>45784</c:v>
                </c:pt>
                <c:pt idx="1133">
                  <c:v>45785</c:v>
                </c:pt>
                <c:pt idx="1134">
                  <c:v>45786</c:v>
                </c:pt>
                <c:pt idx="1135">
                  <c:v>45789</c:v>
                </c:pt>
                <c:pt idx="1136">
                  <c:v>45790</c:v>
                </c:pt>
                <c:pt idx="1137">
                  <c:v>45791</c:v>
                </c:pt>
                <c:pt idx="1138">
                  <c:v>45792</c:v>
                </c:pt>
                <c:pt idx="1139">
                  <c:v>45793</c:v>
                </c:pt>
                <c:pt idx="1140">
                  <c:v>45796</c:v>
                </c:pt>
                <c:pt idx="1141">
                  <c:v>45797</c:v>
                </c:pt>
                <c:pt idx="1142">
                  <c:v>45798</c:v>
                </c:pt>
                <c:pt idx="1143">
                  <c:v>45799</c:v>
                </c:pt>
                <c:pt idx="1144">
                  <c:v>45800</c:v>
                </c:pt>
                <c:pt idx="1145">
                  <c:v>45804</c:v>
                </c:pt>
                <c:pt idx="1146">
                  <c:v>45805</c:v>
                </c:pt>
                <c:pt idx="1147">
                  <c:v>45806</c:v>
                </c:pt>
                <c:pt idx="1148">
                  <c:v>45807</c:v>
                </c:pt>
                <c:pt idx="1149">
                  <c:v>45810</c:v>
                </c:pt>
                <c:pt idx="1150">
                  <c:v>45811</c:v>
                </c:pt>
                <c:pt idx="1151">
                  <c:v>45812</c:v>
                </c:pt>
                <c:pt idx="1152">
                  <c:v>45813</c:v>
                </c:pt>
                <c:pt idx="1153">
                  <c:v>45814</c:v>
                </c:pt>
                <c:pt idx="1154">
                  <c:v>45817</c:v>
                </c:pt>
                <c:pt idx="1155">
                  <c:v>45818</c:v>
                </c:pt>
                <c:pt idx="1156">
                  <c:v>45819</c:v>
                </c:pt>
                <c:pt idx="1157">
                  <c:v>45820</c:v>
                </c:pt>
                <c:pt idx="1158">
                  <c:v>45821</c:v>
                </c:pt>
                <c:pt idx="1159">
                  <c:v>45824</c:v>
                </c:pt>
                <c:pt idx="1160">
                  <c:v>45825</c:v>
                </c:pt>
                <c:pt idx="1161">
                  <c:v>45826</c:v>
                </c:pt>
                <c:pt idx="1162">
                  <c:v>45828</c:v>
                </c:pt>
                <c:pt idx="1163">
                  <c:v>45831</c:v>
                </c:pt>
                <c:pt idx="1164">
                  <c:v>45832</c:v>
                </c:pt>
                <c:pt idx="1165">
                  <c:v>45833</c:v>
                </c:pt>
                <c:pt idx="1166">
                  <c:v>45834</c:v>
                </c:pt>
                <c:pt idx="1167">
                  <c:v>45835</c:v>
                </c:pt>
                <c:pt idx="1168">
                  <c:v>45838</c:v>
                </c:pt>
                <c:pt idx="1169">
                  <c:v>45839</c:v>
                </c:pt>
                <c:pt idx="1170">
                  <c:v>45840</c:v>
                </c:pt>
                <c:pt idx="1171">
                  <c:v>45841</c:v>
                </c:pt>
                <c:pt idx="1172">
                  <c:v>45845</c:v>
                </c:pt>
                <c:pt idx="1173">
                  <c:v>45846</c:v>
                </c:pt>
                <c:pt idx="1174">
                  <c:v>45847</c:v>
                </c:pt>
                <c:pt idx="1175">
                  <c:v>45848</c:v>
                </c:pt>
                <c:pt idx="1176">
                  <c:v>45849</c:v>
                </c:pt>
                <c:pt idx="1177">
                  <c:v>45852</c:v>
                </c:pt>
                <c:pt idx="1178">
                  <c:v>45853</c:v>
                </c:pt>
                <c:pt idx="1179">
                  <c:v>45854</c:v>
                </c:pt>
                <c:pt idx="1180">
                  <c:v>45855</c:v>
                </c:pt>
                <c:pt idx="1181">
                  <c:v>45856</c:v>
                </c:pt>
                <c:pt idx="1182">
                  <c:v>45859</c:v>
                </c:pt>
                <c:pt idx="1183">
                  <c:v>45860</c:v>
                </c:pt>
                <c:pt idx="1184">
                  <c:v>45861</c:v>
                </c:pt>
                <c:pt idx="1185">
                  <c:v>45862</c:v>
                </c:pt>
                <c:pt idx="1186">
                  <c:v>45863</c:v>
                </c:pt>
                <c:pt idx="1187">
                  <c:v>45866</c:v>
                </c:pt>
                <c:pt idx="1188">
                  <c:v>45867</c:v>
                </c:pt>
                <c:pt idx="1189">
                  <c:v>45868</c:v>
                </c:pt>
                <c:pt idx="1190">
                  <c:v>45869</c:v>
                </c:pt>
                <c:pt idx="1191">
                  <c:v>45870</c:v>
                </c:pt>
                <c:pt idx="1192">
                  <c:v>45873</c:v>
                </c:pt>
                <c:pt idx="1193">
                  <c:v>45874</c:v>
                </c:pt>
                <c:pt idx="1194">
                  <c:v>45875</c:v>
                </c:pt>
                <c:pt idx="1195">
                  <c:v>45876</c:v>
                </c:pt>
                <c:pt idx="1196">
                  <c:v>45877</c:v>
                </c:pt>
                <c:pt idx="1197">
                  <c:v>45880</c:v>
                </c:pt>
                <c:pt idx="1198">
                  <c:v>45881</c:v>
                </c:pt>
                <c:pt idx="1199">
                  <c:v>45882</c:v>
                </c:pt>
                <c:pt idx="1200">
                  <c:v>45883</c:v>
                </c:pt>
                <c:pt idx="1201">
                  <c:v>45884</c:v>
                </c:pt>
                <c:pt idx="1202">
                  <c:v>45887</c:v>
                </c:pt>
                <c:pt idx="1203">
                  <c:v>45888</c:v>
                </c:pt>
                <c:pt idx="1204">
                  <c:v>45889</c:v>
                </c:pt>
                <c:pt idx="1205">
                  <c:v>45890</c:v>
                </c:pt>
                <c:pt idx="1206">
                  <c:v>45891</c:v>
                </c:pt>
                <c:pt idx="1207">
                  <c:v>45894</c:v>
                </c:pt>
                <c:pt idx="1208">
                  <c:v>45895</c:v>
                </c:pt>
                <c:pt idx="1209">
                  <c:v>45896</c:v>
                </c:pt>
                <c:pt idx="1210">
                  <c:v>45897</c:v>
                </c:pt>
                <c:pt idx="1211">
                  <c:v>45898</c:v>
                </c:pt>
                <c:pt idx="1212">
                  <c:v>45902</c:v>
                </c:pt>
                <c:pt idx="1213">
                  <c:v>45903</c:v>
                </c:pt>
                <c:pt idx="1214">
                  <c:v>45904</c:v>
                </c:pt>
                <c:pt idx="1215">
                  <c:v>45905</c:v>
                </c:pt>
                <c:pt idx="1216">
                  <c:v>45908</c:v>
                </c:pt>
                <c:pt idx="1217">
                  <c:v>45909</c:v>
                </c:pt>
                <c:pt idx="1218">
                  <c:v>45910</c:v>
                </c:pt>
                <c:pt idx="1219">
                  <c:v>45911</c:v>
                </c:pt>
                <c:pt idx="1220">
                  <c:v>45912</c:v>
                </c:pt>
                <c:pt idx="1221">
                  <c:v>45915</c:v>
                </c:pt>
                <c:pt idx="1222">
                  <c:v>45916</c:v>
                </c:pt>
                <c:pt idx="1223">
                  <c:v>45917</c:v>
                </c:pt>
                <c:pt idx="1224">
                  <c:v>45918</c:v>
                </c:pt>
                <c:pt idx="1225">
                  <c:v>45919</c:v>
                </c:pt>
                <c:pt idx="1226">
                  <c:v>45922</c:v>
                </c:pt>
                <c:pt idx="1227">
                  <c:v>45923</c:v>
                </c:pt>
                <c:pt idx="1228">
                  <c:v>45924</c:v>
                </c:pt>
                <c:pt idx="1229">
                  <c:v>45925</c:v>
                </c:pt>
                <c:pt idx="1230">
                  <c:v>45926</c:v>
                </c:pt>
                <c:pt idx="1231">
                  <c:v>45929</c:v>
                </c:pt>
                <c:pt idx="1232">
                  <c:v>45930</c:v>
                </c:pt>
                <c:pt idx="1233">
                  <c:v>45931</c:v>
                </c:pt>
                <c:pt idx="1234">
                  <c:v>45932</c:v>
                </c:pt>
                <c:pt idx="1235">
                  <c:v>45933</c:v>
                </c:pt>
                <c:pt idx="1236">
                  <c:v>45936</c:v>
                </c:pt>
                <c:pt idx="1237">
                  <c:v>45937</c:v>
                </c:pt>
                <c:pt idx="1238">
                  <c:v>45938</c:v>
                </c:pt>
                <c:pt idx="1239">
                  <c:v>45939</c:v>
                </c:pt>
                <c:pt idx="1240">
                  <c:v>45940</c:v>
                </c:pt>
                <c:pt idx="1241">
                  <c:v>45943</c:v>
                </c:pt>
                <c:pt idx="1242">
                  <c:v>45944</c:v>
                </c:pt>
                <c:pt idx="1243">
                  <c:v>45945</c:v>
                </c:pt>
                <c:pt idx="1244">
                  <c:v>45946</c:v>
                </c:pt>
                <c:pt idx="1245">
                  <c:v>45947</c:v>
                </c:pt>
                <c:pt idx="1246">
                  <c:v>45950</c:v>
                </c:pt>
                <c:pt idx="1247">
                  <c:v>45951</c:v>
                </c:pt>
                <c:pt idx="1248">
                  <c:v>45952</c:v>
                </c:pt>
                <c:pt idx="1249">
                  <c:v>45953</c:v>
                </c:pt>
                <c:pt idx="1250">
                  <c:v>45954</c:v>
                </c:pt>
                <c:pt idx="1251">
                  <c:v>45957</c:v>
                </c:pt>
                <c:pt idx="1252">
                  <c:v>45958</c:v>
                </c:pt>
                <c:pt idx="1253">
                  <c:v>45959</c:v>
                </c:pt>
                <c:pt idx="1254">
                  <c:v>45960</c:v>
                </c:pt>
                <c:pt idx="1255">
                  <c:v>45961</c:v>
                </c:pt>
              </c:numCache>
            </c:numRef>
          </c:cat>
          <c:val>
            <c:numRef>
              <c:f>'Data Analysis Addin'!$D$3:$D$1258</c:f>
              <c:numCache>
                <c:formatCode>General</c:formatCode>
                <c:ptCount val="125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 formatCode="_-[$$-409]* #,##0.00_ ;_-[$$-409]* \-#,##0.00\ ;_-[$$-409]* &quot;-&quot;??_ ;_-@_ ">
                  <c:v>399.56554999999986</c:v>
                </c:pt>
                <c:pt idx="200" formatCode="_-[$$-409]* #,##0.00_ ;_-[$$-409]* \-#,##0.00\ ;_-[$$-409]* &quot;-&quot;??_ ;_-@_ ">
                  <c:v>400.1138499999999</c:v>
                </c:pt>
                <c:pt idx="201" formatCode="_-[$$-409]* #,##0.00_ ;_-[$$-409]* \-#,##0.00\ ;_-[$$-409]* &quot;-&quot;??_ ;_-@_ ">
                  <c:v>400.65049999999991</c:v>
                </c:pt>
                <c:pt idx="202" formatCode="_-[$$-409]* #,##0.00_ ;_-[$$-409]* \-#,##0.00\ ;_-[$$-409]* &quot;-&quot;??_ ;_-@_ ">
                  <c:v>401.1690999999999</c:v>
                </c:pt>
                <c:pt idx="203" formatCode="_-[$$-409]* #,##0.00_ ;_-[$$-409]* \-#,##0.00\ ;_-[$$-409]* &quot;-&quot;??_ ;_-@_ ">
                  <c:v>401.65774999999985</c:v>
                </c:pt>
                <c:pt idx="204" formatCode="_-[$$-409]* #,##0.00_ ;_-[$$-409]* \-#,##0.00\ ;_-[$$-409]* &quot;-&quot;??_ ;_-@_ ">
                  <c:v>402.15149999999977</c:v>
                </c:pt>
                <c:pt idx="205" formatCode="_-[$$-409]* #,##0.00_ ;_-[$$-409]* \-#,##0.00\ ;_-[$$-409]* &quot;-&quot;??_ ;_-@_ ">
                  <c:v>402.60999999999979</c:v>
                </c:pt>
                <c:pt idx="206" formatCode="_-[$$-409]* #,##0.00_ ;_-[$$-409]* \-#,##0.00\ ;_-[$$-409]* &quot;-&quot;??_ ;_-@_ ">
                  <c:v>403.09104999999977</c:v>
                </c:pt>
                <c:pt idx="207" formatCode="_-[$$-409]* #,##0.00_ ;_-[$$-409]* \-#,##0.00\ ;_-[$$-409]* &quot;-&quot;??_ ;_-@_ ">
                  <c:v>403.56884999999971</c:v>
                </c:pt>
                <c:pt idx="208" formatCode="_-[$$-409]* #,##0.00_ ;_-[$$-409]* \-#,##0.00\ ;_-[$$-409]* &quot;-&quot;??_ ;_-@_ ">
                  <c:v>404.06059999999968</c:v>
                </c:pt>
                <c:pt idx="209" formatCode="_-[$$-409]* #,##0.00_ ;_-[$$-409]* \-#,##0.00\ ;_-[$$-409]* &quot;-&quot;??_ ;_-@_ ">
                  <c:v>404.52909999999974</c:v>
                </c:pt>
                <c:pt idx="210" formatCode="_-[$$-409]* #,##0.00_ ;_-[$$-409]* \-#,##0.00\ ;_-[$$-409]* &quot;-&quot;??_ ;_-@_ ">
                  <c:v>404.98219999999969</c:v>
                </c:pt>
                <c:pt idx="211" formatCode="_-[$$-409]* #,##0.00_ ;_-[$$-409]* \-#,##0.00\ ;_-[$$-409]* &quot;-&quot;??_ ;_-@_ ">
                  <c:v>405.44449999999978</c:v>
                </c:pt>
                <c:pt idx="212" formatCode="_-[$$-409]* #,##0.00_ ;_-[$$-409]* \-#,##0.00\ ;_-[$$-409]* &quot;-&quot;??_ ;_-@_ ">
                  <c:v>405.92039999999974</c:v>
                </c:pt>
                <c:pt idx="213" formatCode="_-[$$-409]* #,##0.00_ ;_-[$$-409]* \-#,##0.00\ ;_-[$$-409]* &quot;-&quot;??_ ;_-@_ ">
                  <c:v>406.38604999999984</c:v>
                </c:pt>
                <c:pt idx="214" formatCode="_-[$$-409]* #,##0.00_ ;_-[$$-409]* \-#,##0.00\ ;_-[$$-409]* &quot;-&quot;??_ ;_-@_ ">
                  <c:v>406.85429999999974</c:v>
                </c:pt>
                <c:pt idx="215" formatCode="_-[$$-409]* #,##0.00_ ;_-[$$-409]* \-#,##0.00\ ;_-[$$-409]* &quot;-&quot;??_ ;_-@_ ">
                  <c:v>407.29419999999971</c:v>
                </c:pt>
                <c:pt idx="216" formatCode="_-[$$-409]* #,##0.00_ ;_-[$$-409]* \-#,##0.00\ ;_-[$$-409]* &quot;-&quot;??_ ;_-@_ ">
                  <c:v>407.71099999999967</c:v>
                </c:pt>
                <c:pt idx="217" formatCode="_-[$$-409]* #,##0.00_ ;_-[$$-409]* \-#,##0.00\ ;_-[$$-409]* &quot;-&quot;??_ ;_-@_ ">
                  <c:v>408.11854999999969</c:v>
                </c:pt>
                <c:pt idx="218" formatCode="_-[$$-409]* #,##0.00_ ;_-[$$-409]* \-#,##0.00\ ;_-[$$-409]* &quot;-&quot;??_ ;_-@_ ">
                  <c:v>408.53959999999972</c:v>
                </c:pt>
                <c:pt idx="219" formatCode="_-[$$-409]* #,##0.00_ ;_-[$$-409]* \-#,##0.00\ ;_-[$$-409]* &quot;-&quot;??_ ;_-@_ ">
                  <c:v>408.96514999999971</c:v>
                </c:pt>
                <c:pt idx="220" formatCode="_-[$$-409]* #,##0.00_ ;_-[$$-409]* \-#,##0.00\ ;_-[$$-409]* &quot;-&quot;??_ ;_-@_ ">
                  <c:v>409.34204999999963</c:v>
                </c:pt>
                <c:pt idx="221" formatCode="_-[$$-409]* #,##0.00_ ;_-[$$-409]* \-#,##0.00\ ;_-[$$-409]* &quot;-&quot;??_ ;_-@_ ">
                  <c:v>409.67829999999975</c:v>
                </c:pt>
                <c:pt idx="222" formatCode="_-[$$-409]* #,##0.00_ ;_-[$$-409]* \-#,##0.00\ ;_-[$$-409]* &quot;-&quot;??_ ;_-@_ ">
                  <c:v>410.01299999999981</c:v>
                </c:pt>
                <c:pt idx="223" formatCode="_-[$$-409]* #,##0.00_ ;_-[$$-409]* \-#,##0.00\ ;_-[$$-409]* &quot;-&quot;??_ ;_-@_ ">
                  <c:v>410.35304999999977</c:v>
                </c:pt>
                <c:pt idx="224" formatCode="_-[$$-409]* #,##0.00_ ;_-[$$-409]* \-#,##0.00\ ;_-[$$-409]* &quot;-&quot;??_ ;_-@_ ">
                  <c:v>410.72349999999977</c:v>
                </c:pt>
                <c:pt idx="225" formatCode="_-[$$-409]* #,##0.00_ ;_-[$$-409]* \-#,##0.00\ ;_-[$$-409]* &quot;-&quot;??_ ;_-@_ ">
                  <c:v>411.09219999999982</c:v>
                </c:pt>
                <c:pt idx="226" formatCode="_-[$$-409]* #,##0.00_ ;_-[$$-409]* \-#,##0.00\ ;_-[$$-409]* &quot;-&quot;??_ ;_-@_ ">
                  <c:v>411.47114999999985</c:v>
                </c:pt>
                <c:pt idx="227" formatCode="_-[$$-409]* #,##0.00_ ;_-[$$-409]* \-#,##0.00\ ;_-[$$-409]* &quot;-&quot;??_ ;_-@_ ">
                  <c:v>411.80609999999984</c:v>
                </c:pt>
                <c:pt idx="228" formatCode="_-[$$-409]* #,##0.00_ ;_-[$$-409]* \-#,##0.00\ ;_-[$$-409]* &quot;-&quot;??_ ;_-@_ ">
                  <c:v>412.14684999999992</c:v>
                </c:pt>
                <c:pt idx="229" formatCode="_-[$$-409]* #,##0.00_ ;_-[$$-409]* \-#,##0.00\ ;_-[$$-409]* &quot;-&quot;??_ ;_-@_ ">
                  <c:v>412.46924999999987</c:v>
                </c:pt>
                <c:pt idx="230" formatCode="_-[$$-409]* #,##0.00_ ;_-[$$-409]* \-#,##0.00\ ;_-[$$-409]* &quot;-&quot;??_ ;_-@_ ">
                  <c:v>412.79249999999985</c:v>
                </c:pt>
                <c:pt idx="231" formatCode="_-[$$-409]* #,##0.00_ ;_-[$$-409]* \-#,##0.00\ ;_-[$$-409]* &quot;-&quot;??_ ;_-@_ ">
                  <c:v>413.08484999999985</c:v>
                </c:pt>
                <c:pt idx="232" formatCode="_-[$$-409]* #,##0.00_ ;_-[$$-409]* \-#,##0.00\ ;_-[$$-409]* &quot;-&quot;??_ ;_-@_ ">
                  <c:v>413.38914999999992</c:v>
                </c:pt>
                <c:pt idx="233" formatCode="_-[$$-409]* #,##0.00_ ;_-[$$-409]* \-#,##0.00\ ;_-[$$-409]* &quot;-&quot;??_ ;_-@_ ">
                  <c:v>413.71774999999985</c:v>
                </c:pt>
                <c:pt idx="234" formatCode="_-[$$-409]* #,##0.00_ ;_-[$$-409]* \-#,##0.00\ ;_-[$$-409]* &quot;-&quot;??_ ;_-@_ ">
                  <c:v>414.07174999999995</c:v>
                </c:pt>
                <c:pt idx="235" formatCode="_-[$$-409]* #,##0.00_ ;_-[$$-409]* \-#,##0.00\ ;_-[$$-409]* &quot;-&quot;??_ ;_-@_ ">
                  <c:v>414.42484999999994</c:v>
                </c:pt>
                <c:pt idx="236" formatCode="_-[$$-409]* #,##0.00_ ;_-[$$-409]* \-#,##0.00\ ;_-[$$-409]* &quot;-&quot;??_ ;_-@_ ">
                  <c:v>414.76044999999993</c:v>
                </c:pt>
                <c:pt idx="237" formatCode="_-[$$-409]* #,##0.00_ ;_-[$$-409]* \-#,##0.00\ ;_-[$$-409]* &quot;-&quot;??_ ;_-@_ ">
                  <c:v>415.08354999999995</c:v>
                </c:pt>
                <c:pt idx="238" formatCode="_-[$$-409]* #,##0.00_ ;_-[$$-409]* \-#,##0.00\ ;_-[$$-409]* &quot;-&quot;??_ ;_-@_ ">
                  <c:v>415.39859999999993</c:v>
                </c:pt>
                <c:pt idx="239" formatCode="_-[$$-409]* #,##0.00_ ;_-[$$-409]* \-#,##0.00\ ;_-[$$-409]* &quot;-&quot;??_ ;_-@_ ">
                  <c:v>415.75379999999996</c:v>
                </c:pt>
                <c:pt idx="240" formatCode="_-[$$-409]* #,##0.00_ ;_-[$$-409]* \-#,##0.00\ ;_-[$$-409]* &quot;-&quot;??_ ;_-@_ ">
                  <c:v>416.12319999999994</c:v>
                </c:pt>
                <c:pt idx="241" formatCode="_-[$$-409]* #,##0.00_ ;_-[$$-409]* \-#,##0.00\ ;_-[$$-409]* &quot;-&quot;??_ ;_-@_ ">
                  <c:v>416.4897499999999</c:v>
                </c:pt>
                <c:pt idx="242" formatCode="_-[$$-409]* #,##0.00_ ;_-[$$-409]* \-#,##0.00\ ;_-[$$-409]* &quot;-&quot;??_ ;_-@_ ">
                  <c:v>416.89899999999994</c:v>
                </c:pt>
                <c:pt idx="243" formatCode="_-[$$-409]* #,##0.00_ ;_-[$$-409]* \-#,##0.00\ ;_-[$$-409]* &quot;-&quot;??_ ;_-@_ ">
                  <c:v>417.30439999999993</c:v>
                </c:pt>
                <c:pt idx="244" formatCode="_-[$$-409]* #,##0.00_ ;_-[$$-409]* \-#,##0.00\ ;_-[$$-409]* &quot;-&quot;??_ ;_-@_ ">
                  <c:v>417.70459999999991</c:v>
                </c:pt>
                <c:pt idx="245" formatCode="_-[$$-409]* #,##0.00_ ;_-[$$-409]* \-#,##0.00\ ;_-[$$-409]* &quot;-&quot;??_ ;_-@_ ">
                  <c:v>418.07469999999995</c:v>
                </c:pt>
                <c:pt idx="246" formatCode="_-[$$-409]* #,##0.00_ ;_-[$$-409]* \-#,##0.00\ ;_-[$$-409]* &quot;-&quot;??_ ;_-@_ ">
                  <c:v>418.44614999999999</c:v>
                </c:pt>
                <c:pt idx="247" formatCode="_-[$$-409]* #,##0.00_ ;_-[$$-409]* \-#,##0.00\ ;_-[$$-409]* &quot;-&quot;??_ ;_-@_ ">
                  <c:v>418.83249999999998</c:v>
                </c:pt>
                <c:pt idx="248" formatCode="_-[$$-409]* #,##0.00_ ;_-[$$-409]* \-#,##0.00\ ;_-[$$-409]* &quot;-&quot;??_ ;_-@_ ">
                  <c:v>419.20835</c:v>
                </c:pt>
                <c:pt idx="249" formatCode="_-[$$-409]* #,##0.00_ ;_-[$$-409]* \-#,##0.00\ ;_-[$$-409]* &quot;-&quot;??_ ;_-@_ ">
                  <c:v>419.60100000000011</c:v>
                </c:pt>
                <c:pt idx="250" formatCode="_-[$$-409]* #,##0.00_ ;_-[$$-409]* \-#,##0.00\ ;_-[$$-409]* &quot;-&quot;??_ ;_-@_ ">
                  <c:v>420.00495000000001</c:v>
                </c:pt>
                <c:pt idx="251" formatCode="_-[$$-409]* #,##0.00_ ;_-[$$-409]* \-#,##0.00\ ;_-[$$-409]* &quot;-&quot;??_ ;_-@_ ">
                  <c:v>420.42665000000011</c:v>
                </c:pt>
                <c:pt idx="252" formatCode="_-[$$-409]* #,##0.00_ ;_-[$$-409]* \-#,##0.00\ ;_-[$$-409]* &quot;-&quot;??_ ;_-@_ ">
                  <c:v>420.84289999999999</c:v>
                </c:pt>
                <c:pt idx="253" formatCode="_-[$$-409]* #,##0.00_ ;_-[$$-409]* \-#,##0.00\ ;_-[$$-409]* &quot;-&quot;??_ ;_-@_ ">
                  <c:v>421.24705</c:v>
                </c:pt>
                <c:pt idx="254" formatCode="_-[$$-409]* #,##0.00_ ;_-[$$-409]* \-#,##0.00\ ;_-[$$-409]* &quot;-&quot;??_ ;_-@_ ">
                  <c:v>421.66039999999998</c:v>
                </c:pt>
                <c:pt idx="255" formatCode="_-[$$-409]* #,##0.00_ ;_-[$$-409]* \-#,##0.00\ ;_-[$$-409]* &quot;-&quot;??_ ;_-@_ ">
                  <c:v>422.08864999999997</c:v>
                </c:pt>
                <c:pt idx="256" formatCode="_-[$$-409]* #,##0.00_ ;_-[$$-409]* \-#,##0.00\ ;_-[$$-409]* &quot;-&quot;??_ ;_-@_ ">
                  <c:v>422.51134999999994</c:v>
                </c:pt>
                <c:pt idx="257" formatCode="_-[$$-409]* #,##0.00_ ;_-[$$-409]* \-#,##0.00\ ;_-[$$-409]* &quot;-&quot;??_ ;_-@_ ">
                  <c:v>422.92930000000001</c:v>
                </c:pt>
                <c:pt idx="258" formatCode="_-[$$-409]* #,##0.00_ ;_-[$$-409]* \-#,##0.00\ ;_-[$$-409]* &quot;-&quot;??_ ;_-@_ ">
                  <c:v>423.37534999999997</c:v>
                </c:pt>
                <c:pt idx="259" formatCode="_-[$$-409]* #,##0.00_ ;_-[$$-409]* \-#,##0.00\ ;_-[$$-409]* &quot;-&quot;??_ ;_-@_ ">
                  <c:v>423.80605000000003</c:v>
                </c:pt>
                <c:pt idx="260" formatCode="_-[$$-409]* #,##0.00_ ;_-[$$-409]* \-#,##0.00\ ;_-[$$-409]* &quot;-&quot;??_ ;_-@_ ">
                  <c:v>424.29205000000002</c:v>
                </c:pt>
                <c:pt idx="261" formatCode="_-[$$-409]* #,##0.00_ ;_-[$$-409]* \-#,##0.00\ ;_-[$$-409]* &quot;-&quot;??_ ;_-@_ ">
                  <c:v>424.74804999999992</c:v>
                </c:pt>
                <c:pt idx="262" formatCode="_-[$$-409]* #,##0.00_ ;_-[$$-409]* \-#,##0.00\ ;_-[$$-409]* &quot;-&quot;??_ ;_-@_ ">
                  <c:v>425.18669999999997</c:v>
                </c:pt>
                <c:pt idx="263" formatCode="_-[$$-409]* #,##0.00_ ;_-[$$-409]* \-#,##0.00\ ;_-[$$-409]* &quot;-&quot;??_ ;_-@_ ">
                  <c:v>425.61814999999996</c:v>
                </c:pt>
                <c:pt idx="264" formatCode="_-[$$-409]* #,##0.00_ ;_-[$$-409]* \-#,##0.00\ ;_-[$$-409]* &quot;-&quot;??_ ;_-@_ ">
                  <c:v>426.03584999999998</c:v>
                </c:pt>
                <c:pt idx="265" formatCode="_-[$$-409]* #,##0.00_ ;_-[$$-409]* \-#,##0.00\ ;_-[$$-409]* &quot;-&quot;??_ ;_-@_ ">
                  <c:v>426.44175000000001</c:v>
                </c:pt>
                <c:pt idx="266" formatCode="_-[$$-409]* #,##0.00_ ;_-[$$-409]* \-#,##0.00\ ;_-[$$-409]* &quot;-&quot;??_ ;_-@_ ">
                  <c:v>426.82705000000004</c:v>
                </c:pt>
                <c:pt idx="267" formatCode="_-[$$-409]* #,##0.00_ ;_-[$$-409]* \-#,##0.00\ ;_-[$$-409]* &quot;-&quot;??_ ;_-@_ ">
                  <c:v>427.21675000000005</c:v>
                </c:pt>
                <c:pt idx="268" formatCode="_-[$$-409]* #,##0.00_ ;_-[$$-409]* \-#,##0.00\ ;_-[$$-409]* &quot;-&quot;??_ ;_-@_ ">
                  <c:v>427.61355000000003</c:v>
                </c:pt>
                <c:pt idx="269" formatCode="_-[$$-409]* #,##0.00_ ;_-[$$-409]* \-#,##0.00\ ;_-[$$-409]* &quot;-&quot;??_ ;_-@_ ">
                  <c:v>427.95485000000002</c:v>
                </c:pt>
                <c:pt idx="270" formatCode="_-[$$-409]* #,##0.00_ ;_-[$$-409]* \-#,##0.00\ ;_-[$$-409]* &quot;-&quot;??_ ;_-@_ ">
                  <c:v>428.31465000000009</c:v>
                </c:pt>
                <c:pt idx="271" formatCode="_-[$$-409]* #,##0.00_ ;_-[$$-409]* \-#,##0.00\ ;_-[$$-409]* &quot;-&quot;??_ ;_-@_ ">
                  <c:v>428.6309500000001</c:v>
                </c:pt>
                <c:pt idx="272" formatCode="_-[$$-409]* #,##0.00_ ;_-[$$-409]* \-#,##0.00\ ;_-[$$-409]* &quot;-&quot;??_ ;_-@_ ">
                  <c:v>428.92150000000015</c:v>
                </c:pt>
                <c:pt idx="273" formatCode="_-[$$-409]* #,##0.00_ ;_-[$$-409]* \-#,##0.00\ ;_-[$$-409]* &quot;-&quot;??_ ;_-@_ ">
                  <c:v>429.25490000000013</c:v>
                </c:pt>
                <c:pt idx="274" formatCode="_-[$$-409]* #,##0.00_ ;_-[$$-409]* \-#,##0.00\ ;_-[$$-409]* &quot;-&quot;??_ ;_-@_ ">
                  <c:v>429.57185000000004</c:v>
                </c:pt>
                <c:pt idx="275" formatCode="_-[$$-409]* #,##0.00_ ;_-[$$-409]* \-#,##0.00\ ;_-[$$-409]* &quot;-&quot;??_ ;_-@_ ">
                  <c:v>429.93065000000001</c:v>
                </c:pt>
                <c:pt idx="276" formatCode="_-[$$-409]* #,##0.00_ ;_-[$$-409]* \-#,##0.00\ ;_-[$$-409]* &quot;-&quot;??_ ;_-@_ ">
                  <c:v>430.33454999999992</c:v>
                </c:pt>
                <c:pt idx="277" formatCode="_-[$$-409]* #,##0.00_ ;_-[$$-409]* \-#,##0.00\ ;_-[$$-409]* &quot;-&quot;??_ ;_-@_ ">
                  <c:v>430.72329999999994</c:v>
                </c:pt>
                <c:pt idx="278" formatCode="_-[$$-409]* #,##0.00_ ;_-[$$-409]* \-#,##0.00\ ;_-[$$-409]* &quot;-&quot;??_ ;_-@_ ">
                  <c:v>431.14339999999999</c:v>
                </c:pt>
                <c:pt idx="279" formatCode="_-[$$-409]* #,##0.00_ ;_-[$$-409]* \-#,##0.00\ ;_-[$$-409]* &quot;-&quot;??_ ;_-@_ ">
                  <c:v>431.59530000000007</c:v>
                </c:pt>
                <c:pt idx="280" formatCode="_-[$$-409]* #,##0.00_ ;_-[$$-409]* \-#,##0.00\ ;_-[$$-409]* &quot;-&quot;??_ ;_-@_ ">
                  <c:v>431.98025000000007</c:v>
                </c:pt>
                <c:pt idx="281" formatCode="_-[$$-409]* #,##0.00_ ;_-[$$-409]* \-#,##0.00\ ;_-[$$-409]* &quot;-&quot;??_ ;_-@_ ">
                  <c:v>432.36435000000006</c:v>
                </c:pt>
                <c:pt idx="282" formatCode="_-[$$-409]* #,##0.00_ ;_-[$$-409]* \-#,##0.00\ ;_-[$$-409]* &quot;-&quot;??_ ;_-@_ ">
                  <c:v>432.81025000000011</c:v>
                </c:pt>
                <c:pt idx="283" formatCode="_-[$$-409]* #,##0.00_ ;_-[$$-409]* \-#,##0.00\ ;_-[$$-409]* &quot;-&quot;??_ ;_-@_ ">
                  <c:v>433.25900000000007</c:v>
                </c:pt>
                <c:pt idx="284" formatCode="_-[$$-409]* #,##0.00_ ;_-[$$-409]* \-#,##0.00\ ;_-[$$-409]* &quot;-&quot;??_ ;_-@_ ">
                  <c:v>433.64020000000011</c:v>
                </c:pt>
                <c:pt idx="285" formatCode="_-[$$-409]* #,##0.00_ ;_-[$$-409]* \-#,##0.00\ ;_-[$$-409]* &quot;-&quot;??_ ;_-@_ ">
                  <c:v>434.00650000000007</c:v>
                </c:pt>
                <c:pt idx="286" formatCode="_-[$$-409]* #,##0.00_ ;_-[$$-409]* \-#,##0.00\ ;_-[$$-409]* &quot;-&quot;??_ ;_-@_ ">
                  <c:v>434.38595000000015</c:v>
                </c:pt>
                <c:pt idx="287" formatCode="_-[$$-409]* #,##0.00_ ;_-[$$-409]* \-#,##0.00\ ;_-[$$-409]* &quot;-&quot;??_ ;_-@_ ">
                  <c:v>434.77650000000017</c:v>
                </c:pt>
                <c:pt idx="288" formatCode="_-[$$-409]* #,##0.00_ ;_-[$$-409]* \-#,##0.00\ ;_-[$$-409]* &quot;-&quot;??_ ;_-@_ ">
                  <c:v>435.16185000000019</c:v>
                </c:pt>
                <c:pt idx="289" formatCode="_-[$$-409]* #,##0.00_ ;_-[$$-409]* \-#,##0.00\ ;_-[$$-409]* &quot;-&quot;??_ ;_-@_ ">
                  <c:v>435.57785000000018</c:v>
                </c:pt>
                <c:pt idx="290" formatCode="_-[$$-409]* #,##0.00_ ;_-[$$-409]* \-#,##0.00\ ;_-[$$-409]* &quot;-&quot;??_ ;_-@_ ">
                  <c:v>435.98015000000021</c:v>
                </c:pt>
                <c:pt idx="291" formatCode="_-[$$-409]* #,##0.00_ ;_-[$$-409]* \-#,##0.00\ ;_-[$$-409]* &quot;-&quot;??_ ;_-@_ ">
                  <c:v>436.38800000000015</c:v>
                </c:pt>
                <c:pt idx="292" formatCode="_-[$$-409]* #,##0.00_ ;_-[$$-409]* \-#,##0.00\ ;_-[$$-409]* &quot;-&quot;??_ ;_-@_ ">
                  <c:v>436.7825000000002</c:v>
                </c:pt>
                <c:pt idx="293" formatCode="_-[$$-409]* #,##0.00_ ;_-[$$-409]* \-#,##0.00\ ;_-[$$-409]* &quot;-&quot;??_ ;_-@_ ">
                  <c:v>437.19990000000018</c:v>
                </c:pt>
                <c:pt idx="294" formatCode="_-[$$-409]* #,##0.00_ ;_-[$$-409]* \-#,##0.00\ ;_-[$$-409]* &quot;-&quot;??_ ;_-@_ ">
                  <c:v>437.64105000000023</c:v>
                </c:pt>
                <c:pt idx="295" formatCode="_-[$$-409]* #,##0.00_ ;_-[$$-409]* \-#,##0.00\ ;_-[$$-409]* &quot;-&quot;??_ ;_-@_ ">
                  <c:v>438.0658500000003</c:v>
                </c:pt>
                <c:pt idx="296" formatCode="_-[$$-409]* #,##0.00_ ;_-[$$-409]* \-#,##0.00\ ;_-[$$-409]* &quot;-&quot;??_ ;_-@_ ">
                  <c:v>438.46025000000031</c:v>
                </c:pt>
                <c:pt idx="297" formatCode="_-[$$-409]* #,##0.00_ ;_-[$$-409]* \-#,##0.00\ ;_-[$$-409]* &quot;-&quot;??_ ;_-@_ ">
                  <c:v>438.86235000000028</c:v>
                </c:pt>
                <c:pt idx="298" formatCode="_-[$$-409]* #,##0.00_ ;_-[$$-409]* \-#,##0.00\ ;_-[$$-409]* &quot;-&quot;??_ ;_-@_ ">
                  <c:v>439.24430000000035</c:v>
                </c:pt>
                <c:pt idx="299" formatCode="_-[$$-409]* #,##0.00_ ;_-[$$-409]* \-#,##0.00\ ;_-[$$-409]* &quot;-&quot;??_ ;_-@_ ">
                  <c:v>439.59195000000034</c:v>
                </c:pt>
                <c:pt idx="300" formatCode="_-[$$-409]* #,##0.00_ ;_-[$$-409]* \-#,##0.00\ ;_-[$$-409]* &quot;-&quot;??_ ;_-@_ ">
                  <c:v>439.96180000000038</c:v>
                </c:pt>
                <c:pt idx="301" formatCode="_-[$$-409]* #,##0.00_ ;_-[$$-409]* \-#,##0.00\ ;_-[$$-409]* &quot;-&quot;??_ ;_-@_ ">
                  <c:v>440.34325000000041</c:v>
                </c:pt>
                <c:pt idx="302" formatCode="_-[$$-409]* #,##0.00_ ;_-[$$-409]* \-#,##0.00\ ;_-[$$-409]* &quot;-&quot;??_ ;_-@_ ">
                  <c:v>440.68425000000042</c:v>
                </c:pt>
                <c:pt idx="303" formatCode="_-[$$-409]* #,##0.00_ ;_-[$$-409]* \-#,##0.00\ ;_-[$$-409]* &quot;-&quot;??_ ;_-@_ ">
                  <c:v>441.00480000000039</c:v>
                </c:pt>
                <c:pt idx="304" formatCode="_-[$$-409]* #,##0.00_ ;_-[$$-409]* \-#,##0.00\ ;_-[$$-409]* &quot;-&quot;??_ ;_-@_ ">
                  <c:v>441.25545000000039</c:v>
                </c:pt>
                <c:pt idx="305" formatCode="_-[$$-409]* #,##0.00_ ;_-[$$-409]* \-#,##0.00\ ;_-[$$-409]* &quot;-&quot;??_ ;_-@_ ">
                  <c:v>441.48360000000042</c:v>
                </c:pt>
                <c:pt idx="306" formatCode="_-[$$-409]* #,##0.00_ ;_-[$$-409]* \-#,##0.00\ ;_-[$$-409]* &quot;-&quot;??_ ;_-@_ ">
                  <c:v>441.68440000000038</c:v>
                </c:pt>
                <c:pt idx="307" formatCode="_-[$$-409]* #,##0.00_ ;_-[$$-409]* \-#,##0.00\ ;_-[$$-409]* &quot;-&quot;??_ ;_-@_ ">
                  <c:v>441.83170000000041</c:v>
                </c:pt>
                <c:pt idx="308" formatCode="_-[$$-409]* #,##0.00_ ;_-[$$-409]* \-#,##0.00\ ;_-[$$-409]* &quot;-&quot;??_ ;_-@_ ">
                  <c:v>441.97345000000035</c:v>
                </c:pt>
                <c:pt idx="309" formatCode="_-[$$-409]* #,##0.00_ ;_-[$$-409]* \-#,##0.00\ ;_-[$$-409]* &quot;-&quot;??_ ;_-@_ ">
                  <c:v>442.08760000000041</c:v>
                </c:pt>
                <c:pt idx="310" formatCode="_-[$$-409]* #,##0.00_ ;_-[$$-409]* \-#,##0.00\ ;_-[$$-409]* &quot;-&quot;??_ ;_-@_ ">
                  <c:v>442.1902000000004</c:v>
                </c:pt>
                <c:pt idx="311" formatCode="_-[$$-409]* #,##0.00_ ;_-[$$-409]* \-#,##0.00\ ;_-[$$-409]* &quot;-&quot;??_ ;_-@_ ">
                  <c:v>442.28915000000046</c:v>
                </c:pt>
                <c:pt idx="312" formatCode="_-[$$-409]* #,##0.00_ ;_-[$$-409]* \-#,##0.00\ ;_-[$$-409]* &quot;-&quot;??_ ;_-@_ ">
                  <c:v>442.41955000000036</c:v>
                </c:pt>
                <c:pt idx="313" formatCode="_-[$$-409]* #,##0.00_ ;_-[$$-409]* \-#,##0.00\ ;_-[$$-409]* &quot;-&quot;??_ ;_-@_ ">
                  <c:v>442.58280000000042</c:v>
                </c:pt>
                <c:pt idx="314" formatCode="_-[$$-409]* #,##0.00_ ;_-[$$-409]* \-#,##0.00\ ;_-[$$-409]* &quot;-&quot;??_ ;_-@_ ">
                  <c:v>442.77150000000046</c:v>
                </c:pt>
                <c:pt idx="315" formatCode="_-[$$-409]* #,##0.00_ ;_-[$$-409]* \-#,##0.00\ ;_-[$$-409]* &quot;-&quot;??_ ;_-@_ ">
                  <c:v>442.99740000000043</c:v>
                </c:pt>
                <c:pt idx="316" formatCode="_-[$$-409]* #,##0.00_ ;_-[$$-409]* \-#,##0.00\ ;_-[$$-409]* &quot;-&quot;??_ ;_-@_ ">
                  <c:v>443.15005000000048</c:v>
                </c:pt>
                <c:pt idx="317" formatCode="_-[$$-409]* #,##0.00_ ;_-[$$-409]* \-#,##0.00\ ;_-[$$-409]* &quot;-&quot;??_ ;_-@_ ">
                  <c:v>443.33220000000046</c:v>
                </c:pt>
                <c:pt idx="318" formatCode="_-[$$-409]* #,##0.00_ ;_-[$$-409]* \-#,##0.00\ ;_-[$$-409]* &quot;-&quot;??_ ;_-@_ ">
                  <c:v>443.4848000000004</c:v>
                </c:pt>
                <c:pt idx="319" formatCode="_-[$$-409]* #,##0.00_ ;_-[$$-409]* \-#,##0.00\ ;_-[$$-409]* &quot;-&quot;??_ ;_-@_ ">
                  <c:v>443.65145000000041</c:v>
                </c:pt>
                <c:pt idx="320" formatCode="_-[$$-409]* #,##0.00_ ;_-[$$-409]* \-#,##0.00\ ;_-[$$-409]* &quot;-&quot;??_ ;_-@_ ">
                  <c:v>443.85155000000037</c:v>
                </c:pt>
                <c:pt idx="321" formatCode="_-[$$-409]* #,##0.00_ ;_-[$$-409]* \-#,##0.00\ ;_-[$$-409]* &quot;-&quot;??_ ;_-@_ ">
                  <c:v>444.01115000000044</c:v>
                </c:pt>
                <c:pt idx="322" formatCode="_-[$$-409]* #,##0.00_ ;_-[$$-409]* \-#,##0.00\ ;_-[$$-409]* &quot;-&quot;??_ ;_-@_ ">
                  <c:v>444.11315000000036</c:v>
                </c:pt>
                <c:pt idx="323" formatCode="_-[$$-409]* #,##0.00_ ;_-[$$-409]* \-#,##0.00\ ;_-[$$-409]* &quot;-&quot;??_ ;_-@_ ">
                  <c:v>444.22175000000044</c:v>
                </c:pt>
                <c:pt idx="324" formatCode="_-[$$-409]* #,##0.00_ ;_-[$$-409]* \-#,##0.00\ ;_-[$$-409]* &quot;-&quot;??_ ;_-@_ ">
                  <c:v>444.3612500000005</c:v>
                </c:pt>
                <c:pt idx="325" formatCode="_-[$$-409]* #,##0.00_ ;_-[$$-409]* \-#,##0.00\ ;_-[$$-409]* &quot;-&quot;??_ ;_-@_ ">
                  <c:v>444.51615000000055</c:v>
                </c:pt>
                <c:pt idx="326" formatCode="_-[$$-409]* #,##0.00_ ;_-[$$-409]* \-#,##0.00\ ;_-[$$-409]* &quot;-&quot;??_ ;_-@_ ">
                  <c:v>444.62270000000046</c:v>
                </c:pt>
                <c:pt idx="327" formatCode="_-[$$-409]* #,##0.00_ ;_-[$$-409]* \-#,##0.00\ ;_-[$$-409]* &quot;-&quot;??_ ;_-@_ ">
                  <c:v>444.69850000000059</c:v>
                </c:pt>
                <c:pt idx="328" formatCode="_-[$$-409]* #,##0.00_ ;_-[$$-409]* \-#,##0.00\ ;_-[$$-409]* &quot;-&quot;??_ ;_-@_ ">
                  <c:v>444.73575000000051</c:v>
                </c:pt>
                <c:pt idx="329" formatCode="_-[$$-409]* #,##0.00_ ;_-[$$-409]* \-#,##0.00\ ;_-[$$-409]* &quot;-&quot;??_ ;_-@_ ">
                  <c:v>444.75580000000048</c:v>
                </c:pt>
                <c:pt idx="330" formatCode="_-[$$-409]* #,##0.00_ ;_-[$$-409]* \-#,##0.00\ ;_-[$$-409]* &quot;-&quot;??_ ;_-@_ ">
                  <c:v>444.82625000000041</c:v>
                </c:pt>
                <c:pt idx="331" formatCode="_-[$$-409]* #,##0.00_ ;_-[$$-409]* \-#,##0.00\ ;_-[$$-409]* &quot;-&quot;??_ ;_-@_ ">
                  <c:v>444.98795000000035</c:v>
                </c:pt>
                <c:pt idx="332" formatCode="_-[$$-409]* #,##0.00_ ;_-[$$-409]* \-#,##0.00\ ;_-[$$-409]* &quot;-&quot;??_ ;_-@_ ">
                  <c:v>445.11970000000036</c:v>
                </c:pt>
                <c:pt idx="333" formatCode="_-[$$-409]* #,##0.00_ ;_-[$$-409]* \-#,##0.00\ ;_-[$$-409]* &quot;-&quot;??_ ;_-@_ ">
                  <c:v>445.18670000000037</c:v>
                </c:pt>
                <c:pt idx="334" formatCode="_-[$$-409]* #,##0.00_ ;_-[$$-409]* \-#,##0.00\ ;_-[$$-409]* &quot;-&quot;??_ ;_-@_ ">
                  <c:v>445.29855000000032</c:v>
                </c:pt>
                <c:pt idx="335" formatCode="_-[$$-409]* #,##0.00_ ;_-[$$-409]* \-#,##0.00\ ;_-[$$-409]* &quot;-&quot;??_ ;_-@_ ">
                  <c:v>445.41740000000033</c:v>
                </c:pt>
                <c:pt idx="336" formatCode="_-[$$-409]* #,##0.00_ ;_-[$$-409]* \-#,##0.00\ ;_-[$$-409]* &quot;-&quot;??_ ;_-@_ ">
                  <c:v>445.52395000000035</c:v>
                </c:pt>
                <c:pt idx="337" formatCode="_-[$$-409]* #,##0.00_ ;_-[$$-409]* \-#,##0.00\ ;_-[$$-409]* &quot;-&quot;??_ ;_-@_ ">
                  <c:v>445.54470000000032</c:v>
                </c:pt>
                <c:pt idx="338" formatCode="_-[$$-409]* #,##0.00_ ;_-[$$-409]* \-#,##0.00\ ;_-[$$-409]* &quot;-&quot;??_ ;_-@_ ">
                  <c:v>445.55125000000038</c:v>
                </c:pt>
                <c:pt idx="339" formatCode="_-[$$-409]* #,##0.00_ ;_-[$$-409]* \-#,##0.00\ ;_-[$$-409]* &quot;-&quot;??_ ;_-@_ ">
                  <c:v>445.59245000000027</c:v>
                </c:pt>
                <c:pt idx="340" formatCode="_-[$$-409]* #,##0.00_ ;_-[$$-409]* \-#,##0.00\ ;_-[$$-409]* &quot;-&quot;??_ ;_-@_ ">
                  <c:v>445.62865000000028</c:v>
                </c:pt>
                <c:pt idx="341" formatCode="_-[$$-409]* #,##0.00_ ;_-[$$-409]* \-#,##0.00\ ;_-[$$-409]* &quot;-&quot;??_ ;_-@_ ">
                  <c:v>445.63365000000027</c:v>
                </c:pt>
                <c:pt idx="342" formatCode="_-[$$-409]* #,##0.00_ ;_-[$$-409]* \-#,##0.00\ ;_-[$$-409]* &quot;-&quot;??_ ;_-@_ ">
                  <c:v>445.6222000000003</c:v>
                </c:pt>
                <c:pt idx="343" formatCode="_-[$$-409]* #,##0.00_ ;_-[$$-409]* \-#,##0.00\ ;_-[$$-409]* &quot;-&quot;??_ ;_-@_ ">
                  <c:v>445.6528500000004</c:v>
                </c:pt>
                <c:pt idx="344" formatCode="_-[$$-409]* #,##0.00_ ;_-[$$-409]* \-#,##0.00\ ;_-[$$-409]* &quot;-&quot;??_ ;_-@_ ">
                  <c:v>445.73260000000033</c:v>
                </c:pt>
                <c:pt idx="345" formatCode="_-[$$-409]* #,##0.00_ ;_-[$$-409]* \-#,##0.00\ ;_-[$$-409]* &quot;-&quot;??_ ;_-@_ ">
                  <c:v>445.83630000000039</c:v>
                </c:pt>
                <c:pt idx="346" formatCode="_-[$$-409]* #,##0.00_ ;_-[$$-409]* \-#,##0.00\ ;_-[$$-409]* &quot;-&quot;??_ ;_-@_ ">
                  <c:v>445.96505000000042</c:v>
                </c:pt>
                <c:pt idx="347" formatCode="_-[$$-409]* #,##0.00_ ;_-[$$-409]* \-#,##0.00\ ;_-[$$-409]* &quot;-&quot;??_ ;_-@_ ">
                  <c:v>446.07400000000035</c:v>
                </c:pt>
                <c:pt idx="348" formatCode="_-[$$-409]* #,##0.00_ ;_-[$$-409]* \-#,##0.00\ ;_-[$$-409]* &quot;-&quot;??_ ;_-@_ ">
                  <c:v>446.21100000000035</c:v>
                </c:pt>
                <c:pt idx="349" formatCode="_-[$$-409]* #,##0.00_ ;_-[$$-409]* \-#,##0.00\ ;_-[$$-409]* &quot;-&quot;??_ ;_-@_ ">
                  <c:v>446.31860000000034</c:v>
                </c:pt>
                <c:pt idx="350" formatCode="_-[$$-409]* #,##0.00_ ;_-[$$-409]* \-#,##0.00\ ;_-[$$-409]* &quot;-&quot;??_ ;_-@_ ">
                  <c:v>446.46280000000036</c:v>
                </c:pt>
                <c:pt idx="351" formatCode="_-[$$-409]* #,##0.00_ ;_-[$$-409]* \-#,##0.00\ ;_-[$$-409]* &quot;-&quot;??_ ;_-@_ ">
                  <c:v>446.60820000000035</c:v>
                </c:pt>
                <c:pt idx="352" formatCode="_-[$$-409]* #,##0.00_ ;_-[$$-409]* \-#,##0.00\ ;_-[$$-409]* &quot;-&quot;??_ ;_-@_ ">
                  <c:v>446.76620000000037</c:v>
                </c:pt>
                <c:pt idx="353" formatCode="_-[$$-409]* #,##0.00_ ;_-[$$-409]* \-#,##0.00\ ;_-[$$-409]* &quot;-&quot;??_ ;_-@_ ">
                  <c:v>446.94765000000041</c:v>
                </c:pt>
                <c:pt idx="354" formatCode="_-[$$-409]* #,##0.00_ ;_-[$$-409]* \-#,##0.00\ ;_-[$$-409]* &quot;-&quot;??_ ;_-@_ ">
                  <c:v>447.11875000000043</c:v>
                </c:pt>
                <c:pt idx="355" formatCode="_-[$$-409]* #,##0.00_ ;_-[$$-409]* \-#,##0.00\ ;_-[$$-409]* &quot;-&quot;??_ ;_-@_ ">
                  <c:v>447.26640000000037</c:v>
                </c:pt>
                <c:pt idx="356" formatCode="_-[$$-409]* #,##0.00_ ;_-[$$-409]* \-#,##0.00\ ;_-[$$-409]* &quot;-&quot;??_ ;_-@_ ">
                  <c:v>447.42115000000041</c:v>
                </c:pt>
                <c:pt idx="357" formatCode="_-[$$-409]* #,##0.00_ ;_-[$$-409]* \-#,##0.00\ ;_-[$$-409]* &quot;-&quot;??_ ;_-@_ ">
                  <c:v>447.63055000000037</c:v>
                </c:pt>
                <c:pt idx="358" formatCode="_-[$$-409]* #,##0.00_ ;_-[$$-409]* \-#,##0.00\ ;_-[$$-409]* &quot;-&quot;??_ ;_-@_ ">
                  <c:v>447.78140000000036</c:v>
                </c:pt>
                <c:pt idx="359" formatCode="_-[$$-409]* #,##0.00_ ;_-[$$-409]* \-#,##0.00\ ;_-[$$-409]* &quot;-&quot;??_ ;_-@_ ">
                  <c:v>447.89845000000037</c:v>
                </c:pt>
                <c:pt idx="360" formatCode="_-[$$-409]* #,##0.00_ ;_-[$$-409]* \-#,##0.00\ ;_-[$$-409]* &quot;-&quot;??_ ;_-@_ ">
                  <c:v>448.02930000000038</c:v>
                </c:pt>
                <c:pt idx="361" formatCode="_-[$$-409]* #,##0.00_ ;_-[$$-409]* \-#,##0.00\ ;_-[$$-409]* &quot;-&quot;??_ ;_-@_ ">
                  <c:v>448.14165000000042</c:v>
                </c:pt>
                <c:pt idx="362" formatCode="_-[$$-409]* #,##0.00_ ;_-[$$-409]* \-#,##0.00\ ;_-[$$-409]* &quot;-&quot;??_ ;_-@_ ">
                  <c:v>448.20820000000043</c:v>
                </c:pt>
                <c:pt idx="363" formatCode="_-[$$-409]* #,##0.00_ ;_-[$$-409]* \-#,##0.00\ ;_-[$$-409]* &quot;-&quot;??_ ;_-@_ ">
                  <c:v>448.26230000000032</c:v>
                </c:pt>
                <c:pt idx="364" formatCode="_-[$$-409]* #,##0.00_ ;_-[$$-409]* \-#,##0.00\ ;_-[$$-409]* &quot;-&quot;??_ ;_-@_ ">
                  <c:v>448.34035000000034</c:v>
                </c:pt>
                <c:pt idx="365" formatCode="_-[$$-409]* #,##0.00_ ;_-[$$-409]* \-#,##0.00\ ;_-[$$-409]* &quot;-&quot;??_ ;_-@_ ">
                  <c:v>448.38900000000029</c:v>
                </c:pt>
                <c:pt idx="366" formatCode="_-[$$-409]* #,##0.00_ ;_-[$$-409]* \-#,##0.00\ ;_-[$$-409]* &quot;-&quot;??_ ;_-@_ ">
                  <c:v>448.42670000000027</c:v>
                </c:pt>
                <c:pt idx="367" formatCode="_-[$$-409]* #,##0.00_ ;_-[$$-409]* \-#,##0.00\ ;_-[$$-409]* &quot;-&quot;??_ ;_-@_ ">
                  <c:v>448.48330000000016</c:v>
                </c:pt>
                <c:pt idx="368" formatCode="_-[$$-409]* #,##0.00_ ;_-[$$-409]* \-#,##0.00\ ;_-[$$-409]* &quot;-&quot;??_ ;_-@_ ">
                  <c:v>448.54220000000021</c:v>
                </c:pt>
                <c:pt idx="369" formatCode="_-[$$-409]* #,##0.00_ ;_-[$$-409]* \-#,##0.00\ ;_-[$$-409]* &quot;-&quot;??_ ;_-@_ ">
                  <c:v>448.56020000000018</c:v>
                </c:pt>
                <c:pt idx="370" formatCode="_-[$$-409]* #,##0.00_ ;_-[$$-409]* \-#,##0.00\ ;_-[$$-409]* &quot;-&quot;??_ ;_-@_ ">
                  <c:v>448.53580000000011</c:v>
                </c:pt>
                <c:pt idx="371" formatCode="_-[$$-409]* #,##0.00_ ;_-[$$-409]* \-#,##0.00\ ;_-[$$-409]* &quot;-&quot;??_ ;_-@_ ">
                  <c:v>448.5007500000001</c:v>
                </c:pt>
                <c:pt idx="372" formatCode="_-[$$-409]* #,##0.00_ ;_-[$$-409]* \-#,##0.00\ ;_-[$$-409]* &quot;-&quot;??_ ;_-@_ ">
                  <c:v>448.39585000000011</c:v>
                </c:pt>
                <c:pt idx="373" formatCode="_-[$$-409]* #,##0.00_ ;_-[$$-409]* \-#,##0.00\ ;_-[$$-409]* &quot;-&quot;??_ ;_-@_ ">
                  <c:v>448.30425000000008</c:v>
                </c:pt>
                <c:pt idx="374" formatCode="_-[$$-409]* #,##0.00_ ;_-[$$-409]* \-#,##0.00\ ;_-[$$-409]* &quot;-&quot;??_ ;_-@_ ">
                  <c:v>448.26210000000015</c:v>
                </c:pt>
                <c:pt idx="375" formatCode="_-[$$-409]* #,##0.00_ ;_-[$$-409]* \-#,##0.00\ ;_-[$$-409]* &quot;-&quot;??_ ;_-@_ ">
                  <c:v>448.14835000000016</c:v>
                </c:pt>
                <c:pt idx="376" formatCode="_-[$$-409]* #,##0.00_ ;_-[$$-409]* \-#,##0.00\ ;_-[$$-409]* &quot;-&quot;??_ ;_-@_ ">
                  <c:v>448.06405000000012</c:v>
                </c:pt>
                <c:pt idx="377" formatCode="_-[$$-409]* #,##0.00_ ;_-[$$-409]* \-#,##0.00\ ;_-[$$-409]* &quot;-&quot;??_ ;_-@_ ">
                  <c:v>448.0211000000001</c:v>
                </c:pt>
                <c:pt idx="378" formatCode="_-[$$-409]* #,##0.00_ ;_-[$$-409]* \-#,##0.00\ ;_-[$$-409]* &quot;-&quot;??_ ;_-@_ ">
                  <c:v>448.01110000000006</c:v>
                </c:pt>
                <c:pt idx="379" formatCode="_-[$$-409]* #,##0.00_ ;_-[$$-409]* \-#,##0.00\ ;_-[$$-409]* &quot;-&quot;??_ ;_-@_ ">
                  <c:v>447.9074</c:v>
                </c:pt>
                <c:pt idx="380" formatCode="_-[$$-409]* #,##0.00_ ;_-[$$-409]* \-#,##0.00\ ;_-[$$-409]* &quot;-&quot;??_ ;_-@_ ">
                  <c:v>447.78679999999991</c:v>
                </c:pt>
                <c:pt idx="381" formatCode="_-[$$-409]* #,##0.00_ ;_-[$$-409]* \-#,##0.00\ ;_-[$$-409]* &quot;-&quot;??_ ;_-@_ ">
                  <c:v>447.57794999999993</c:v>
                </c:pt>
                <c:pt idx="382" formatCode="_-[$$-409]* #,##0.00_ ;_-[$$-409]* \-#,##0.00\ ;_-[$$-409]* &quot;-&quot;??_ ;_-@_ ">
                  <c:v>447.36829999999986</c:v>
                </c:pt>
                <c:pt idx="383" formatCode="_-[$$-409]* #,##0.00_ ;_-[$$-409]* \-#,##0.00\ ;_-[$$-409]* &quot;-&quot;??_ ;_-@_ ">
                  <c:v>447.13699999999989</c:v>
                </c:pt>
                <c:pt idx="384" formatCode="_-[$$-409]* #,##0.00_ ;_-[$$-409]* \-#,##0.00\ ;_-[$$-409]* &quot;-&quot;??_ ;_-@_ ">
                  <c:v>446.90454999999986</c:v>
                </c:pt>
                <c:pt idx="385" formatCode="_-[$$-409]* #,##0.00_ ;_-[$$-409]* \-#,##0.00\ ;_-[$$-409]* &quot;-&quot;??_ ;_-@_ ">
                  <c:v>446.70989999999983</c:v>
                </c:pt>
                <c:pt idx="386" formatCode="_-[$$-409]* #,##0.00_ ;_-[$$-409]* \-#,##0.00\ ;_-[$$-409]* &quot;-&quot;??_ ;_-@_ ">
                  <c:v>446.51779999999985</c:v>
                </c:pt>
                <c:pt idx="387" formatCode="_-[$$-409]* #,##0.00_ ;_-[$$-409]* \-#,##0.00\ ;_-[$$-409]* &quot;-&quot;??_ ;_-@_ ">
                  <c:v>446.37144999999987</c:v>
                </c:pt>
                <c:pt idx="388" formatCode="_-[$$-409]* #,##0.00_ ;_-[$$-409]* \-#,##0.00\ ;_-[$$-409]* &quot;-&quot;??_ ;_-@_ ">
                  <c:v>446.12499999999994</c:v>
                </c:pt>
                <c:pt idx="389" formatCode="_-[$$-409]* #,##0.00_ ;_-[$$-409]* \-#,##0.00\ ;_-[$$-409]* &quot;-&quot;??_ ;_-@_ ">
                  <c:v>445.87739999999997</c:v>
                </c:pt>
                <c:pt idx="390" formatCode="_-[$$-409]* #,##0.00_ ;_-[$$-409]* \-#,##0.00\ ;_-[$$-409]* &quot;-&quot;??_ ;_-@_ ">
                  <c:v>445.61674999999997</c:v>
                </c:pt>
                <c:pt idx="391" formatCode="_-[$$-409]* #,##0.00_ ;_-[$$-409]* \-#,##0.00\ ;_-[$$-409]* &quot;-&quot;??_ ;_-@_ ">
                  <c:v>445.38889999999992</c:v>
                </c:pt>
                <c:pt idx="392" formatCode="_-[$$-409]* #,##0.00_ ;_-[$$-409]* \-#,##0.00\ ;_-[$$-409]* &quot;-&quot;??_ ;_-@_ ">
                  <c:v>445.14769999999999</c:v>
                </c:pt>
                <c:pt idx="393" formatCode="_-[$$-409]* #,##0.00_ ;_-[$$-409]* \-#,##0.00\ ;_-[$$-409]* &quot;-&quot;??_ ;_-@_ ">
                  <c:v>444.9211499999999</c:v>
                </c:pt>
                <c:pt idx="394" formatCode="_-[$$-409]* #,##0.00_ ;_-[$$-409]* \-#,##0.00\ ;_-[$$-409]* &quot;-&quot;??_ ;_-@_ ">
                  <c:v>444.72879999999992</c:v>
                </c:pt>
                <c:pt idx="395" formatCode="_-[$$-409]* #,##0.00_ ;_-[$$-409]* \-#,##0.00\ ;_-[$$-409]* &quot;-&quot;??_ ;_-@_ ">
                  <c:v>444.57954999999987</c:v>
                </c:pt>
                <c:pt idx="396" formatCode="_-[$$-409]* #,##0.00_ ;_-[$$-409]* \-#,##0.00\ ;_-[$$-409]* &quot;-&quot;??_ ;_-@_ ">
                  <c:v>444.41459999999984</c:v>
                </c:pt>
                <c:pt idx="397" formatCode="_-[$$-409]* #,##0.00_ ;_-[$$-409]* \-#,##0.00\ ;_-[$$-409]* &quot;-&quot;??_ ;_-@_ ">
                  <c:v>444.2276999999998</c:v>
                </c:pt>
                <c:pt idx="398" formatCode="_-[$$-409]* #,##0.00_ ;_-[$$-409]* \-#,##0.00\ ;_-[$$-409]* &quot;-&quot;??_ ;_-@_ ">
                  <c:v>444.09444999999977</c:v>
                </c:pt>
                <c:pt idx="399" formatCode="_-[$$-409]* #,##0.00_ ;_-[$$-409]* \-#,##0.00\ ;_-[$$-409]* &quot;-&quot;??_ ;_-@_ ">
                  <c:v>443.95124999999979</c:v>
                </c:pt>
                <c:pt idx="400" formatCode="_-[$$-409]* #,##0.00_ ;_-[$$-409]* \-#,##0.00\ ;_-[$$-409]* &quot;-&quot;??_ ;_-@_ ">
                  <c:v>443.81089999999972</c:v>
                </c:pt>
                <c:pt idx="401" formatCode="_-[$$-409]* #,##0.00_ ;_-[$$-409]* \-#,##0.00\ ;_-[$$-409]* &quot;-&quot;??_ ;_-@_ ">
                  <c:v>443.67279999999977</c:v>
                </c:pt>
                <c:pt idx="402" formatCode="_-[$$-409]* #,##0.00_ ;_-[$$-409]* \-#,##0.00\ ;_-[$$-409]* &quot;-&quot;??_ ;_-@_ ">
                  <c:v>443.49259999999975</c:v>
                </c:pt>
                <c:pt idx="403" formatCode="_-[$$-409]* #,##0.00_ ;_-[$$-409]* \-#,##0.00\ ;_-[$$-409]* &quot;-&quot;??_ ;_-@_ ">
                  <c:v>443.25994999999972</c:v>
                </c:pt>
                <c:pt idx="404" formatCode="_-[$$-409]* #,##0.00_ ;_-[$$-409]* \-#,##0.00\ ;_-[$$-409]* &quot;-&quot;??_ ;_-@_ ">
                  <c:v>442.96439999999978</c:v>
                </c:pt>
                <c:pt idx="405" formatCode="_-[$$-409]* #,##0.00_ ;_-[$$-409]* \-#,##0.00\ ;_-[$$-409]* &quot;-&quot;??_ ;_-@_ ">
                  <c:v>442.60809999999975</c:v>
                </c:pt>
                <c:pt idx="406" formatCode="_-[$$-409]* #,##0.00_ ;_-[$$-409]* \-#,##0.00\ ;_-[$$-409]* &quot;-&quot;??_ ;_-@_ ">
                  <c:v>442.22619999999972</c:v>
                </c:pt>
                <c:pt idx="407" formatCode="_-[$$-409]* #,##0.00_ ;_-[$$-409]* \-#,##0.00\ ;_-[$$-409]* &quot;-&quot;??_ ;_-@_ ">
                  <c:v>441.86104999999975</c:v>
                </c:pt>
                <c:pt idx="408" formatCode="_-[$$-409]* #,##0.00_ ;_-[$$-409]* \-#,##0.00\ ;_-[$$-409]* &quot;-&quot;??_ ;_-@_ ">
                  <c:v>441.43649999999974</c:v>
                </c:pt>
                <c:pt idx="409" formatCode="_-[$$-409]* #,##0.00_ ;_-[$$-409]* \-#,##0.00\ ;_-[$$-409]* &quot;-&quot;??_ ;_-@_ ">
                  <c:v>441.00679999999977</c:v>
                </c:pt>
                <c:pt idx="410" formatCode="_-[$$-409]* #,##0.00_ ;_-[$$-409]* \-#,##0.00\ ;_-[$$-409]* &quot;-&quot;??_ ;_-@_ ">
                  <c:v>440.61619999999982</c:v>
                </c:pt>
                <c:pt idx="411" formatCode="_-[$$-409]* #,##0.00_ ;_-[$$-409]* \-#,##0.00\ ;_-[$$-409]* &quot;-&quot;??_ ;_-@_ ">
                  <c:v>440.22274999999979</c:v>
                </c:pt>
                <c:pt idx="412" formatCode="_-[$$-409]* #,##0.00_ ;_-[$$-409]* \-#,##0.00\ ;_-[$$-409]* &quot;-&quot;??_ ;_-@_ ">
                  <c:v>439.85574999999977</c:v>
                </c:pt>
                <c:pt idx="413" formatCode="_-[$$-409]* #,##0.00_ ;_-[$$-409]* \-#,##0.00\ ;_-[$$-409]* &quot;-&quot;??_ ;_-@_ ">
                  <c:v>439.55159999999972</c:v>
                </c:pt>
                <c:pt idx="414" formatCode="_-[$$-409]* #,##0.00_ ;_-[$$-409]* \-#,##0.00\ ;_-[$$-409]* &quot;-&quot;??_ ;_-@_ ">
                  <c:v>439.24964999999969</c:v>
                </c:pt>
                <c:pt idx="415" formatCode="_-[$$-409]* #,##0.00_ ;_-[$$-409]* \-#,##0.00\ ;_-[$$-409]* &quot;-&quot;??_ ;_-@_ ">
                  <c:v>438.92569999999961</c:v>
                </c:pt>
                <c:pt idx="416" formatCode="_-[$$-409]* #,##0.00_ ;_-[$$-409]* \-#,##0.00\ ;_-[$$-409]* &quot;-&quot;??_ ;_-@_ ">
                  <c:v>438.59449999999958</c:v>
                </c:pt>
                <c:pt idx="417" formatCode="_-[$$-409]* #,##0.00_ ;_-[$$-409]* \-#,##0.00\ ;_-[$$-409]* &quot;-&quot;??_ ;_-@_ ">
                  <c:v>438.25989999999956</c:v>
                </c:pt>
                <c:pt idx="418" formatCode="_-[$$-409]* #,##0.00_ ;_-[$$-409]* \-#,##0.00\ ;_-[$$-409]* &quot;-&quot;??_ ;_-@_ ">
                  <c:v>437.92669999999964</c:v>
                </c:pt>
                <c:pt idx="419" formatCode="_-[$$-409]* #,##0.00_ ;_-[$$-409]* \-#,##0.00\ ;_-[$$-409]* &quot;-&quot;??_ ;_-@_ ">
                  <c:v>437.60064999999963</c:v>
                </c:pt>
                <c:pt idx="420" formatCode="_-[$$-409]* #,##0.00_ ;_-[$$-409]* \-#,##0.00\ ;_-[$$-409]* &quot;-&quot;??_ ;_-@_ ">
                  <c:v>437.30989999999963</c:v>
                </c:pt>
                <c:pt idx="421" formatCode="_-[$$-409]* #,##0.00_ ;_-[$$-409]* \-#,##0.00\ ;_-[$$-409]* &quot;-&quot;??_ ;_-@_ ">
                  <c:v>437.08464999999967</c:v>
                </c:pt>
                <c:pt idx="422" formatCode="_-[$$-409]* #,##0.00_ ;_-[$$-409]* \-#,##0.00\ ;_-[$$-409]* &quot;-&quot;??_ ;_-@_ ">
                  <c:v>436.85984999999965</c:v>
                </c:pt>
                <c:pt idx="423" formatCode="_-[$$-409]* #,##0.00_ ;_-[$$-409]* \-#,##0.00\ ;_-[$$-409]* &quot;-&quot;??_ ;_-@_ ">
                  <c:v>436.59169999999961</c:v>
                </c:pt>
                <c:pt idx="424" formatCode="_-[$$-409]* #,##0.00_ ;_-[$$-409]* \-#,##0.00\ ;_-[$$-409]* &quot;-&quot;??_ ;_-@_ ">
                  <c:v>436.27994999999964</c:v>
                </c:pt>
                <c:pt idx="425" formatCode="_-[$$-409]* #,##0.00_ ;_-[$$-409]* \-#,##0.00\ ;_-[$$-409]* &quot;-&quot;??_ ;_-@_ ">
                  <c:v>435.95454999999964</c:v>
                </c:pt>
                <c:pt idx="426" formatCode="_-[$$-409]* #,##0.00_ ;_-[$$-409]* \-#,##0.00\ ;_-[$$-409]* &quot;-&quot;??_ ;_-@_ ">
                  <c:v>435.63089999999977</c:v>
                </c:pt>
                <c:pt idx="427" formatCode="_-[$$-409]* #,##0.00_ ;_-[$$-409]* \-#,##0.00\ ;_-[$$-409]* &quot;-&quot;??_ ;_-@_ ">
                  <c:v>435.38794999999971</c:v>
                </c:pt>
                <c:pt idx="428" formatCode="_-[$$-409]* #,##0.00_ ;_-[$$-409]* \-#,##0.00\ ;_-[$$-409]* &quot;-&quot;??_ ;_-@_ ">
                  <c:v>435.12544999999972</c:v>
                </c:pt>
                <c:pt idx="429" formatCode="_-[$$-409]* #,##0.00_ ;_-[$$-409]* \-#,##0.00\ ;_-[$$-409]* &quot;-&quot;??_ ;_-@_ ">
                  <c:v>434.94109999999966</c:v>
                </c:pt>
                <c:pt idx="430" formatCode="_-[$$-409]* #,##0.00_ ;_-[$$-409]* \-#,##0.00\ ;_-[$$-409]* &quot;-&quot;??_ ;_-@_ ">
                  <c:v>434.74374999999981</c:v>
                </c:pt>
                <c:pt idx="431" formatCode="_-[$$-409]* #,##0.00_ ;_-[$$-409]* \-#,##0.00\ ;_-[$$-409]* &quot;-&quot;??_ ;_-@_ ">
                  <c:v>434.5944999999997</c:v>
                </c:pt>
                <c:pt idx="432" formatCode="_-[$$-409]* #,##0.00_ ;_-[$$-409]* \-#,##0.00\ ;_-[$$-409]* &quot;-&quot;??_ ;_-@_ ">
                  <c:v>434.40444999999971</c:v>
                </c:pt>
                <c:pt idx="433" formatCode="_-[$$-409]* #,##0.00_ ;_-[$$-409]* \-#,##0.00\ ;_-[$$-409]* &quot;-&quot;??_ ;_-@_ ">
                  <c:v>434.20779999999979</c:v>
                </c:pt>
                <c:pt idx="434" formatCode="_-[$$-409]* #,##0.00_ ;_-[$$-409]* \-#,##0.00\ ;_-[$$-409]* &quot;-&quot;??_ ;_-@_ ">
                  <c:v>433.96894999999972</c:v>
                </c:pt>
                <c:pt idx="435" formatCode="_-[$$-409]* #,##0.00_ ;_-[$$-409]* \-#,##0.00\ ;_-[$$-409]* &quot;-&quot;??_ ;_-@_ ">
                  <c:v>433.78484999999972</c:v>
                </c:pt>
                <c:pt idx="436" formatCode="_-[$$-409]* #,##0.00_ ;_-[$$-409]* \-#,##0.00\ ;_-[$$-409]* &quot;-&quot;??_ ;_-@_ ">
                  <c:v>433.64174999999972</c:v>
                </c:pt>
                <c:pt idx="437" formatCode="_-[$$-409]* #,##0.00_ ;_-[$$-409]* \-#,##0.00\ ;_-[$$-409]* &quot;-&quot;??_ ;_-@_ ">
                  <c:v>433.53359999999969</c:v>
                </c:pt>
                <c:pt idx="438" formatCode="_-[$$-409]* #,##0.00_ ;_-[$$-409]* \-#,##0.00\ ;_-[$$-409]* &quot;-&quot;??_ ;_-@_ ">
                  <c:v>433.41154999999975</c:v>
                </c:pt>
                <c:pt idx="439" formatCode="_-[$$-409]* #,##0.00_ ;_-[$$-409]* \-#,##0.00\ ;_-[$$-409]* &quot;-&quot;??_ ;_-@_ ">
                  <c:v>433.23934999999977</c:v>
                </c:pt>
                <c:pt idx="440" formatCode="_-[$$-409]* #,##0.00_ ;_-[$$-409]* \-#,##0.00\ ;_-[$$-409]* &quot;-&quot;??_ ;_-@_ ">
                  <c:v>433.08224999999976</c:v>
                </c:pt>
                <c:pt idx="441" formatCode="_-[$$-409]* #,##0.00_ ;_-[$$-409]* \-#,##0.00\ ;_-[$$-409]* &quot;-&quot;??_ ;_-@_ ">
                  <c:v>432.91714999999976</c:v>
                </c:pt>
                <c:pt idx="442" formatCode="_-[$$-409]* #,##0.00_ ;_-[$$-409]* \-#,##0.00\ ;_-[$$-409]* &quot;-&quot;??_ ;_-@_ ">
                  <c:v>432.73129999999975</c:v>
                </c:pt>
                <c:pt idx="443" formatCode="_-[$$-409]* #,##0.00_ ;_-[$$-409]* \-#,##0.00\ ;_-[$$-409]* &quot;-&quot;??_ ;_-@_ ">
                  <c:v>432.53419999999977</c:v>
                </c:pt>
                <c:pt idx="444" formatCode="_-[$$-409]* #,##0.00_ ;_-[$$-409]* \-#,##0.00\ ;_-[$$-409]* &quot;-&quot;??_ ;_-@_ ">
                  <c:v>432.32299999999981</c:v>
                </c:pt>
                <c:pt idx="445" formatCode="_-[$$-409]* #,##0.00_ ;_-[$$-409]* \-#,##0.00\ ;_-[$$-409]* &quot;-&quot;??_ ;_-@_ ">
                  <c:v>432.15734999999978</c:v>
                </c:pt>
                <c:pt idx="446" formatCode="_-[$$-409]* #,##0.00_ ;_-[$$-409]* \-#,##0.00\ ;_-[$$-409]* &quot;-&quot;??_ ;_-@_ ">
                  <c:v>431.97954999999985</c:v>
                </c:pt>
                <c:pt idx="447" formatCode="_-[$$-409]* #,##0.00_ ;_-[$$-409]* \-#,##0.00\ ;_-[$$-409]* &quot;-&quot;??_ ;_-@_ ">
                  <c:v>431.83524999999986</c:v>
                </c:pt>
                <c:pt idx="448" formatCode="_-[$$-409]* #,##0.00_ ;_-[$$-409]* \-#,##0.00\ ;_-[$$-409]* &quot;-&quot;??_ ;_-@_ ">
                  <c:v>431.70984999999996</c:v>
                </c:pt>
                <c:pt idx="449" formatCode="_-[$$-409]* #,##0.00_ ;_-[$$-409]* \-#,##0.00\ ;_-[$$-409]* &quot;-&quot;??_ ;_-@_ ">
                  <c:v>431.56674999999996</c:v>
                </c:pt>
                <c:pt idx="450" formatCode="_-[$$-409]* #,##0.00_ ;_-[$$-409]* \-#,##0.00\ ;_-[$$-409]* &quot;-&quot;??_ ;_-@_ ">
                  <c:v>431.40374999999995</c:v>
                </c:pt>
                <c:pt idx="451" formatCode="_-[$$-409]* #,##0.00_ ;_-[$$-409]* \-#,##0.00\ ;_-[$$-409]* &quot;-&quot;??_ ;_-@_ ">
                  <c:v>431.24299999999994</c:v>
                </c:pt>
                <c:pt idx="452" formatCode="_-[$$-409]* #,##0.00_ ;_-[$$-409]* \-#,##0.00\ ;_-[$$-409]* &quot;-&quot;??_ ;_-@_ ">
                  <c:v>431.04419999999999</c:v>
                </c:pt>
                <c:pt idx="453" formatCode="_-[$$-409]* #,##0.00_ ;_-[$$-409]* \-#,##0.00\ ;_-[$$-409]* &quot;-&quot;??_ ;_-@_ ">
                  <c:v>430.78735</c:v>
                </c:pt>
                <c:pt idx="454" formatCode="_-[$$-409]* #,##0.00_ ;_-[$$-409]* \-#,##0.00\ ;_-[$$-409]* &quot;-&quot;??_ ;_-@_ ">
                  <c:v>430.51455000000004</c:v>
                </c:pt>
                <c:pt idx="455" formatCode="_-[$$-409]* #,##0.00_ ;_-[$$-409]* \-#,##0.00\ ;_-[$$-409]* &quot;-&quot;??_ ;_-@_ ">
                  <c:v>430.24025</c:v>
                </c:pt>
                <c:pt idx="456" formatCode="_-[$$-409]* #,##0.00_ ;_-[$$-409]* \-#,##0.00\ ;_-[$$-409]* &quot;-&quot;??_ ;_-@_ ">
                  <c:v>429.99315000000001</c:v>
                </c:pt>
                <c:pt idx="457" formatCode="_-[$$-409]* #,##0.00_ ;_-[$$-409]* \-#,##0.00\ ;_-[$$-409]* &quot;-&quot;??_ ;_-@_ ">
                  <c:v>429.68279999999999</c:v>
                </c:pt>
                <c:pt idx="458" formatCode="_-[$$-409]* #,##0.00_ ;_-[$$-409]* \-#,##0.00\ ;_-[$$-409]* &quot;-&quot;??_ ;_-@_ ">
                  <c:v>429.37785000000008</c:v>
                </c:pt>
                <c:pt idx="459" formatCode="_-[$$-409]* #,##0.00_ ;_-[$$-409]* \-#,##0.00\ ;_-[$$-409]* &quot;-&quot;??_ ;_-@_ ">
                  <c:v>429.05005000000011</c:v>
                </c:pt>
                <c:pt idx="460" formatCode="_-[$$-409]* #,##0.00_ ;_-[$$-409]* \-#,##0.00\ ;_-[$$-409]* &quot;-&quot;??_ ;_-@_ ">
                  <c:v>428.68960000000004</c:v>
                </c:pt>
                <c:pt idx="461" formatCode="_-[$$-409]* #,##0.00_ ;_-[$$-409]* \-#,##0.00\ ;_-[$$-409]* &quot;-&quot;??_ ;_-@_ ">
                  <c:v>428.33455000000009</c:v>
                </c:pt>
                <c:pt idx="462" formatCode="_-[$$-409]* #,##0.00_ ;_-[$$-409]* \-#,##0.00\ ;_-[$$-409]* &quot;-&quot;??_ ;_-@_ ">
                  <c:v>427.94935000000004</c:v>
                </c:pt>
                <c:pt idx="463" formatCode="_-[$$-409]* #,##0.00_ ;_-[$$-409]* \-#,##0.00\ ;_-[$$-409]* &quot;-&quot;??_ ;_-@_ ">
                  <c:v>427.56245000000001</c:v>
                </c:pt>
                <c:pt idx="464" formatCode="_-[$$-409]* #,##0.00_ ;_-[$$-409]* \-#,##0.00\ ;_-[$$-409]* &quot;-&quot;??_ ;_-@_ ">
                  <c:v>427.20270000000005</c:v>
                </c:pt>
                <c:pt idx="465" formatCode="_-[$$-409]* #,##0.00_ ;_-[$$-409]* \-#,##0.00\ ;_-[$$-409]* &quot;-&quot;??_ ;_-@_ ">
                  <c:v>426.86015000000009</c:v>
                </c:pt>
                <c:pt idx="466" formatCode="_-[$$-409]* #,##0.00_ ;_-[$$-409]* \-#,##0.00\ ;_-[$$-409]* &quot;-&quot;??_ ;_-@_ ">
                  <c:v>426.55530000000016</c:v>
                </c:pt>
                <c:pt idx="467" formatCode="_-[$$-409]* #,##0.00_ ;_-[$$-409]* \-#,##0.00\ ;_-[$$-409]* &quot;-&quot;??_ ;_-@_ ">
                  <c:v>426.26920000000007</c:v>
                </c:pt>
                <c:pt idx="468" formatCode="_-[$$-409]* #,##0.00_ ;_-[$$-409]* \-#,##0.00\ ;_-[$$-409]* &quot;-&quot;??_ ;_-@_ ">
                  <c:v>425.88749999999999</c:v>
                </c:pt>
                <c:pt idx="469" formatCode="_-[$$-409]* #,##0.00_ ;_-[$$-409]* \-#,##0.00\ ;_-[$$-409]* &quot;-&quot;??_ ;_-@_ ">
                  <c:v>425.56565000000001</c:v>
                </c:pt>
                <c:pt idx="470" formatCode="_-[$$-409]* #,##0.00_ ;_-[$$-409]* \-#,##0.00\ ;_-[$$-409]* &quot;-&quot;??_ ;_-@_ ">
                  <c:v>425.19325000000003</c:v>
                </c:pt>
                <c:pt idx="471" formatCode="_-[$$-409]* #,##0.00_ ;_-[$$-409]* \-#,##0.00\ ;_-[$$-409]* &quot;-&quot;??_ ;_-@_ ">
                  <c:v>424.84324999999995</c:v>
                </c:pt>
                <c:pt idx="472" formatCode="_-[$$-409]* #,##0.00_ ;_-[$$-409]* \-#,##0.00\ ;_-[$$-409]* &quot;-&quot;??_ ;_-@_ ">
                  <c:v>424.5335</c:v>
                </c:pt>
                <c:pt idx="473" formatCode="_-[$$-409]* #,##0.00_ ;_-[$$-409]* \-#,##0.00\ ;_-[$$-409]* &quot;-&quot;??_ ;_-@_ ">
                  <c:v>424.16694999999999</c:v>
                </c:pt>
                <c:pt idx="474" formatCode="_-[$$-409]* #,##0.00_ ;_-[$$-409]* \-#,##0.00\ ;_-[$$-409]* &quot;-&quot;??_ ;_-@_ ">
                  <c:v>423.78680000000003</c:v>
                </c:pt>
                <c:pt idx="475" formatCode="_-[$$-409]* #,##0.00_ ;_-[$$-409]* \-#,##0.00\ ;_-[$$-409]* &quot;-&quot;??_ ;_-@_ ">
                  <c:v>423.36394999999999</c:v>
                </c:pt>
                <c:pt idx="476" formatCode="_-[$$-409]* #,##0.00_ ;_-[$$-409]* \-#,##0.00\ ;_-[$$-409]* &quot;-&quot;??_ ;_-@_ ">
                  <c:v>422.86229999999995</c:v>
                </c:pt>
                <c:pt idx="477" formatCode="_-[$$-409]* #,##0.00_ ;_-[$$-409]* \-#,##0.00\ ;_-[$$-409]* &quot;-&quot;??_ ;_-@_ ">
                  <c:v>422.33624999999995</c:v>
                </c:pt>
                <c:pt idx="478" formatCode="_-[$$-409]* #,##0.00_ ;_-[$$-409]* \-#,##0.00\ ;_-[$$-409]* &quot;-&quot;??_ ;_-@_ ">
                  <c:v>421.82139999999998</c:v>
                </c:pt>
                <c:pt idx="479" formatCode="_-[$$-409]* #,##0.00_ ;_-[$$-409]* \-#,##0.00\ ;_-[$$-409]* &quot;-&quot;??_ ;_-@_ ">
                  <c:v>421.32034999999991</c:v>
                </c:pt>
                <c:pt idx="480" formatCode="_-[$$-409]* #,##0.00_ ;_-[$$-409]* \-#,##0.00\ ;_-[$$-409]* &quot;-&quot;??_ ;_-@_ ">
                  <c:v>420.80144999999982</c:v>
                </c:pt>
                <c:pt idx="481" formatCode="_-[$$-409]* #,##0.00_ ;_-[$$-409]* \-#,##0.00\ ;_-[$$-409]* &quot;-&quot;??_ ;_-@_ ">
                  <c:v>420.27054999999984</c:v>
                </c:pt>
                <c:pt idx="482" formatCode="_-[$$-409]* #,##0.00_ ;_-[$$-409]* \-#,##0.00\ ;_-[$$-409]* &quot;-&quot;??_ ;_-@_ ">
                  <c:v>419.75059999999985</c:v>
                </c:pt>
                <c:pt idx="483" formatCode="_-[$$-409]* #,##0.00_ ;_-[$$-409]* \-#,##0.00\ ;_-[$$-409]* &quot;-&quot;??_ ;_-@_ ">
                  <c:v>419.30819999999977</c:v>
                </c:pt>
                <c:pt idx="484" formatCode="_-[$$-409]* #,##0.00_ ;_-[$$-409]* \-#,##0.00\ ;_-[$$-409]* &quot;-&quot;??_ ;_-@_ ">
                  <c:v>418.89429999999976</c:v>
                </c:pt>
                <c:pt idx="485" formatCode="_-[$$-409]* #,##0.00_ ;_-[$$-409]* \-#,##0.00\ ;_-[$$-409]* &quot;-&quot;??_ ;_-@_ ">
                  <c:v>418.4853999999998</c:v>
                </c:pt>
                <c:pt idx="486" formatCode="_-[$$-409]* #,##0.00_ ;_-[$$-409]* \-#,##0.00\ ;_-[$$-409]* &quot;-&quot;??_ ;_-@_ ">
                  <c:v>417.9840499999998</c:v>
                </c:pt>
                <c:pt idx="487" formatCode="_-[$$-409]* #,##0.00_ ;_-[$$-409]* \-#,##0.00\ ;_-[$$-409]* &quot;-&quot;??_ ;_-@_ ">
                  <c:v>417.4456999999997</c:v>
                </c:pt>
                <c:pt idx="488" formatCode="_-[$$-409]* #,##0.00_ ;_-[$$-409]* \-#,##0.00\ ;_-[$$-409]* &quot;-&quot;??_ ;_-@_ ">
                  <c:v>416.88139999999976</c:v>
                </c:pt>
                <c:pt idx="489" formatCode="_-[$$-409]* #,##0.00_ ;_-[$$-409]* \-#,##0.00\ ;_-[$$-409]* &quot;-&quot;??_ ;_-@_ ">
                  <c:v>416.2778999999997</c:v>
                </c:pt>
                <c:pt idx="490" formatCode="_-[$$-409]* #,##0.00_ ;_-[$$-409]* \-#,##0.00\ ;_-[$$-409]* &quot;-&quot;??_ ;_-@_ ">
                  <c:v>415.72339999999969</c:v>
                </c:pt>
                <c:pt idx="491" formatCode="_-[$$-409]* #,##0.00_ ;_-[$$-409]* \-#,##0.00\ ;_-[$$-409]* &quot;-&quot;??_ ;_-@_ ">
                  <c:v>415.12414999999964</c:v>
                </c:pt>
                <c:pt idx="492" formatCode="_-[$$-409]* #,##0.00_ ;_-[$$-409]* \-#,##0.00\ ;_-[$$-409]* &quot;-&quot;??_ ;_-@_ ">
                  <c:v>414.57744999999966</c:v>
                </c:pt>
                <c:pt idx="493" formatCode="_-[$$-409]* #,##0.00_ ;_-[$$-409]* \-#,##0.00\ ;_-[$$-409]* &quot;-&quot;??_ ;_-@_ ">
                  <c:v>414.05829999999975</c:v>
                </c:pt>
                <c:pt idx="494" formatCode="_-[$$-409]* #,##0.00_ ;_-[$$-409]* \-#,##0.00\ ;_-[$$-409]* &quot;-&quot;??_ ;_-@_ ">
                  <c:v>413.51224999999977</c:v>
                </c:pt>
                <c:pt idx="495" formatCode="_-[$$-409]* #,##0.00_ ;_-[$$-409]* \-#,##0.00\ ;_-[$$-409]* &quot;-&quot;??_ ;_-@_ ">
                  <c:v>412.95154999999977</c:v>
                </c:pt>
                <c:pt idx="496" formatCode="_-[$$-409]* #,##0.00_ ;_-[$$-409]* \-#,##0.00\ ;_-[$$-409]* &quot;-&quot;??_ ;_-@_ ">
                  <c:v>412.48109999999974</c:v>
                </c:pt>
                <c:pt idx="497" formatCode="_-[$$-409]* #,##0.00_ ;_-[$$-409]* \-#,##0.00\ ;_-[$$-409]* &quot;-&quot;??_ ;_-@_ ">
                  <c:v>412.03574999999967</c:v>
                </c:pt>
                <c:pt idx="498" formatCode="_-[$$-409]* #,##0.00_ ;_-[$$-409]* \-#,##0.00\ ;_-[$$-409]* &quot;-&quot;??_ ;_-@_ ">
                  <c:v>411.62989999999962</c:v>
                </c:pt>
                <c:pt idx="499" formatCode="_-[$$-409]* #,##0.00_ ;_-[$$-409]* \-#,##0.00\ ;_-[$$-409]* &quot;-&quot;??_ ;_-@_ ">
                  <c:v>411.21244999999965</c:v>
                </c:pt>
                <c:pt idx="500" formatCode="_-[$$-409]* #,##0.00_ ;_-[$$-409]* \-#,##0.00\ ;_-[$$-409]* &quot;-&quot;??_ ;_-@_ ">
                  <c:v>410.76359999999971</c:v>
                </c:pt>
                <c:pt idx="501" formatCode="_-[$$-409]* #,##0.00_ ;_-[$$-409]* \-#,##0.00\ ;_-[$$-409]* &quot;-&quot;??_ ;_-@_ ">
                  <c:v>410.35359999999963</c:v>
                </c:pt>
                <c:pt idx="502" formatCode="_-[$$-409]* #,##0.00_ ;_-[$$-409]* \-#,##0.00\ ;_-[$$-409]* &quot;-&quot;??_ ;_-@_ ">
                  <c:v>409.9619999999997</c:v>
                </c:pt>
                <c:pt idx="503" formatCode="_-[$$-409]* #,##0.00_ ;_-[$$-409]* \-#,##0.00\ ;_-[$$-409]* &quot;-&quot;??_ ;_-@_ ">
                  <c:v>409.56099999999969</c:v>
                </c:pt>
                <c:pt idx="504" formatCode="_-[$$-409]* #,##0.00_ ;_-[$$-409]* \-#,##0.00\ ;_-[$$-409]* &quot;-&quot;??_ ;_-@_ ">
                  <c:v>409.1528999999997</c:v>
                </c:pt>
                <c:pt idx="505" formatCode="_-[$$-409]* #,##0.00_ ;_-[$$-409]* \-#,##0.00\ ;_-[$$-409]* &quot;-&quot;??_ ;_-@_ ">
                  <c:v>408.74919999999969</c:v>
                </c:pt>
                <c:pt idx="506" formatCode="_-[$$-409]* #,##0.00_ ;_-[$$-409]* \-#,##0.00\ ;_-[$$-409]* &quot;-&quot;??_ ;_-@_ ">
                  <c:v>408.39719999999977</c:v>
                </c:pt>
                <c:pt idx="507" formatCode="_-[$$-409]* #,##0.00_ ;_-[$$-409]* \-#,##0.00\ ;_-[$$-409]* &quot;-&quot;??_ ;_-@_ ">
                  <c:v>408.10704999999973</c:v>
                </c:pt>
                <c:pt idx="508" formatCode="_-[$$-409]* #,##0.00_ ;_-[$$-409]* \-#,##0.00\ ;_-[$$-409]* &quot;-&quot;??_ ;_-@_ ">
                  <c:v>407.81784999999974</c:v>
                </c:pt>
                <c:pt idx="509" formatCode="_-[$$-409]* #,##0.00_ ;_-[$$-409]* \-#,##0.00\ ;_-[$$-409]* &quot;-&quot;??_ ;_-@_ ">
                  <c:v>407.5161499999997</c:v>
                </c:pt>
                <c:pt idx="510" formatCode="_-[$$-409]* #,##0.00_ ;_-[$$-409]* \-#,##0.00\ ;_-[$$-409]* &quot;-&quot;??_ ;_-@_ ">
                  <c:v>407.32269999999977</c:v>
                </c:pt>
                <c:pt idx="511" formatCode="_-[$$-409]* #,##0.00_ ;_-[$$-409]* \-#,##0.00\ ;_-[$$-409]* &quot;-&quot;??_ ;_-@_ ">
                  <c:v>407.1590499999997</c:v>
                </c:pt>
                <c:pt idx="512" formatCode="_-[$$-409]* #,##0.00_ ;_-[$$-409]* \-#,##0.00\ ;_-[$$-409]* &quot;-&quot;??_ ;_-@_ ">
                  <c:v>406.9248999999997</c:v>
                </c:pt>
                <c:pt idx="513" formatCode="_-[$$-409]* #,##0.00_ ;_-[$$-409]* \-#,##0.00\ ;_-[$$-409]* &quot;-&quot;??_ ;_-@_ ">
                  <c:v>406.66779999999977</c:v>
                </c:pt>
                <c:pt idx="514" formatCode="_-[$$-409]* #,##0.00_ ;_-[$$-409]* \-#,##0.00\ ;_-[$$-409]* &quot;-&quot;??_ ;_-@_ ">
                  <c:v>406.38029999999975</c:v>
                </c:pt>
                <c:pt idx="515" formatCode="_-[$$-409]* #,##0.00_ ;_-[$$-409]* \-#,##0.00\ ;_-[$$-409]* &quot;-&quot;??_ ;_-@_ ">
                  <c:v>406.06474999999978</c:v>
                </c:pt>
                <c:pt idx="516" formatCode="_-[$$-409]* #,##0.00_ ;_-[$$-409]* \-#,##0.00\ ;_-[$$-409]* &quot;-&quot;??_ ;_-@_ ">
                  <c:v>405.81189999999975</c:v>
                </c:pt>
                <c:pt idx="517" formatCode="_-[$$-409]* #,##0.00_ ;_-[$$-409]* \-#,##0.00\ ;_-[$$-409]* &quot;-&quot;??_ ;_-@_ ">
                  <c:v>405.54134999999974</c:v>
                </c:pt>
                <c:pt idx="518" formatCode="_-[$$-409]* #,##0.00_ ;_-[$$-409]* \-#,##0.00\ ;_-[$$-409]* &quot;-&quot;??_ ;_-@_ ">
                  <c:v>405.30454999999972</c:v>
                </c:pt>
                <c:pt idx="519" formatCode="_-[$$-409]* #,##0.00_ ;_-[$$-409]* \-#,##0.00\ ;_-[$$-409]* &quot;-&quot;??_ ;_-@_ ">
                  <c:v>405.06194999999963</c:v>
                </c:pt>
                <c:pt idx="520" formatCode="_-[$$-409]* #,##0.00_ ;_-[$$-409]* \-#,##0.00\ ;_-[$$-409]* &quot;-&quot;??_ ;_-@_ ">
                  <c:v>404.78589999999969</c:v>
                </c:pt>
                <c:pt idx="521" formatCode="_-[$$-409]* #,##0.00_ ;_-[$$-409]* \-#,##0.00\ ;_-[$$-409]* &quot;-&quot;??_ ;_-@_ ">
                  <c:v>404.5188499999997</c:v>
                </c:pt>
                <c:pt idx="522" formatCode="_-[$$-409]* #,##0.00_ ;_-[$$-409]* \-#,##0.00\ ;_-[$$-409]* &quot;-&quot;??_ ;_-@_ ">
                  <c:v>404.29269999999974</c:v>
                </c:pt>
                <c:pt idx="523" formatCode="_-[$$-409]* #,##0.00_ ;_-[$$-409]* \-#,##0.00\ ;_-[$$-409]* &quot;-&quot;??_ ;_-@_ ">
                  <c:v>404.13599999999968</c:v>
                </c:pt>
                <c:pt idx="524" formatCode="_-[$$-409]* #,##0.00_ ;_-[$$-409]* \-#,##0.00\ ;_-[$$-409]* &quot;-&quot;??_ ;_-@_ ">
                  <c:v>403.94239999999974</c:v>
                </c:pt>
                <c:pt idx="525" formatCode="_-[$$-409]* #,##0.00_ ;_-[$$-409]* \-#,##0.00\ ;_-[$$-409]* &quot;-&quot;??_ ;_-@_ ">
                  <c:v>403.74394999999981</c:v>
                </c:pt>
                <c:pt idx="526" formatCode="_-[$$-409]* #,##0.00_ ;_-[$$-409]* \-#,##0.00\ ;_-[$$-409]* &quot;-&quot;??_ ;_-@_ ">
                  <c:v>403.55659999999972</c:v>
                </c:pt>
                <c:pt idx="527" formatCode="_-[$$-409]* #,##0.00_ ;_-[$$-409]* \-#,##0.00\ ;_-[$$-409]* &quot;-&quot;??_ ;_-@_ ">
                  <c:v>403.35459999999972</c:v>
                </c:pt>
                <c:pt idx="528" formatCode="_-[$$-409]* #,##0.00_ ;_-[$$-409]* \-#,##0.00\ ;_-[$$-409]* &quot;-&quot;??_ ;_-@_ ">
                  <c:v>403.17254999999966</c:v>
                </c:pt>
                <c:pt idx="529" formatCode="_-[$$-409]* #,##0.00_ ;_-[$$-409]* \-#,##0.00\ ;_-[$$-409]* &quot;-&quot;??_ ;_-@_ ">
                  <c:v>403.0439999999997</c:v>
                </c:pt>
                <c:pt idx="530" formatCode="_-[$$-409]* #,##0.00_ ;_-[$$-409]* \-#,##0.00\ ;_-[$$-409]* &quot;-&quot;??_ ;_-@_ ">
                  <c:v>402.86889999999971</c:v>
                </c:pt>
                <c:pt idx="531" formatCode="_-[$$-409]* #,##0.00_ ;_-[$$-409]* \-#,##0.00\ ;_-[$$-409]* &quot;-&quot;??_ ;_-@_ ">
                  <c:v>402.67489999999964</c:v>
                </c:pt>
                <c:pt idx="532" formatCode="_-[$$-409]* #,##0.00_ ;_-[$$-409]* \-#,##0.00\ ;_-[$$-409]* &quot;-&quot;??_ ;_-@_ ">
                  <c:v>402.5015999999996</c:v>
                </c:pt>
                <c:pt idx="533" formatCode="_-[$$-409]* #,##0.00_ ;_-[$$-409]* \-#,##0.00\ ;_-[$$-409]* &quot;-&quot;??_ ;_-@_ ">
                  <c:v>402.34869999999961</c:v>
                </c:pt>
                <c:pt idx="534" formatCode="_-[$$-409]* #,##0.00_ ;_-[$$-409]* \-#,##0.00\ ;_-[$$-409]* &quot;-&quot;??_ ;_-@_ ">
                  <c:v>402.1073999999997</c:v>
                </c:pt>
                <c:pt idx="535" formatCode="_-[$$-409]* #,##0.00_ ;_-[$$-409]* \-#,##0.00\ ;_-[$$-409]* &quot;-&quot;??_ ;_-@_ ">
                  <c:v>401.84519999999975</c:v>
                </c:pt>
                <c:pt idx="536" formatCode="_-[$$-409]* #,##0.00_ ;_-[$$-409]* \-#,##0.00\ ;_-[$$-409]* &quot;-&quot;??_ ;_-@_ ">
                  <c:v>401.58444999999972</c:v>
                </c:pt>
                <c:pt idx="537" formatCode="_-[$$-409]* #,##0.00_ ;_-[$$-409]* \-#,##0.00\ ;_-[$$-409]* &quot;-&quot;??_ ;_-@_ ">
                  <c:v>401.3899999999997</c:v>
                </c:pt>
                <c:pt idx="538" formatCode="_-[$$-409]* #,##0.00_ ;_-[$$-409]* \-#,##0.00\ ;_-[$$-409]* &quot;-&quot;??_ ;_-@_ ">
                  <c:v>401.23989999999969</c:v>
                </c:pt>
                <c:pt idx="539" formatCode="_-[$$-409]* #,##0.00_ ;_-[$$-409]* \-#,##0.00\ ;_-[$$-409]* &quot;-&quot;??_ ;_-@_ ">
                  <c:v>401.00644999999969</c:v>
                </c:pt>
                <c:pt idx="540" formatCode="_-[$$-409]* #,##0.00_ ;_-[$$-409]* \-#,##0.00\ ;_-[$$-409]* &quot;-&quot;??_ ;_-@_ ">
                  <c:v>400.79359999999963</c:v>
                </c:pt>
                <c:pt idx="541" formatCode="_-[$$-409]* #,##0.00_ ;_-[$$-409]* \-#,##0.00\ ;_-[$$-409]* &quot;-&quot;??_ ;_-@_ ">
                  <c:v>400.60024999999956</c:v>
                </c:pt>
                <c:pt idx="542" formatCode="_-[$$-409]* #,##0.00_ ;_-[$$-409]* \-#,##0.00\ ;_-[$$-409]* &quot;-&quot;??_ ;_-@_ ">
                  <c:v>400.39854999999966</c:v>
                </c:pt>
                <c:pt idx="543" formatCode="_-[$$-409]* #,##0.00_ ;_-[$$-409]* \-#,##0.00\ ;_-[$$-409]* &quot;-&quot;??_ ;_-@_ ">
                  <c:v>400.18489999999969</c:v>
                </c:pt>
                <c:pt idx="544" formatCode="_-[$$-409]* #,##0.00_ ;_-[$$-409]* \-#,##0.00\ ;_-[$$-409]* &quot;-&quot;??_ ;_-@_ ">
                  <c:v>399.9189499999996</c:v>
                </c:pt>
                <c:pt idx="545" formatCode="_-[$$-409]* #,##0.00_ ;_-[$$-409]* \-#,##0.00\ ;_-[$$-409]* &quot;-&quot;??_ ;_-@_ ">
                  <c:v>399.61769999999967</c:v>
                </c:pt>
                <c:pt idx="546" formatCode="_-[$$-409]* #,##0.00_ ;_-[$$-409]* \-#,##0.00\ ;_-[$$-409]* &quot;-&quot;??_ ;_-@_ ">
                  <c:v>399.31389999999953</c:v>
                </c:pt>
                <c:pt idx="547" formatCode="_-[$$-409]* #,##0.00_ ;_-[$$-409]* \-#,##0.00\ ;_-[$$-409]* &quot;-&quot;??_ ;_-@_ ">
                  <c:v>398.98884999999967</c:v>
                </c:pt>
                <c:pt idx="548" formatCode="_-[$$-409]* #,##0.00_ ;_-[$$-409]* \-#,##0.00\ ;_-[$$-409]* &quot;-&quot;??_ ;_-@_ ">
                  <c:v>398.68129999999968</c:v>
                </c:pt>
                <c:pt idx="549" formatCode="_-[$$-409]* #,##0.00_ ;_-[$$-409]* \-#,##0.00\ ;_-[$$-409]* &quot;-&quot;??_ ;_-@_ ">
                  <c:v>398.40159999999975</c:v>
                </c:pt>
                <c:pt idx="550" formatCode="_-[$$-409]* #,##0.00_ ;_-[$$-409]* \-#,##0.00\ ;_-[$$-409]* &quot;-&quot;??_ ;_-@_ ">
                  <c:v>398.10204999999974</c:v>
                </c:pt>
                <c:pt idx="551" formatCode="_-[$$-409]* #,##0.00_ ;_-[$$-409]* \-#,##0.00\ ;_-[$$-409]* &quot;-&quot;??_ ;_-@_ ">
                  <c:v>397.81619999999975</c:v>
                </c:pt>
                <c:pt idx="552" formatCode="_-[$$-409]* #,##0.00_ ;_-[$$-409]* \-#,##0.00\ ;_-[$$-409]* &quot;-&quot;??_ ;_-@_ ">
                  <c:v>397.52144999999985</c:v>
                </c:pt>
                <c:pt idx="553" formatCode="_-[$$-409]* #,##0.00_ ;_-[$$-409]* \-#,##0.00\ ;_-[$$-409]* &quot;-&quot;??_ ;_-@_ ">
                  <c:v>397.2061999999998</c:v>
                </c:pt>
                <c:pt idx="554" formatCode="_-[$$-409]* #,##0.00_ ;_-[$$-409]* \-#,##0.00\ ;_-[$$-409]* &quot;-&quot;??_ ;_-@_ ">
                  <c:v>396.90154999999982</c:v>
                </c:pt>
                <c:pt idx="555" formatCode="_-[$$-409]* #,##0.00_ ;_-[$$-409]* \-#,##0.00\ ;_-[$$-409]* &quot;-&quot;??_ ;_-@_ ">
                  <c:v>396.60079999999988</c:v>
                </c:pt>
                <c:pt idx="556" formatCode="_-[$$-409]* #,##0.00_ ;_-[$$-409]* \-#,##0.00\ ;_-[$$-409]* &quot;-&quot;??_ ;_-@_ ">
                  <c:v>396.2793999999999</c:v>
                </c:pt>
                <c:pt idx="557" formatCode="_-[$$-409]* #,##0.00_ ;_-[$$-409]* \-#,##0.00\ ;_-[$$-409]* &quot;-&quot;??_ ;_-@_ ">
                  <c:v>395.97479999999996</c:v>
                </c:pt>
                <c:pt idx="558" formatCode="_-[$$-409]* #,##0.00_ ;_-[$$-409]* \-#,##0.00\ ;_-[$$-409]* &quot;-&quot;??_ ;_-@_ ">
                  <c:v>395.72280000000006</c:v>
                </c:pt>
                <c:pt idx="559" formatCode="_-[$$-409]* #,##0.00_ ;_-[$$-409]* \-#,##0.00\ ;_-[$$-409]* &quot;-&quot;??_ ;_-@_ ">
                  <c:v>395.49120000000005</c:v>
                </c:pt>
                <c:pt idx="560" formatCode="_-[$$-409]* #,##0.00_ ;_-[$$-409]* \-#,##0.00\ ;_-[$$-409]* &quot;-&quot;??_ ;_-@_ ">
                  <c:v>395.24910000000006</c:v>
                </c:pt>
                <c:pt idx="561" formatCode="_-[$$-409]* #,##0.00_ ;_-[$$-409]* \-#,##0.00\ ;_-[$$-409]* &quot;-&quot;??_ ;_-@_ ">
                  <c:v>395.03500000000003</c:v>
                </c:pt>
                <c:pt idx="562" formatCode="_-[$$-409]* #,##0.00_ ;_-[$$-409]* \-#,##0.00\ ;_-[$$-409]* &quot;-&quot;??_ ;_-@_ ">
                  <c:v>394.86379999999997</c:v>
                </c:pt>
                <c:pt idx="563" formatCode="_-[$$-409]* #,##0.00_ ;_-[$$-409]* \-#,##0.00\ ;_-[$$-409]* &quot;-&quot;??_ ;_-@_ ">
                  <c:v>394.67529999999999</c:v>
                </c:pt>
                <c:pt idx="564" formatCode="_-[$$-409]* #,##0.00_ ;_-[$$-409]* \-#,##0.00\ ;_-[$$-409]* &quot;-&quot;??_ ;_-@_ ">
                  <c:v>394.49115</c:v>
                </c:pt>
                <c:pt idx="565" formatCode="_-[$$-409]* #,##0.00_ ;_-[$$-409]* \-#,##0.00\ ;_-[$$-409]* &quot;-&quot;??_ ;_-@_ ">
                  <c:v>394.3562</c:v>
                </c:pt>
                <c:pt idx="566" formatCode="_-[$$-409]* #,##0.00_ ;_-[$$-409]* \-#,##0.00\ ;_-[$$-409]* &quot;-&quot;??_ ;_-@_ ">
                  <c:v>394.25024999999999</c:v>
                </c:pt>
                <c:pt idx="567" formatCode="_-[$$-409]* #,##0.00_ ;_-[$$-409]* \-#,##0.00\ ;_-[$$-409]* &quot;-&quot;??_ ;_-@_ ">
                  <c:v>394.0868000000001</c:v>
                </c:pt>
                <c:pt idx="568" formatCode="_-[$$-409]* #,##0.00_ ;_-[$$-409]* \-#,##0.00\ ;_-[$$-409]* &quot;-&quot;??_ ;_-@_ ">
                  <c:v>393.91239999999999</c:v>
                </c:pt>
                <c:pt idx="569" formatCode="_-[$$-409]* #,##0.00_ ;_-[$$-409]* \-#,##0.00\ ;_-[$$-409]* &quot;-&quot;??_ ;_-@_ ">
                  <c:v>393.79804999999999</c:v>
                </c:pt>
                <c:pt idx="570" formatCode="_-[$$-409]* #,##0.00_ ;_-[$$-409]* \-#,##0.00\ ;_-[$$-409]* &quot;-&quot;??_ ;_-@_ ">
                  <c:v>393.72109999999998</c:v>
                </c:pt>
                <c:pt idx="571" formatCode="_-[$$-409]* #,##0.00_ ;_-[$$-409]* \-#,##0.00\ ;_-[$$-409]* &quot;-&quot;??_ ;_-@_ ">
                  <c:v>393.61400000000003</c:v>
                </c:pt>
                <c:pt idx="572" formatCode="_-[$$-409]* #,##0.00_ ;_-[$$-409]* \-#,##0.00\ ;_-[$$-409]* &quot;-&quot;??_ ;_-@_ ">
                  <c:v>393.57369999999997</c:v>
                </c:pt>
                <c:pt idx="573" formatCode="_-[$$-409]* #,##0.00_ ;_-[$$-409]* \-#,##0.00\ ;_-[$$-409]* &quot;-&quot;??_ ;_-@_ ">
                  <c:v>393.55149999999992</c:v>
                </c:pt>
                <c:pt idx="574" formatCode="_-[$$-409]* #,##0.00_ ;_-[$$-409]* \-#,##0.00\ ;_-[$$-409]* &quot;-&quot;??_ ;_-@_ ">
                  <c:v>393.47564999999997</c:v>
                </c:pt>
                <c:pt idx="575" formatCode="_-[$$-409]* #,##0.00_ ;_-[$$-409]* \-#,##0.00\ ;_-[$$-409]* &quot;-&quot;??_ ;_-@_ ">
                  <c:v>393.48554999999993</c:v>
                </c:pt>
                <c:pt idx="576" formatCode="_-[$$-409]* #,##0.00_ ;_-[$$-409]* \-#,##0.00\ ;_-[$$-409]* &quot;-&quot;??_ ;_-@_ ">
                  <c:v>393.45455000000004</c:v>
                </c:pt>
                <c:pt idx="577" formatCode="_-[$$-409]* #,##0.00_ ;_-[$$-409]* \-#,##0.00\ ;_-[$$-409]* &quot;-&quot;??_ ;_-@_ ">
                  <c:v>393.40894999999995</c:v>
                </c:pt>
                <c:pt idx="578" formatCode="_-[$$-409]* #,##0.00_ ;_-[$$-409]* \-#,##0.00\ ;_-[$$-409]* &quot;-&quot;??_ ;_-@_ ">
                  <c:v>393.25909999999999</c:v>
                </c:pt>
                <c:pt idx="579" formatCode="_-[$$-409]* #,##0.00_ ;_-[$$-409]* \-#,##0.00\ ;_-[$$-409]* &quot;-&quot;??_ ;_-@_ ">
                  <c:v>393.18274999999994</c:v>
                </c:pt>
                <c:pt idx="580" formatCode="_-[$$-409]* #,##0.00_ ;_-[$$-409]* \-#,##0.00\ ;_-[$$-409]* &quot;-&quot;??_ ;_-@_ ">
                  <c:v>393.12934999999993</c:v>
                </c:pt>
                <c:pt idx="581" formatCode="_-[$$-409]* #,##0.00_ ;_-[$$-409]* \-#,##0.00\ ;_-[$$-409]* &quot;-&quot;??_ ;_-@_ ">
                  <c:v>393.12039999999996</c:v>
                </c:pt>
                <c:pt idx="582" formatCode="_-[$$-409]* #,##0.00_ ;_-[$$-409]* \-#,##0.00\ ;_-[$$-409]* &quot;-&quot;??_ ;_-@_ ">
                  <c:v>393.11359999999991</c:v>
                </c:pt>
                <c:pt idx="583" formatCode="_-[$$-409]* #,##0.00_ ;_-[$$-409]* \-#,##0.00\ ;_-[$$-409]* &quot;-&quot;??_ ;_-@_ ">
                  <c:v>393.13114999999993</c:v>
                </c:pt>
                <c:pt idx="584" formatCode="_-[$$-409]* #,##0.00_ ;_-[$$-409]* \-#,##0.00\ ;_-[$$-409]* &quot;-&quot;??_ ;_-@_ ">
                  <c:v>393.14314999999988</c:v>
                </c:pt>
                <c:pt idx="585" formatCode="_-[$$-409]* #,##0.00_ ;_-[$$-409]* \-#,##0.00\ ;_-[$$-409]* &quot;-&quot;??_ ;_-@_ ">
                  <c:v>393.12359999999984</c:v>
                </c:pt>
                <c:pt idx="586" formatCode="_-[$$-409]* #,##0.00_ ;_-[$$-409]* \-#,##0.00\ ;_-[$$-409]* &quot;-&quot;??_ ;_-@_ ">
                  <c:v>393.14409999999981</c:v>
                </c:pt>
                <c:pt idx="587" formatCode="_-[$$-409]* #,##0.00_ ;_-[$$-409]* \-#,##0.00\ ;_-[$$-409]* &quot;-&quot;??_ ;_-@_ ">
                  <c:v>393.12484999999981</c:v>
                </c:pt>
                <c:pt idx="588" formatCode="_-[$$-409]* #,##0.00_ ;_-[$$-409]* \-#,##0.00\ ;_-[$$-409]* &quot;-&quot;??_ ;_-@_ ">
                  <c:v>393.15689999999978</c:v>
                </c:pt>
                <c:pt idx="589" formatCode="_-[$$-409]* #,##0.00_ ;_-[$$-409]* \-#,##0.00\ ;_-[$$-409]* &quot;-&quot;??_ ;_-@_ ">
                  <c:v>393.20419999999979</c:v>
                </c:pt>
                <c:pt idx="590" formatCode="_-[$$-409]* #,##0.00_ ;_-[$$-409]* \-#,##0.00\ ;_-[$$-409]* &quot;-&quot;??_ ;_-@_ ">
                  <c:v>393.21384999999964</c:v>
                </c:pt>
                <c:pt idx="591" formatCode="_-[$$-409]* #,##0.00_ ;_-[$$-409]* \-#,##0.00\ ;_-[$$-409]* &quot;-&quot;??_ ;_-@_ ">
                  <c:v>393.15879999999976</c:v>
                </c:pt>
                <c:pt idx="592" formatCode="_-[$$-409]* #,##0.00_ ;_-[$$-409]* \-#,##0.00\ ;_-[$$-409]* &quot;-&quot;??_ ;_-@_ ">
                  <c:v>393.11614999999966</c:v>
                </c:pt>
                <c:pt idx="593" formatCode="_-[$$-409]* #,##0.00_ ;_-[$$-409]* \-#,##0.00\ ;_-[$$-409]* &quot;-&quot;??_ ;_-@_ ">
                  <c:v>393.08794999999969</c:v>
                </c:pt>
                <c:pt idx="594" formatCode="_-[$$-409]* #,##0.00_ ;_-[$$-409]* \-#,##0.00\ ;_-[$$-409]* &quot;-&quot;??_ ;_-@_ ">
                  <c:v>393.00779999999969</c:v>
                </c:pt>
                <c:pt idx="595" formatCode="_-[$$-409]* #,##0.00_ ;_-[$$-409]* \-#,##0.00\ ;_-[$$-409]* &quot;-&quot;??_ ;_-@_ ">
                  <c:v>392.91204999999974</c:v>
                </c:pt>
                <c:pt idx="596" formatCode="_-[$$-409]* #,##0.00_ ;_-[$$-409]* \-#,##0.00\ ;_-[$$-409]* &quot;-&quot;??_ ;_-@_ ">
                  <c:v>392.79734999999977</c:v>
                </c:pt>
                <c:pt idx="597" formatCode="_-[$$-409]* #,##0.00_ ;_-[$$-409]* \-#,##0.00\ ;_-[$$-409]* &quot;-&quot;??_ ;_-@_ ">
                  <c:v>392.71809999999977</c:v>
                </c:pt>
                <c:pt idx="598" formatCode="_-[$$-409]* #,##0.00_ ;_-[$$-409]* \-#,##0.00\ ;_-[$$-409]* &quot;-&quot;??_ ;_-@_ ">
                  <c:v>392.62569999999982</c:v>
                </c:pt>
                <c:pt idx="599" formatCode="_-[$$-409]* #,##0.00_ ;_-[$$-409]* \-#,##0.00\ ;_-[$$-409]* &quot;-&quot;??_ ;_-@_ ">
                  <c:v>392.53354999999982</c:v>
                </c:pt>
                <c:pt idx="600" formatCode="_-[$$-409]* #,##0.00_ ;_-[$$-409]* \-#,##0.00\ ;_-[$$-409]* &quot;-&quot;??_ ;_-@_ ">
                  <c:v>392.44044999999977</c:v>
                </c:pt>
                <c:pt idx="601" formatCode="_-[$$-409]* #,##0.00_ ;_-[$$-409]* \-#,##0.00\ ;_-[$$-409]* &quot;-&quot;??_ ;_-@_ ">
                  <c:v>392.34049999999979</c:v>
                </c:pt>
                <c:pt idx="602" formatCode="_-[$$-409]* #,##0.00_ ;_-[$$-409]* \-#,##0.00\ ;_-[$$-409]* &quot;-&quot;??_ ;_-@_ ">
                  <c:v>392.26684999999981</c:v>
                </c:pt>
                <c:pt idx="603" formatCode="_-[$$-409]* #,##0.00_ ;_-[$$-409]* \-#,##0.00\ ;_-[$$-409]* &quot;-&quot;??_ ;_-@_ ">
                  <c:v>392.23764999999992</c:v>
                </c:pt>
                <c:pt idx="604" formatCode="_-[$$-409]* #,##0.00_ ;_-[$$-409]* \-#,##0.00\ ;_-[$$-409]* &quot;-&quot;??_ ;_-@_ ">
                  <c:v>392.29540000000003</c:v>
                </c:pt>
                <c:pt idx="605" formatCode="_-[$$-409]* #,##0.00_ ;_-[$$-409]* \-#,##0.00\ ;_-[$$-409]* &quot;-&quot;??_ ;_-@_ ">
                  <c:v>392.43889999999999</c:v>
                </c:pt>
                <c:pt idx="606" formatCode="_-[$$-409]* #,##0.00_ ;_-[$$-409]* \-#,##0.00\ ;_-[$$-409]* &quot;-&quot;??_ ;_-@_ ">
                  <c:v>392.61650000000003</c:v>
                </c:pt>
                <c:pt idx="607" formatCode="_-[$$-409]* #,##0.00_ ;_-[$$-409]* \-#,##0.00\ ;_-[$$-409]* &quot;-&quot;??_ ;_-@_ ">
                  <c:v>392.77525000000003</c:v>
                </c:pt>
                <c:pt idx="608" formatCode="_-[$$-409]* #,##0.00_ ;_-[$$-409]* \-#,##0.00\ ;_-[$$-409]* &quot;-&quot;??_ ;_-@_ ">
                  <c:v>392.9853500000001</c:v>
                </c:pt>
                <c:pt idx="609" formatCode="_-[$$-409]* #,##0.00_ ;_-[$$-409]* \-#,##0.00\ ;_-[$$-409]* &quot;-&quot;??_ ;_-@_ ">
                  <c:v>393.19405000000012</c:v>
                </c:pt>
                <c:pt idx="610" formatCode="_-[$$-409]* #,##0.00_ ;_-[$$-409]* \-#,##0.00\ ;_-[$$-409]* &quot;-&quot;??_ ;_-@_ ">
                  <c:v>393.3646500000001</c:v>
                </c:pt>
                <c:pt idx="611" formatCode="_-[$$-409]* #,##0.00_ ;_-[$$-409]* \-#,##0.00\ ;_-[$$-409]* &quot;-&quot;??_ ;_-@_ ">
                  <c:v>393.54075000000012</c:v>
                </c:pt>
                <c:pt idx="612" formatCode="_-[$$-409]* #,##0.00_ ;_-[$$-409]* \-#,##0.00\ ;_-[$$-409]* &quot;-&quot;??_ ;_-@_ ">
                  <c:v>393.69905000000011</c:v>
                </c:pt>
                <c:pt idx="613" formatCode="_-[$$-409]* #,##0.00_ ;_-[$$-409]* \-#,##0.00\ ;_-[$$-409]* &quot;-&quot;??_ ;_-@_ ">
                  <c:v>393.78890000000013</c:v>
                </c:pt>
                <c:pt idx="614" formatCode="_-[$$-409]* #,##0.00_ ;_-[$$-409]* \-#,##0.00\ ;_-[$$-409]* &quot;-&quot;??_ ;_-@_ ">
                  <c:v>393.91330000000016</c:v>
                </c:pt>
                <c:pt idx="615" formatCode="_-[$$-409]* #,##0.00_ ;_-[$$-409]* \-#,##0.00\ ;_-[$$-409]* &quot;-&quot;??_ ;_-@_ ">
                  <c:v>394.0723500000002</c:v>
                </c:pt>
                <c:pt idx="616" formatCode="_-[$$-409]* #,##0.00_ ;_-[$$-409]* \-#,##0.00\ ;_-[$$-409]* &quot;-&quot;??_ ;_-@_ ">
                  <c:v>394.24035000000026</c:v>
                </c:pt>
                <c:pt idx="617" formatCode="_-[$$-409]* #,##0.00_ ;_-[$$-409]* \-#,##0.00\ ;_-[$$-409]* &quot;-&quot;??_ ;_-@_ ">
                  <c:v>394.42515000000026</c:v>
                </c:pt>
                <c:pt idx="618" formatCode="_-[$$-409]* #,##0.00_ ;_-[$$-409]* \-#,##0.00\ ;_-[$$-409]* &quot;-&quot;??_ ;_-@_ ">
                  <c:v>394.58965000000035</c:v>
                </c:pt>
                <c:pt idx="619" formatCode="_-[$$-409]* #,##0.00_ ;_-[$$-409]* \-#,##0.00\ ;_-[$$-409]* &quot;-&quot;??_ ;_-@_ ">
                  <c:v>394.73925000000025</c:v>
                </c:pt>
                <c:pt idx="620" formatCode="_-[$$-409]* #,##0.00_ ;_-[$$-409]* \-#,##0.00\ ;_-[$$-409]* &quot;-&quot;??_ ;_-@_ ">
                  <c:v>394.88400000000024</c:v>
                </c:pt>
                <c:pt idx="621" formatCode="_-[$$-409]* #,##0.00_ ;_-[$$-409]* \-#,##0.00\ ;_-[$$-409]* &quot;-&quot;??_ ;_-@_ ">
                  <c:v>395.0022000000003</c:v>
                </c:pt>
                <c:pt idx="622" formatCode="_-[$$-409]* #,##0.00_ ;_-[$$-409]* \-#,##0.00\ ;_-[$$-409]* &quot;-&quot;??_ ;_-@_ ">
                  <c:v>395.08925000000033</c:v>
                </c:pt>
                <c:pt idx="623" formatCode="_-[$$-409]* #,##0.00_ ;_-[$$-409]* \-#,##0.00\ ;_-[$$-409]* &quot;-&quot;??_ ;_-@_ ">
                  <c:v>395.18990000000025</c:v>
                </c:pt>
                <c:pt idx="624" formatCode="_-[$$-409]* #,##0.00_ ;_-[$$-409]* \-#,##0.00\ ;_-[$$-409]* &quot;-&quot;??_ ;_-@_ ">
                  <c:v>395.34780000000029</c:v>
                </c:pt>
                <c:pt idx="625" formatCode="_-[$$-409]* #,##0.00_ ;_-[$$-409]* \-#,##0.00\ ;_-[$$-409]* &quot;-&quot;??_ ;_-@_ ">
                  <c:v>395.53330000000022</c:v>
                </c:pt>
                <c:pt idx="626" formatCode="_-[$$-409]* #,##0.00_ ;_-[$$-409]* \-#,##0.00\ ;_-[$$-409]* &quot;-&quot;??_ ;_-@_ ">
                  <c:v>395.72130000000027</c:v>
                </c:pt>
                <c:pt idx="627" formatCode="_-[$$-409]* #,##0.00_ ;_-[$$-409]* \-#,##0.00\ ;_-[$$-409]* &quot;-&quot;??_ ;_-@_ ">
                  <c:v>395.84985000000029</c:v>
                </c:pt>
                <c:pt idx="628" formatCode="_-[$$-409]* #,##0.00_ ;_-[$$-409]* \-#,##0.00\ ;_-[$$-409]* &quot;-&quot;??_ ;_-@_ ">
                  <c:v>395.98020000000025</c:v>
                </c:pt>
                <c:pt idx="629" formatCode="_-[$$-409]* #,##0.00_ ;_-[$$-409]* \-#,##0.00\ ;_-[$$-409]* &quot;-&quot;??_ ;_-@_ ">
                  <c:v>396.04450000000026</c:v>
                </c:pt>
                <c:pt idx="630" formatCode="_-[$$-409]* #,##0.00_ ;_-[$$-409]* \-#,##0.00\ ;_-[$$-409]* &quot;-&quot;??_ ;_-@_ ">
                  <c:v>396.13380000000029</c:v>
                </c:pt>
                <c:pt idx="631" formatCode="_-[$$-409]* #,##0.00_ ;_-[$$-409]* \-#,##0.00\ ;_-[$$-409]* &quot;-&quot;??_ ;_-@_ ">
                  <c:v>396.20355000000023</c:v>
                </c:pt>
                <c:pt idx="632" formatCode="_-[$$-409]* #,##0.00_ ;_-[$$-409]* \-#,##0.00\ ;_-[$$-409]* &quot;-&quot;??_ ;_-@_ ">
                  <c:v>396.28275000000025</c:v>
                </c:pt>
                <c:pt idx="633" formatCode="_-[$$-409]* #,##0.00_ ;_-[$$-409]* \-#,##0.00\ ;_-[$$-409]* &quot;-&quot;??_ ;_-@_ ">
                  <c:v>396.36915000000039</c:v>
                </c:pt>
                <c:pt idx="634" formatCode="_-[$$-409]* #,##0.00_ ;_-[$$-409]* \-#,##0.00\ ;_-[$$-409]* &quot;-&quot;??_ ;_-@_ ">
                  <c:v>396.47535000000033</c:v>
                </c:pt>
                <c:pt idx="635" formatCode="_-[$$-409]* #,##0.00_ ;_-[$$-409]* \-#,##0.00\ ;_-[$$-409]* &quot;-&quot;??_ ;_-@_ ">
                  <c:v>396.52810000000034</c:v>
                </c:pt>
                <c:pt idx="636" formatCode="_-[$$-409]* #,##0.00_ ;_-[$$-409]* \-#,##0.00\ ;_-[$$-409]* &quot;-&quot;??_ ;_-@_ ">
                  <c:v>396.56280000000021</c:v>
                </c:pt>
                <c:pt idx="637" formatCode="_-[$$-409]* #,##0.00_ ;_-[$$-409]* \-#,##0.00\ ;_-[$$-409]* &quot;-&quot;??_ ;_-@_ ">
                  <c:v>396.55410000000018</c:v>
                </c:pt>
                <c:pt idx="638" formatCode="_-[$$-409]* #,##0.00_ ;_-[$$-409]* \-#,##0.00\ ;_-[$$-409]* &quot;-&quot;??_ ;_-@_ ">
                  <c:v>396.57640000000015</c:v>
                </c:pt>
                <c:pt idx="639" formatCode="_-[$$-409]* #,##0.00_ ;_-[$$-409]* \-#,##0.00\ ;_-[$$-409]* &quot;-&quot;??_ ;_-@_ ">
                  <c:v>396.63225000000011</c:v>
                </c:pt>
                <c:pt idx="640" formatCode="_-[$$-409]* #,##0.00_ ;_-[$$-409]* \-#,##0.00\ ;_-[$$-409]* &quot;-&quot;??_ ;_-@_ ">
                  <c:v>396.65310000000011</c:v>
                </c:pt>
                <c:pt idx="641" formatCode="_-[$$-409]* #,##0.00_ ;_-[$$-409]* \-#,##0.00\ ;_-[$$-409]* &quot;-&quot;??_ ;_-@_ ">
                  <c:v>396.67620000000011</c:v>
                </c:pt>
                <c:pt idx="642" formatCode="_-[$$-409]* #,##0.00_ ;_-[$$-409]* \-#,##0.00\ ;_-[$$-409]* &quot;-&quot;??_ ;_-@_ ">
                  <c:v>396.67930000000001</c:v>
                </c:pt>
                <c:pt idx="643" formatCode="_-[$$-409]* #,##0.00_ ;_-[$$-409]* \-#,##0.00\ ;_-[$$-409]* &quot;-&quot;??_ ;_-@_ ">
                  <c:v>396.66979999999995</c:v>
                </c:pt>
                <c:pt idx="644" formatCode="_-[$$-409]* #,##0.00_ ;_-[$$-409]* \-#,##0.00\ ;_-[$$-409]* &quot;-&quot;??_ ;_-@_ ">
                  <c:v>396.6862999999999</c:v>
                </c:pt>
                <c:pt idx="645" formatCode="_-[$$-409]* #,##0.00_ ;_-[$$-409]* \-#,##0.00\ ;_-[$$-409]* &quot;-&quot;??_ ;_-@_ ">
                  <c:v>396.68644999999998</c:v>
                </c:pt>
                <c:pt idx="646" formatCode="_-[$$-409]* #,##0.00_ ;_-[$$-409]* \-#,##0.00\ ;_-[$$-409]* &quot;-&quot;??_ ;_-@_ ">
                  <c:v>396.68739999999991</c:v>
                </c:pt>
                <c:pt idx="647" formatCode="_-[$$-409]* #,##0.00_ ;_-[$$-409]* \-#,##0.00\ ;_-[$$-409]* &quot;-&quot;??_ ;_-@_ ">
                  <c:v>396.64114999999998</c:v>
                </c:pt>
                <c:pt idx="648" formatCode="_-[$$-409]* #,##0.00_ ;_-[$$-409]* \-#,##0.00\ ;_-[$$-409]* &quot;-&quot;??_ ;_-@_ ">
                  <c:v>396.60594999999995</c:v>
                </c:pt>
                <c:pt idx="649" formatCode="_-[$$-409]* #,##0.00_ ;_-[$$-409]* \-#,##0.00\ ;_-[$$-409]* &quot;-&quot;??_ ;_-@_ ">
                  <c:v>396.59704999999997</c:v>
                </c:pt>
                <c:pt idx="650" formatCode="_-[$$-409]* #,##0.00_ ;_-[$$-409]* \-#,##0.00\ ;_-[$$-409]* &quot;-&quot;??_ ;_-@_ ">
                  <c:v>396.59930000000003</c:v>
                </c:pt>
                <c:pt idx="651" formatCode="_-[$$-409]* #,##0.00_ ;_-[$$-409]* \-#,##0.00\ ;_-[$$-409]* &quot;-&quot;??_ ;_-@_ ">
                  <c:v>396.6</c:v>
                </c:pt>
                <c:pt idx="652" formatCode="_-[$$-409]* #,##0.00_ ;_-[$$-409]* \-#,##0.00\ ;_-[$$-409]* &quot;-&quot;??_ ;_-@_ ">
                  <c:v>396.62204999999994</c:v>
                </c:pt>
                <c:pt idx="653" formatCode="_-[$$-409]* #,##0.00_ ;_-[$$-409]* \-#,##0.00\ ;_-[$$-409]* &quot;-&quot;??_ ;_-@_ ">
                  <c:v>396.70095000000003</c:v>
                </c:pt>
                <c:pt idx="654" formatCode="_-[$$-409]* #,##0.00_ ;_-[$$-409]* \-#,##0.00\ ;_-[$$-409]* &quot;-&quot;??_ ;_-@_ ">
                  <c:v>396.78869999999995</c:v>
                </c:pt>
                <c:pt idx="655" formatCode="_-[$$-409]* #,##0.00_ ;_-[$$-409]* \-#,##0.00\ ;_-[$$-409]* &quot;-&quot;??_ ;_-@_ ">
                  <c:v>396.88934999999992</c:v>
                </c:pt>
                <c:pt idx="656" formatCode="_-[$$-409]* #,##0.00_ ;_-[$$-409]* \-#,##0.00\ ;_-[$$-409]* &quot;-&quot;??_ ;_-@_ ">
                  <c:v>396.97509999999994</c:v>
                </c:pt>
                <c:pt idx="657" formatCode="_-[$$-409]* #,##0.00_ ;_-[$$-409]* \-#,##0.00\ ;_-[$$-409]* &quot;-&quot;??_ ;_-@_ ">
                  <c:v>397.13444999999984</c:v>
                </c:pt>
                <c:pt idx="658" formatCode="_-[$$-409]* #,##0.00_ ;_-[$$-409]* \-#,##0.00\ ;_-[$$-409]* &quot;-&quot;??_ ;_-@_ ">
                  <c:v>397.33429999999993</c:v>
                </c:pt>
                <c:pt idx="659" formatCode="_-[$$-409]* #,##0.00_ ;_-[$$-409]* \-#,##0.00\ ;_-[$$-409]* &quot;-&quot;??_ ;_-@_ ">
                  <c:v>397.54055</c:v>
                </c:pt>
                <c:pt idx="660" formatCode="_-[$$-409]* #,##0.00_ ;_-[$$-409]* \-#,##0.00\ ;_-[$$-409]* &quot;-&quot;??_ ;_-@_ ">
                  <c:v>397.75054999999998</c:v>
                </c:pt>
                <c:pt idx="661" formatCode="_-[$$-409]* #,##0.00_ ;_-[$$-409]* \-#,##0.00\ ;_-[$$-409]* &quot;-&quot;??_ ;_-@_ ">
                  <c:v>397.94314999999995</c:v>
                </c:pt>
                <c:pt idx="662" formatCode="_-[$$-409]* #,##0.00_ ;_-[$$-409]* \-#,##0.00\ ;_-[$$-409]* &quot;-&quot;??_ ;_-@_ ">
                  <c:v>398.16449999999992</c:v>
                </c:pt>
                <c:pt idx="663" formatCode="_-[$$-409]* #,##0.00_ ;_-[$$-409]* \-#,##0.00\ ;_-[$$-409]* &quot;-&quot;??_ ;_-@_ ">
                  <c:v>398.3767499999999</c:v>
                </c:pt>
                <c:pt idx="664" formatCode="_-[$$-409]* #,##0.00_ ;_-[$$-409]* \-#,##0.00\ ;_-[$$-409]* &quot;-&quot;??_ ;_-@_ ">
                  <c:v>398.54504999999989</c:v>
                </c:pt>
                <c:pt idx="665" formatCode="_-[$$-409]* #,##0.00_ ;_-[$$-409]* \-#,##0.00\ ;_-[$$-409]* &quot;-&quot;??_ ;_-@_ ">
                  <c:v>398.72399999999988</c:v>
                </c:pt>
                <c:pt idx="666" formatCode="_-[$$-409]* #,##0.00_ ;_-[$$-409]* \-#,##0.00\ ;_-[$$-409]* &quot;-&quot;??_ ;_-@_ ">
                  <c:v>398.87294999999989</c:v>
                </c:pt>
                <c:pt idx="667" formatCode="_-[$$-409]* #,##0.00_ ;_-[$$-409]* \-#,##0.00\ ;_-[$$-409]* &quot;-&quot;??_ ;_-@_ ">
                  <c:v>399.00864999999982</c:v>
                </c:pt>
                <c:pt idx="668" formatCode="_-[$$-409]* #,##0.00_ ;_-[$$-409]* \-#,##0.00\ ;_-[$$-409]* &quot;-&quot;??_ ;_-@_ ">
                  <c:v>399.25954999999988</c:v>
                </c:pt>
                <c:pt idx="669" formatCode="_-[$$-409]* #,##0.00_ ;_-[$$-409]* \-#,##0.00\ ;_-[$$-409]* &quot;-&quot;??_ ;_-@_ ">
                  <c:v>399.50549999999987</c:v>
                </c:pt>
                <c:pt idx="670" formatCode="_-[$$-409]* #,##0.00_ ;_-[$$-409]* \-#,##0.00\ ;_-[$$-409]* &quot;-&quot;??_ ;_-@_ ">
                  <c:v>399.77054999999996</c:v>
                </c:pt>
                <c:pt idx="671" formatCode="_-[$$-409]* #,##0.00_ ;_-[$$-409]* \-#,##0.00\ ;_-[$$-409]* &quot;-&quot;??_ ;_-@_ ">
                  <c:v>400.04104999999998</c:v>
                </c:pt>
                <c:pt idx="672" formatCode="_-[$$-409]* #,##0.00_ ;_-[$$-409]* \-#,##0.00\ ;_-[$$-409]* &quot;-&quot;??_ ;_-@_ ">
                  <c:v>400.29105000000004</c:v>
                </c:pt>
                <c:pt idx="673" formatCode="_-[$$-409]* #,##0.00_ ;_-[$$-409]* \-#,##0.00\ ;_-[$$-409]* &quot;-&quot;??_ ;_-@_ ">
                  <c:v>400.56890000000004</c:v>
                </c:pt>
                <c:pt idx="674" formatCode="_-[$$-409]* #,##0.00_ ;_-[$$-409]* \-#,##0.00\ ;_-[$$-409]* &quot;-&quot;??_ ;_-@_ ">
                  <c:v>400.89425000000017</c:v>
                </c:pt>
                <c:pt idx="675" formatCode="_-[$$-409]* #,##0.00_ ;_-[$$-409]* \-#,##0.00\ ;_-[$$-409]* &quot;-&quot;??_ ;_-@_ ">
                  <c:v>401.25325000000021</c:v>
                </c:pt>
                <c:pt idx="676" formatCode="_-[$$-409]* #,##0.00_ ;_-[$$-409]* \-#,##0.00\ ;_-[$$-409]* &quot;-&quot;??_ ;_-@_ ">
                  <c:v>401.66130000000021</c:v>
                </c:pt>
                <c:pt idx="677" formatCode="_-[$$-409]* #,##0.00_ ;_-[$$-409]* \-#,##0.00\ ;_-[$$-409]* &quot;-&quot;??_ ;_-@_ ">
                  <c:v>402.0861500000002</c:v>
                </c:pt>
                <c:pt idx="678" formatCode="_-[$$-409]* #,##0.00_ ;_-[$$-409]* \-#,##0.00\ ;_-[$$-409]* &quot;-&quot;??_ ;_-@_ ">
                  <c:v>402.52345000000014</c:v>
                </c:pt>
                <c:pt idx="679" formatCode="_-[$$-409]* #,##0.00_ ;_-[$$-409]* \-#,##0.00\ ;_-[$$-409]* &quot;-&quot;??_ ;_-@_ ">
                  <c:v>402.94175000000018</c:v>
                </c:pt>
                <c:pt idx="680" formatCode="_-[$$-409]* #,##0.00_ ;_-[$$-409]* \-#,##0.00\ ;_-[$$-409]* &quot;-&quot;??_ ;_-@_ ">
                  <c:v>403.40380000000022</c:v>
                </c:pt>
                <c:pt idx="681" formatCode="_-[$$-409]* #,##0.00_ ;_-[$$-409]* \-#,##0.00\ ;_-[$$-409]* &quot;-&quot;??_ ;_-@_ ">
                  <c:v>403.87880000000013</c:v>
                </c:pt>
                <c:pt idx="682" formatCode="_-[$$-409]* #,##0.00_ ;_-[$$-409]* \-#,##0.00\ ;_-[$$-409]* &quot;-&quot;??_ ;_-@_ ">
                  <c:v>404.3066500000001</c:v>
                </c:pt>
                <c:pt idx="683" formatCode="_-[$$-409]* #,##0.00_ ;_-[$$-409]* \-#,##0.00\ ;_-[$$-409]* &quot;-&quot;??_ ;_-@_ ">
                  <c:v>404.68779999999998</c:v>
                </c:pt>
                <c:pt idx="684" formatCode="_-[$$-409]* #,##0.00_ ;_-[$$-409]* \-#,##0.00\ ;_-[$$-409]* &quot;-&quot;??_ ;_-@_ ">
                  <c:v>405.07955000000004</c:v>
                </c:pt>
                <c:pt idx="685" formatCode="_-[$$-409]* #,##0.00_ ;_-[$$-409]* \-#,##0.00\ ;_-[$$-409]* &quot;-&quot;??_ ;_-@_ ">
                  <c:v>405.49109999999996</c:v>
                </c:pt>
                <c:pt idx="686" formatCode="_-[$$-409]* #,##0.00_ ;_-[$$-409]* \-#,##0.00\ ;_-[$$-409]* &quot;-&quot;??_ ;_-@_ ">
                  <c:v>405.93959999999998</c:v>
                </c:pt>
                <c:pt idx="687" formatCode="_-[$$-409]* #,##0.00_ ;_-[$$-409]* \-#,##0.00\ ;_-[$$-409]* &quot;-&quot;??_ ;_-@_ ">
                  <c:v>406.42409999999995</c:v>
                </c:pt>
                <c:pt idx="688" formatCode="_-[$$-409]* #,##0.00_ ;_-[$$-409]* \-#,##0.00\ ;_-[$$-409]* &quot;-&quot;??_ ;_-@_ ">
                  <c:v>406.92434999999989</c:v>
                </c:pt>
                <c:pt idx="689" formatCode="_-[$$-409]* #,##0.00_ ;_-[$$-409]* \-#,##0.00\ ;_-[$$-409]* &quot;-&quot;??_ ;_-@_ ">
                  <c:v>407.42394999999988</c:v>
                </c:pt>
                <c:pt idx="690" formatCode="_-[$$-409]* #,##0.00_ ;_-[$$-409]* \-#,##0.00\ ;_-[$$-409]* &quot;-&quot;??_ ;_-@_ ">
                  <c:v>407.84474999999992</c:v>
                </c:pt>
                <c:pt idx="691" formatCode="_-[$$-409]* #,##0.00_ ;_-[$$-409]* \-#,##0.00\ ;_-[$$-409]* &quot;-&quot;??_ ;_-@_ ">
                  <c:v>408.30079999999987</c:v>
                </c:pt>
                <c:pt idx="692" formatCode="_-[$$-409]* #,##0.00_ ;_-[$$-409]* \-#,##0.00\ ;_-[$$-409]* &quot;-&quot;??_ ;_-@_ ">
                  <c:v>408.7007499999998</c:v>
                </c:pt>
                <c:pt idx="693" formatCode="_-[$$-409]* #,##0.00_ ;_-[$$-409]* \-#,##0.00\ ;_-[$$-409]* &quot;-&quot;??_ ;_-@_ ">
                  <c:v>409.09864999999991</c:v>
                </c:pt>
                <c:pt idx="694" formatCode="_-[$$-409]* #,##0.00_ ;_-[$$-409]* \-#,##0.00\ ;_-[$$-409]* &quot;-&quot;??_ ;_-@_ ">
                  <c:v>409.49989999999991</c:v>
                </c:pt>
                <c:pt idx="695" formatCode="_-[$$-409]* #,##0.00_ ;_-[$$-409]* \-#,##0.00\ ;_-[$$-409]* &quot;-&quot;??_ ;_-@_ ">
                  <c:v>409.9015999999998</c:v>
                </c:pt>
                <c:pt idx="696" formatCode="_-[$$-409]* #,##0.00_ ;_-[$$-409]* \-#,##0.00\ ;_-[$$-409]* &quot;-&quot;??_ ;_-@_ ">
                  <c:v>410.25969999999984</c:v>
                </c:pt>
                <c:pt idx="697" formatCode="_-[$$-409]* #,##0.00_ ;_-[$$-409]* \-#,##0.00\ ;_-[$$-409]* &quot;-&quot;??_ ;_-@_ ">
                  <c:v>410.59359999999987</c:v>
                </c:pt>
                <c:pt idx="698" formatCode="_-[$$-409]* #,##0.00_ ;_-[$$-409]* \-#,##0.00\ ;_-[$$-409]* &quot;-&quot;??_ ;_-@_ ">
                  <c:v>410.9095499999998</c:v>
                </c:pt>
                <c:pt idx="699" formatCode="_-[$$-409]* #,##0.00_ ;_-[$$-409]* \-#,##0.00\ ;_-[$$-409]* &quot;-&quot;??_ ;_-@_ ">
                  <c:v>411.21389999999985</c:v>
                </c:pt>
                <c:pt idx="700" formatCode="_-[$$-409]* #,##0.00_ ;_-[$$-409]* \-#,##0.00\ ;_-[$$-409]* &quot;-&quot;??_ ;_-@_ ">
                  <c:v>411.51219999999989</c:v>
                </c:pt>
                <c:pt idx="701" formatCode="_-[$$-409]* #,##0.00_ ;_-[$$-409]* \-#,##0.00\ ;_-[$$-409]* &quot;-&quot;??_ ;_-@_ ">
                  <c:v>411.74854999999974</c:v>
                </c:pt>
                <c:pt idx="702" formatCode="_-[$$-409]* #,##0.00_ ;_-[$$-409]* \-#,##0.00\ ;_-[$$-409]* &quot;-&quot;??_ ;_-@_ ">
                  <c:v>411.99999999999983</c:v>
                </c:pt>
                <c:pt idx="703" formatCode="_-[$$-409]* #,##0.00_ ;_-[$$-409]* \-#,##0.00\ ;_-[$$-409]* &quot;-&quot;??_ ;_-@_ ">
                  <c:v>412.27409999999981</c:v>
                </c:pt>
                <c:pt idx="704" formatCode="_-[$$-409]* #,##0.00_ ;_-[$$-409]* \-#,##0.00\ ;_-[$$-409]* &quot;-&quot;??_ ;_-@_ ">
                  <c:v>412.59049999999974</c:v>
                </c:pt>
                <c:pt idx="705" formatCode="_-[$$-409]* #,##0.00_ ;_-[$$-409]* \-#,##0.00\ ;_-[$$-409]* &quot;-&quot;??_ ;_-@_ ">
                  <c:v>412.95059999999978</c:v>
                </c:pt>
                <c:pt idx="706" formatCode="_-[$$-409]* #,##0.00_ ;_-[$$-409]* \-#,##0.00\ ;_-[$$-409]* &quot;-&quot;??_ ;_-@_ ">
                  <c:v>413.2532999999998</c:v>
                </c:pt>
                <c:pt idx="707" formatCode="_-[$$-409]* #,##0.00_ ;_-[$$-409]* \-#,##0.00\ ;_-[$$-409]* &quot;-&quot;??_ ;_-@_ ">
                  <c:v>413.55339999999984</c:v>
                </c:pt>
                <c:pt idx="708" formatCode="_-[$$-409]* #,##0.00_ ;_-[$$-409]* \-#,##0.00\ ;_-[$$-409]* &quot;-&quot;??_ ;_-@_ ">
                  <c:v>413.85719999999981</c:v>
                </c:pt>
                <c:pt idx="709" formatCode="_-[$$-409]* #,##0.00_ ;_-[$$-409]* \-#,##0.00\ ;_-[$$-409]* &quot;-&quot;??_ ;_-@_ ">
                  <c:v>414.23234999999971</c:v>
                </c:pt>
                <c:pt idx="710" formatCode="_-[$$-409]* #,##0.00_ ;_-[$$-409]* \-#,##0.00\ ;_-[$$-409]* &quot;-&quot;??_ ;_-@_ ">
                  <c:v>414.51394999999968</c:v>
                </c:pt>
                <c:pt idx="711" formatCode="_-[$$-409]* #,##0.00_ ;_-[$$-409]* \-#,##0.00\ ;_-[$$-409]* &quot;-&quot;??_ ;_-@_ ">
                  <c:v>414.77314999999976</c:v>
                </c:pt>
                <c:pt idx="712" formatCode="_-[$$-409]* #,##0.00_ ;_-[$$-409]* \-#,##0.00\ ;_-[$$-409]* &quot;-&quot;??_ ;_-@_ ">
                  <c:v>415.0534999999997</c:v>
                </c:pt>
                <c:pt idx="713" formatCode="_-[$$-409]* #,##0.00_ ;_-[$$-409]* \-#,##0.00\ ;_-[$$-409]* &quot;-&quot;??_ ;_-@_ ">
                  <c:v>415.30724999999978</c:v>
                </c:pt>
                <c:pt idx="714" formatCode="_-[$$-409]* #,##0.00_ ;_-[$$-409]* \-#,##0.00\ ;_-[$$-409]* &quot;-&quot;??_ ;_-@_ ">
                  <c:v>415.56109999999973</c:v>
                </c:pt>
                <c:pt idx="715" formatCode="_-[$$-409]* #,##0.00_ ;_-[$$-409]* \-#,##0.00\ ;_-[$$-409]* &quot;-&quot;??_ ;_-@_ ">
                  <c:v>415.81414999999981</c:v>
                </c:pt>
                <c:pt idx="716" formatCode="_-[$$-409]* #,##0.00_ ;_-[$$-409]* \-#,##0.00\ ;_-[$$-409]* &quot;-&quot;??_ ;_-@_ ">
                  <c:v>416.06159999999977</c:v>
                </c:pt>
                <c:pt idx="717" formatCode="_-[$$-409]* #,##0.00_ ;_-[$$-409]* \-#,##0.00\ ;_-[$$-409]* &quot;-&quot;??_ ;_-@_ ">
                  <c:v>416.33089999999976</c:v>
                </c:pt>
                <c:pt idx="718" formatCode="_-[$$-409]* #,##0.00_ ;_-[$$-409]* \-#,##0.00\ ;_-[$$-409]* &quot;-&quot;??_ ;_-@_ ">
                  <c:v>416.56134999999972</c:v>
                </c:pt>
                <c:pt idx="719" formatCode="_-[$$-409]* #,##0.00_ ;_-[$$-409]* \-#,##0.00\ ;_-[$$-409]* &quot;-&quot;??_ ;_-@_ ">
                  <c:v>416.78179999999981</c:v>
                </c:pt>
                <c:pt idx="720" formatCode="_-[$$-409]* #,##0.00_ ;_-[$$-409]* \-#,##0.00\ ;_-[$$-409]* &quot;-&quot;??_ ;_-@_ ">
                  <c:v>417.02194999999978</c:v>
                </c:pt>
                <c:pt idx="721" formatCode="_-[$$-409]* #,##0.00_ ;_-[$$-409]* \-#,##0.00\ ;_-[$$-409]* &quot;-&quot;??_ ;_-@_ ">
                  <c:v>417.25924999999972</c:v>
                </c:pt>
                <c:pt idx="722" formatCode="_-[$$-409]* #,##0.00_ ;_-[$$-409]* \-#,##0.00\ ;_-[$$-409]* &quot;-&quot;??_ ;_-@_ ">
                  <c:v>417.50124999999986</c:v>
                </c:pt>
                <c:pt idx="723" formatCode="_-[$$-409]* #,##0.00_ ;_-[$$-409]* \-#,##0.00\ ;_-[$$-409]* &quot;-&quot;??_ ;_-@_ ">
                  <c:v>417.67639999999994</c:v>
                </c:pt>
                <c:pt idx="724" formatCode="_-[$$-409]* #,##0.00_ ;_-[$$-409]* \-#,##0.00\ ;_-[$$-409]* &quot;-&quot;??_ ;_-@_ ">
                  <c:v>417.83269999999987</c:v>
                </c:pt>
                <c:pt idx="725" formatCode="_-[$$-409]* #,##0.00_ ;_-[$$-409]* \-#,##0.00\ ;_-[$$-409]* &quot;-&quot;??_ ;_-@_ ">
                  <c:v>417.95509999999996</c:v>
                </c:pt>
                <c:pt idx="726" formatCode="_-[$$-409]* #,##0.00_ ;_-[$$-409]* \-#,##0.00\ ;_-[$$-409]* &quot;-&quot;??_ ;_-@_ ">
                  <c:v>418.10924999999997</c:v>
                </c:pt>
                <c:pt idx="727" formatCode="_-[$$-409]* #,##0.00_ ;_-[$$-409]* \-#,##0.00\ ;_-[$$-409]* &quot;-&quot;??_ ;_-@_ ">
                  <c:v>418.30124999999992</c:v>
                </c:pt>
                <c:pt idx="728" formatCode="_-[$$-409]* #,##0.00_ ;_-[$$-409]* \-#,##0.00\ ;_-[$$-409]* &quot;-&quot;??_ ;_-@_ ">
                  <c:v>418.46484999999996</c:v>
                </c:pt>
                <c:pt idx="729" formatCode="_-[$$-409]* #,##0.00_ ;_-[$$-409]* \-#,##0.00\ ;_-[$$-409]* &quot;-&quot;??_ ;_-@_ ">
                  <c:v>418.61389999999994</c:v>
                </c:pt>
                <c:pt idx="730" formatCode="_-[$$-409]* #,##0.00_ ;_-[$$-409]* \-#,##0.00\ ;_-[$$-409]* &quot;-&quot;??_ ;_-@_ ">
                  <c:v>418.79009999999994</c:v>
                </c:pt>
                <c:pt idx="731" formatCode="_-[$$-409]* #,##0.00_ ;_-[$$-409]* \-#,##0.00\ ;_-[$$-409]* &quot;-&quot;??_ ;_-@_ ">
                  <c:v>418.93274999999994</c:v>
                </c:pt>
                <c:pt idx="732" formatCode="_-[$$-409]* #,##0.00_ ;_-[$$-409]* \-#,##0.00\ ;_-[$$-409]* &quot;-&quot;??_ ;_-@_ ">
                  <c:v>419.05944999999991</c:v>
                </c:pt>
                <c:pt idx="733" formatCode="_-[$$-409]* #,##0.00_ ;_-[$$-409]* \-#,##0.00\ ;_-[$$-409]* &quot;-&quot;??_ ;_-@_ ">
                  <c:v>419.17039999999986</c:v>
                </c:pt>
                <c:pt idx="734" formatCode="_-[$$-409]* #,##0.00_ ;_-[$$-409]* \-#,##0.00\ ;_-[$$-409]* &quot;-&quot;??_ ;_-@_ ">
                  <c:v>419.34554999999983</c:v>
                </c:pt>
                <c:pt idx="735" formatCode="_-[$$-409]* #,##0.00_ ;_-[$$-409]* \-#,##0.00\ ;_-[$$-409]* &quot;-&quot;??_ ;_-@_ ">
                  <c:v>419.55169999999993</c:v>
                </c:pt>
                <c:pt idx="736" formatCode="_-[$$-409]* #,##0.00_ ;_-[$$-409]* \-#,##0.00\ ;_-[$$-409]* &quot;-&quot;??_ ;_-@_ ">
                  <c:v>419.79929999999985</c:v>
                </c:pt>
                <c:pt idx="737" formatCode="_-[$$-409]* #,##0.00_ ;_-[$$-409]* \-#,##0.00\ ;_-[$$-409]* &quot;-&quot;??_ ;_-@_ ">
                  <c:v>420.05804999999987</c:v>
                </c:pt>
                <c:pt idx="738" formatCode="_-[$$-409]* #,##0.00_ ;_-[$$-409]* \-#,##0.00\ ;_-[$$-409]* &quot;-&quot;??_ ;_-@_ ">
                  <c:v>420.29959999999977</c:v>
                </c:pt>
                <c:pt idx="739" formatCode="_-[$$-409]* #,##0.00_ ;_-[$$-409]* \-#,##0.00\ ;_-[$$-409]* &quot;-&quot;??_ ;_-@_ ">
                  <c:v>420.57759999999985</c:v>
                </c:pt>
                <c:pt idx="740" formatCode="_-[$$-409]* #,##0.00_ ;_-[$$-409]* \-#,##0.00\ ;_-[$$-409]* &quot;-&quot;??_ ;_-@_ ">
                  <c:v>420.83134999999987</c:v>
                </c:pt>
                <c:pt idx="741" formatCode="_-[$$-409]* #,##0.00_ ;_-[$$-409]* \-#,##0.00\ ;_-[$$-409]* &quot;-&quot;??_ ;_-@_ ">
                  <c:v>421.08184999999992</c:v>
                </c:pt>
                <c:pt idx="742" formatCode="_-[$$-409]* #,##0.00_ ;_-[$$-409]* \-#,##0.00\ ;_-[$$-409]* &quot;-&quot;??_ ;_-@_ ">
                  <c:v>421.37874999999991</c:v>
                </c:pt>
                <c:pt idx="743" formatCode="_-[$$-409]* #,##0.00_ ;_-[$$-409]* \-#,##0.00\ ;_-[$$-409]* &quot;-&quot;??_ ;_-@_ ">
                  <c:v>421.64164999999986</c:v>
                </c:pt>
                <c:pt idx="744" formatCode="_-[$$-409]* #,##0.00_ ;_-[$$-409]* \-#,##0.00\ ;_-[$$-409]* &quot;-&quot;??_ ;_-@_ ">
                  <c:v>421.88054999999991</c:v>
                </c:pt>
                <c:pt idx="745" formatCode="_-[$$-409]* #,##0.00_ ;_-[$$-409]* \-#,##0.00\ ;_-[$$-409]* &quot;-&quot;??_ ;_-@_ ">
                  <c:v>422.10859999999991</c:v>
                </c:pt>
                <c:pt idx="746" formatCode="_-[$$-409]* #,##0.00_ ;_-[$$-409]* \-#,##0.00\ ;_-[$$-409]* &quot;-&quot;??_ ;_-@_ ">
                  <c:v>422.29575</c:v>
                </c:pt>
                <c:pt idx="747" formatCode="_-[$$-409]* #,##0.00_ ;_-[$$-409]* \-#,##0.00\ ;_-[$$-409]* &quot;-&quot;??_ ;_-@_ ">
                  <c:v>422.50115</c:v>
                </c:pt>
                <c:pt idx="748" formatCode="_-[$$-409]* #,##0.00_ ;_-[$$-409]* \-#,##0.00\ ;_-[$$-409]* &quot;-&quot;??_ ;_-@_ ">
                  <c:v>422.67890000000006</c:v>
                </c:pt>
                <c:pt idx="749" formatCode="_-[$$-409]* #,##0.00_ ;_-[$$-409]* \-#,##0.00\ ;_-[$$-409]* &quot;-&quot;??_ ;_-@_ ">
                  <c:v>422.82735000000008</c:v>
                </c:pt>
                <c:pt idx="750" formatCode="_-[$$-409]* #,##0.00_ ;_-[$$-409]* \-#,##0.00\ ;_-[$$-409]* &quot;-&quot;??_ ;_-@_ ">
                  <c:v>422.93720000000008</c:v>
                </c:pt>
                <c:pt idx="751" formatCode="_-[$$-409]* #,##0.00_ ;_-[$$-409]* \-#,##0.00\ ;_-[$$-409]* &quot;-&quot;??_ ;_-@_ ">
                  <c:v>423.01300000000009</c:v>
                </c:pt>
                <c:pt idx="752" formatCode="_-[$$-409]* #,##0.00_ ;_-[$$-409]* \-#,##0.00\ ;_-[$$-409]* &quot;-&quot;??_ ;_-@_ ">
                  <c:v>423.10615000000007</c:v>
                </c:pt>
                <c:pt idx="753" formatCode="_-[$$-409]* #,##0.00_ ;_-[$$-409]* \-#,##0.00\ ;_-[$$-409]* &quot;-&quot;??_ ;_-@_ ">
                  <c:v>423.20465000000013</c:v>
                </c:pt>
                <c:pt idx="754" formatCode="_-[$$-409]* #,##0.00_ ;_-[$$-409]* \-#,##0.00\ ;_-[$$-409]* &quot;-&quot;??_ ;_-@_ ">
                  <c:v>423.3291000000001</c:v>
                </c:pt>
                <c:pt idx="755" formatCode="_-[$$-409]* #,##0.00_ ;_-[$$-409]* \-#,##0.00\ ;_-[$$-409]* &quot;-&quot;??_ ;_-@_ ">
                  <c:v>423.52545000000015</c:v>
                </c:pt>
                <c:pt idx="756" formatCode="_-[$$-409]* #,##0.00_ ;_-[$$-409]* \-#,##0.00\ ;_-[$$-409]* &quot;-&quot;??_ ;_-@_ ">
                  <c:v>423.75570000000005</c:v>
                </c:pt>
                <c:pt idx="757" formatCode="_-[$$-409]* #,##0.00_ ;_-[$$-409]* \-#,##0.00\ ;_-[$$-409]* &quot;-&quot;??_ ;_-@_ ">
                  <c:v>423.95475000000005</c:v>
                </c:pt>
                <c:pt idx="758" formatCode="_-[$$-409]* #,##0.00_ ;_-[$$-409]* \-#,##0.00\ ;_-[$$-409]* &quot;-&quot;??_ ;_-@_ ">
                  <c:v>424.13625000000002</c:v>
                </c:pt>
                <c:pt idx="759" formatCode="_-[$$-409]* #,##0.00_ ;_-[$$-409]* \-#,##0.00\ ;_-[$$-409]* &quot;-&quot;??_ ;_-@_ ">
                  <c:v>424.32149999999996</c:v>
                </c:pt>
                <c:pt idx="760" formatCode="_-[$$-409]* #,##0.00_ ;_-[$$-409]* \-#,##0.00\ ;_-[$$-409]* &quot;-&quot;??_ ;_-@_ ">
                  <c:v>424.48894999999987</c:v>
                </c:pt>
                <c:pt idx="761" formatCode="_-[$$-409]* #,##0.00_ ;_-[$$-409]* \-#,##0.00\ ;_-[$$-409]* &quot;-&quot;??_ ;_-@_ ">
                  <c:v>424.66824999999989</c:v>
                </c:pt>
                <c:pt idx="762" formatCode="_-[$$-409]* #,##0.00_ ;_-[$$-409]* \-#,##0.00\ ;_-[$$-409]* &quot;-&quot;??_ ;_-@_ ">
                  <c:v>424.84079999999994</c:v>
                </c:pt>
                <c:pt idx="763" formatCode="_-[$$-409]* #,##0.00_ ;_-[$$-409]* \-#,##0.00\ ;_-[$$-409]* &quot;-&quot;??_ ;_-@_ ">
                  <c:v>425.08149999999989</c:v>
                </c:pt>
                <c:pt idx="764" formatCode="_-[$$-409]* #,##0.00_ ;_-[$$-409]* \-#,##0.00\ ;_-[$$-409]* &quot;-&quot;??_ ;_-@_ ">
                  <c:v>425.29749999999984</c:v>
                </c:pt>
                <c:pt idx="765" formatCode="_-[$$-409]* #,##0.00_ ;_-[$$-409]* \-#,##0.00\ ;_-[$$-409]* &quot;-&quot;??_ ;_-@_ ">
                  <c:v>425.49464999999987</c:v>
                </c:pt>
                <c:pt idx="766" formatCode="_-[$$-409]* #,##0.00_ ;_-[$$-409]* \-#,##0.00\ ;_-[$$-409]* &quot;-&quot;??_ ;_-@_ ">
                  <c:v>425.66469999999987</c:v>
                </c:pt>
                <c:pt idx="767" formatCode="_-[$$-409]* #,##0.00_ ;_-[$$-409]* \-#,##0.00\ ;_-[$$-409]* &quot;-&quot;??_ ;_-@_ ">
                  <c:v>425.8742499999999</c:v>
                </c:pt>
                <c:pt idx="768" formatCode="_-[$$-409]* #,##0.00_ ;_-[$$-409]* \-#,##0.00\ ;_-[$$-409]* &quot;-&quot;??_ ;_-@_ ">
                  <c:v>426.0914499999999</c:v>
                </c:pt>
                <c:pt idx="769" formatCode="_-[$$-409]* #,##0.00_ ;_-[$$-409]* \-#,##0.00\ ;_-[$$-409]* &quot;-&quot;??_ ;_-@_ ">
                  <c:v>426.29059999999993</c:v>
                </c:pt>
                <c:pt idx="770" formatCode="_-[$$-409]* #,##0.00_ ;_-[$$-409]* \-#,##0.00\ ;_-[$$-409]* &quot;-&quot;??_ ;_-@_ ">
                  <c:v>426.51384999999993</c:v>
                </c:pt>
                <c:pt idx="771" formatCode="_-[$$-409]* #,##0.00_ ;_-[$$-409]* \-#,##0.00\ ;_-[$$-409]* &quot;-&quot;??_ ;_-@_ ">
                  <c:v>426.75079999999986</c:v>
                </c:pt>
                <c:pt idx="772" formatCode="_-[$$-409]* #,##0.00_ ;_-[$$-409]* \-#,##0.00\ ;_-[$$-409]* &quot;-&quot;??_ ;_-@_ ">
                  <c:v>426.98524999999978</c:v>
                </c:pt>
                <c:pt idx="773" formatCode="_-[$$-409]* #,##0.00_ ;_-[$$-409]* \-#,##0.00\ ;_-[$$-409]* &quot;-&quot;??_ ;_-@_ ">
                  <c:v>427.19414999999981</c:v>
                </c:pt>
                <c:pt idx="774" formatCode="_-[$$-409]* #,##0.00_ ;_-[$$-409]* \-#,##0.00\ ;_-[$$-409]* &quot;-&quot;??_ ;_-@_ ">
                  <c:v>427.41294999999974</c:v>
                </c:pt>
                <c:pt idx="775" formatCode="_-[$$-409]* #,##0.00_ ;_-[$$-409]* \-#,##0.00\ ;_-[$$-409]* &quot;-&quot;??_ ;_-@_ ">
                  <c:v>427.63854999999973</c:v>
                </c:pt>
                <c:pt idx="776" formatCode="_-[$$-409]* #,##0.00_ ;_-[$$-409]* \-#,##0.00\ ;_-[$$-409]* &quot;-&quot;??_ ;_-@_ ">
                  <c:v>427.88059999999973</c:v>
                </c:pt>
                <c:pt idx="777" formatCode="_-[$$-409]* #,##0.00_ ;_-[$$-409]* \-#,##0.00\ ;_-[$$-409]* &quot;-&quot;??_ ;_-@_ ">
                  <c:v>428.12729999999982</c:v>
                </c:pt>
                <c:pt idx="778" formatCode="_-[$$-409]* #,##0.00_ ;_-[$$-409]* \-#,##0.00\ ;_-[$$-409]* &quot;-&quot;??_ ;_-@_ ">
                  <c:v>428.40564999999981</c:v>
                </c:pt>
                <c:pt idx="779" formatCode="_-[$$-409]* #,##0.00_ ;_-[$$-409]* \-#,##0.00\ ;_-[$$-409]* &quot;-&quot;??_ ;_-@_ ">
                  <c:v>428.70409999999976</c:v>
                </c:pt>
                <c:pt idx="780" formatCode="_-[$$-409]* #,##0.00_ ;_-[$$-409]* \-#,##0.00\ ;_-[$$-409]* &quot;-&quot;??_ ;_-@_ ">
                  <c:v>429.00179999999972</c:v>
                </c:pt>
                <c:pt idx="781" formatCode="_-[$$-409]* #,##0.00_ ;_-[$$-409]* \-#,##0.00\ ;_-[$$-409]* &quot;-&quot;??_ ;_-@_ ">
                  <c:v>429.32984999999979</c:v>
                </c:pt>
                <c:pt idx="782" formatCode="_-[$$-409]* #,##0.00_ ;_-[$$-409]* \-#,##0.00\ ;_-[$$-409]* &quot;-&quot;??_ ;_-@_ ">
                  <c:v>429.66169999999977</c:v>
                </c:pt>
                <c:pt idx="783" formatCode="_-[$$-409]* #,##0.00_ ;_-[$$-409]* \-#,##0.00\ ;_-[$$-409]* &quot;-&quot;??_ ;_-@_ ">
                  <c:v>430.03289999999981</c:v>
                </c:pt>
                <c:pt idx="784" formatCode="_-[$$-409]* #,##0.00_ ;_-[$$-409]* \-#,##0.00\ ;_-[$$-409]* &quot;-&quot;??_ ;_-@_ ">
                  <c:v>430.41924999999981</c:v>
                </c:pt>
                <c:pt idx="785" formatCode="_-[$$-409]* #,##0.00_ ;_-[$$-409]* \-#,##0.00\ ;_-[$$-409]* &quot;-&quot;??_ ;_-@_ ">
                  <c:v>430.77684999999985</c:v>
                </c:pt>
                <c:pt idx="786" formatCode="_-[$$-409]* #,##0.00_ ;_-[$$-409]* \-#,##0.00\ ;_-[$$-409]* &quot;-&quot;??_ ;_-@_ ">
                  <c:v>431.11574999999976</c:v>
                </c:pt>
                <c:pt idx="787" formatCode="_-[$$-409]* #,##0.00_ ;_-[$$-409]* \-#,##0.00\ ;_-[$$-409]* &quot;-&quot;??_ ;_-@_ ">
                  <c:v>431.46759999999978</c:v>
                </c:pt>
                <c:pt idx="788" formatCode="_-[$$-409]* #,##0.00_ ;_-[$$-409]* \-#,##0.00\ ;_-[$$-409]* &quot;-&quot;??_ ;_-@_ ">
                  <c:v>431.81754999999976</c:v>
                </c:pt>
                <c:pt idx="789" formatCode="_-[$$-409]* #,##0.00_ ;_-[$$-409]* \-#,##0.00\ ;_-[$$-409]* &quot;-&quot;??_ ;_-@_ ">
                  <c:v>432.18644999999975</c:v>
                </c:pt>
                <c:pt idx="790" formatCode="_-[$$-409]* #,##0.00_ ;_-[$$-409]* \-#,##0.00\ ;_-[$$-409]* &quot;-&quot;??_ ;_-@_ ">
                  <c:v>432.59689999999966</c:v>
                </c:pt>
                <c:pt idx="791" formatCode="_-[$$-409]* #,##0.00_ ;_-[$$-409]* \-#,##0.00\ ;_-[$$-409]* &quot;-&quot;??_ ;_-@_ ">
                  <c:v>433.04559999999964</c:v>
                </c:pt>
                <c:pt idx="792" formatCode="_-[$$-409]* #,##0.00_ ;_-[$$-409]* \-#,##0.00\ ;_-[$$-409]* &quot;-&quot;??_ ;_-@_ ">
                  <c:v>433.50134999999966</c:v>
                </c:pt>
                <c:pt idx="793" formatCode="_-[$$-409]* #,##0.00_ ;_-[$$-409]* \-#,##0.00\ ;_-[$$-409]* &quot;-&quot;??_ ;_-@_ ">
                  <c:v>433.92614999999961</c:v>
                </c:pt>
                <c:pt idx="794" formatCode="_-[$$-409]* #,##0.00_ ;_-[$$-409]* \-#,##0.00\ ;_-[$$-409]* &quot;-&quot;??_ ;_-@_ ">
                  <c:v>434.35629999999964</c:v>
                </c:pt>
                <c:pt idx="795" formatCode="_-[$$-409]* #,##0.00_ ;_-[$$-409]* \-#,##0.00\ ;_-[$$-409]* &quot;-&quot;??_ ;_-@_ ">
                  <c:v>434.73899999999952</c:v>
                </c:pt>
                <c:pt idx="796" formatCode="_-[$$-409]* #,##0.00_ ;_-[$$-409]* \-#,##0.00\ ;_-[$$-409]* &quot;-&quot;??_ ;_-@_ ">
                  <c:v>435.13299999999947</c:v>
                </c:pt>
                <c:pt idx="797" formatCode="_-[$$-409]* #,##0.00_ ;_-[$$-409]* \-#,##0.00\ ;_-[$$-409]* &quot;-&quot;??_ ;_-@_ ">
                  <c:v>435.50069999999948</c:v>
                </c:pt>
                <c:pt idx="798" formatCode="_-[$$-409]* #,##0.00_ ;_-[$$-409]* \-#,##0.00\ ;_-[$$-409]* &quot;-&quot;??_ ;_-@_ ">
                  <c:v>435.84574999999955</c:v>
                </c:pt>
                <c:pt idx="799" formatCode="_-[$$-409]* #,##0.00_ ;_-[$$-409]* \-#,##0.00\ ;_-[$$-409]* &quot;-&quot;??_ ;_-@_ ">
                  <c:v>436.25819999999965</c:v>
                </c:pt>
                <c:pt idx="800" formatCode="_-[$$-409]* #,##0.00_ ;_-[$$-409]* \-#,##0.00\ ;_-[$$-409]* &quot;-&quot;??_ ;_-@_ ">
                  <c:v>436.66174999999959</c:v>
                </c:pt>
                <c:pt idx="801" formatCode="_-[$$-409]* #,##0.00_ ;_-[$$-409]* \-#,##0.00\ ;_-[$$-409]* &quot;-&quot;??_ ;_-@_ ">
                  <c:v>437.06579999999957</c:v>
                </c:pt>
                <c:pt idx="802" formatCode="_-[$$-409]* #,##0.00_ ;_-[$$-409]* \-#,##0.00\ ;_-[$$-409]* &quot;-&quot;??_ ;_-@_ ">
                  <c:v>437.46509999999967</c:v>
                </c:pt>
                <c:pt idx="803" formatCode="_-[$$-409]* #,##0.00_ ;_-[$$-409]* \-#,##0.00\ ;_-[$$-409]* &quot;-&quot;??_ ;_-@_ ">
                  <c:v>437.87049999999959</c:v>
                </c:pt>
                <c:pt idx="804" formatCode="_-[$$-409]* #,##0.00_ ;_-[$$-409]* \-#,##0.00\ ;_-[$$-409]* &quot;-&quot;??_ ;_-@_ ">
                  <c:v>438.23839999999961</c:v>
                </c:pt>
                <c:pt idx="805" formatCode="_-[$$-409]* #,##0.00_ ;_-[$$-409]* \-#,##0.00\ ;_-[$$-409]* &quot;-&quot;??_ ;_-@_ ">
                  <c:v>438.58134999999953</c:v>
                </c:pt>
                <c:pt idx="806" formatCode="_-[$$-409]* #,##0.00_ ;_-[$$-409]* \-#,##0.00\ ;_-[$$-409]* &quot;-&quot;??_ ;_-@_ ">
                  <c:v>438.91684999999961</c:v>
                </c:pt>
                <c:pt idx="807" formatCode="_-[$$-409]* #,##0.00_ ;_-[$$-409]* \-#,##0.00\ ;_-[$$-409]* &quot;-&quot;??_ ;_-@_ ">
                  <c:v>439.2742499999996</c:v>
                </c:pt>
                <c:pt idx="808" formatCode="_-[$$-409]* #,##0.00_ ;_-[$$-409]* \-#,##0.00\ ;_-[$$-409]* &quot;-&quot;??_ ;_-@_ ">
                  <c:v>439.64814999999959</c:v>
                </c:pt>
                <c:pt idx="809" formatCode="_-[$$-409]* #,##0.00_ ;_-[$$-409]* \-#,##0.00\ ;_-[$$-409]* &quot;-&quot;??_ ;_-@_ ">
                  <c:v>440.03444999999954</c:v>
                </c:pt>
                <c:pt idx="810" formatCode="_-[$$-409]* #,##0.00_ ;_-[$$-409]* \-#,##0.00\ ;_-[$$-409]* &quot;-&quot;??_ ;_-@_ ">
                  <c:v>440.41544999999962</c:v>
                </c:pt>
                <c:pt idx="811" formatCode="_-[$$-409]* #,##0.00_ ;_-[$$-409]* \-#,##0.00\ ;_-[$$-409]* &quot;-&quot;??_ ;_-@_ ">
                  <c:v>440.80754999999959</c:v>
                </c:pt>
                <c:pt idx="812" formatCode="_-[$$-409]* #,##0.00_ ;_-[$$-409]* \-#,##0.00\ ;_-[$$-409]* &quot;-&quot;??_ ;_-@_ ">
                  <c:v>441.19599999999969</c:v>
                </c:pt>
                <c:pt idx="813" formatCode="_-[$$-409]* #,##0.00_ ;_-[$$-409]* \-#,##0.00\ ;_-[$$-409]* &quot;-&quot;??_ ;_-@_ ">
                  <c:v>441.61209999999971</c:v>
                </c:pt>
                <c:pt idx="814" formatCode="_-[$$-409]* #,##0.00_ ;_-[$$-409]* \-#,##0.00\ ;_-[$$-409]* &quot;-&quot;??_ ;_-@_ ">
                  <c:v>441.99919999999975</c:v>
                </c:pt>
                <c:pt idx="815" formatCode="_-[$$-409]* #,##0.00_ ;_-[$$-409]* \-#,##0.00\ ;_-[$$-409]* &quot;-&quot;??_ ;_-@_ ">
                  <c:v>442.35129999999981</c:v>
                </c:pt>
                <c:pt idx="816" formatCode="_-[$$-409]* #,##0.00_ ;_-[$$-409]* \-#,##0.00\ ;_-[$$-409]* &quot;-&quot;??_ ;_-@_ ">
                  <c:v>442.72759999999988</c:v>
                </c:pt>
                <c:pt idx="817" formatCode="_-[$$-409]* #,##0.00_ ;_-[$$-409]* \-#,##0.00\ ;_-[$$-409]* &quot;-&quot;??_ ;_-@_ ">
                  <c:v>443.1282999999998</c:v>
                </c:pt>
                <c:pt idx="818" formatCode="_-[$$-409]* #,##0.00_ ;_-[$$-409]* \-#,##0.00\ ;_-[$$-409]* &quot;-&quot;??_ ;_-@_ ">
                  <c:v>443.52034999999984</c:v>
                </c:pt>
                <c:pt idx="819" formatCode="_-[$$-409]* #,##0.00_ ;_-[$$-409]* \-#,##0.00\ ;_-[$$-409]* &quot;-&quot;??_ ;_-@_ ">
                  <c:v>443.93084999999985</c:v>
                </c:pt>
                <c:pt idx="820" formatCode="_-[$$-409]* #,##0.00_ ;_-[$$-409]* \-#,##0.00\ ;_-[$$-409]* &quot;-&quot;??_ ;_-@_ ">
                  <c:v>444.36034999999981</c:v>
                </c:pt>
                <c:pt idx="821" formatCode="_-[$$-409]* #,##0.00_ ;_-[$$-409]* \-#,##0.00\ ;_-[$$-409]* &quot;-&quot;??_ ;_-@_ ">
                  <c:v>444.78879999999992</c:v>
                </c:pt>
                <c:pt idx="822" formatCode="_-[$$-409]* #,##0.00_ ;_-[$$-409]* \-#,##0.00\ ;_-[$$-409]* &quot;-&quot;??_ ;_-@_ ">
                  <c:v>445.26439999999985</c:v>
                </c:pt>
                <c:pt idx="823" formatCode="_-[$$-409]* #,##0.00_ ;_-[$$-409]* \-#,##0.00\ ;_-[$$-409]* &quot;-&quot;??_ ;_-@_ ">
                  <c:v>445.74749999999995</c:v>
                </c:pt>
                <c:pt idx="824" formatCode="_-[$$-409]* #,##0.00_ ;_-[$$-409]* \-#,##0.00\ ;_-[$$-409]* &quot;-&quot;??_ ;_-@_ ">
                  <c:v>446.15584999999993</c:v>
                </c:pt>
                <c:pt idx="825" formatCode="_-[$$-409]* #,##0.00_ ;_-[$$-409]* \-#,##0.00\ ;_-[$$-409]* &quot;-&quot;??_ ;_-@_ ">
                  <c:v>446.56904999999989</c:v>
                </c:pt>
                <c:pt idx="826" formatCode="_-[$$-409]* #,##0.00_ ;_-[$$-409]* \-#,##0.00\ ;_-[$$-409]* &quot;-&quot;??_ ;_-@_ ">
                  <c:v>447.0015499999999</c:v>
                </c:pt>
                <c:pt idx="827" formatCode="_-[$$-409]* #,##0.00_ ;_-[$$-409]* \-#,##0.00\ ;_-[$$-409]* &quot;-&quot;??_ ;_-@_ ">
                  <c:v>447.4448999999999</c:v>
                </c:pt>
                <c:pt idx="828" formatCode="_-[$$-409]* #,##0.00_ ;_-[$$-409]* \-#,##0.00\ ;_-[$$-409]* &quot;-&quot;??_ ;_-@_ ">
                  <c:v>447.88859999999988</c:v>
                </c:pt>
                <c:pt idx="829" formatCode="_-[$$-409]* #,##0.00_ ;_-[$$-409]* \-#,##0.00\ ;_-[$$-409]* &quot;-&quot;??_ ;_-@_ ">
                  <c:v>448.34899999999993</c:v>
                </c:pt>
                <c:pt idx="830" formatCode="_-[$$-409]* #,##0.00_ ;_-[$$-409]* \-#,##0.00\ ;_-[$$-409]* &quot;-&quot;??_ ;_-@_ ">
                  <c:v>448.82335</c:v>
                </c:pt>
                <c:pt idx="831" formatCode="_-[$$-409]* #,##0.00_ ;_-[$$-409]* \-#,##0.00\ ;_-[$$-409]* &quot;-&quot;??_ ;_-@_ ">
                  <c:v>449.2989</c:v>
                </c:pt>
                <c:pt idx="832" formatCode="_-[$$-409]* #,##0.00_ ;_-[$$-409]* \-#,##0.00\ ;_-[$$-409]* &quot;-&quot;??_ ;_-@_ ">
                  <c:v>449.77420000000001</c:v>
                </c:pt>
                <c:pt idx="833" formatCode="_-[$$-409]* #,##0.00_ ;_-[$$-409]* \-#,##0.00\ ;_-[$$-409]* &quot;-&quot;??_ ;_-@_ ">
                  <c:v>450.24459999999993</c:v>
                </c:pt>
                <c:pt idx="834" formatCode="_-[$$-409]* #,##0.00_ ;_-[$$-409]* \-#,##0.00\ ;_-[$$-409]* &quot;-&quot;??_ ;_-@_ ">
                  <c:v>450.71524999999986</c:v>
                </c:pt>
                <c:pt idx="835" formatCode="_-[$$-409]* #,##0.00_ ;_-[$$-409]* \-#,##0.00\ ;_-[$$-409]* &quot;-&quot;??_ ;_-@_ ">
                  <c:v>451.19769999999988</c:v>
                </c:pt>
                <c:pt idx="836" formatCode="_-[$$-409]* #,##0.00_ ;_-[$$-409]* \-#,##0.00\ ;_-[$$-409]* &quot;-&quot;??_ ;_-@_ ">
                  <c:v>451.69689999999997</c:v>
                </c:pt>
                <c:pt idx="837" formatCode="_-[$$-409]* #,##0.00_ ;_-[$$-409]* \-#,##0.00\ ;_-[$$-409]* &quot;-&quot;??_ ;_-@_ ">
                  <c:v>452.2071499999999</c:v>
                </c:pt>
                <c:pt idx="838" formatCode="_-[$$-409]* #,##0.00_ ;_-[$$-409]* \-#,##0.00\ ;_-[$$-409]* &quot;-&quot;??_ ;_-@_ ">
                  <c:v>452.66689999999988</c:v>
                </c:pt>
                <c:pt idx="839" formatCode="_-[$$-409]* #,##0.00_ ;_-[$$-409]* \-#,##0.00\ ;_-[$$-409]* &quot;-&quot;??_ ;_-@_ ">
                  <c:v>453.1194999999999</c:v>
                </c:pt>
                <c:pt idx="840" formatCode="_-[$$-409]* #,##0.00_ ;_-[$$-409]* \-#,##0.00\ ;_-[$$-409]* &quot;-&quot;??_ ;_-@_ ">
                  <c:v>453.60044999999997</c:v>
                </c:pt>
                <c:pt idx="841" formatCode="_-[$$-409]* #,##0.00_ ;_-[$$-409]* \-#,##0.00\ ;_-[$$-409]* &quot;-&quot;??_ ;_-@_ ">
                  <c:v>454.06509999999997</c:v>
                </c:pt>
                <c:pt idx="842" formatCode="_-[$$-409]* #,##0.00_ ;_-[$$-409]* \-#,##0.00\ ;_-[$$-409]* &quot;-&quot;??_ ;_-@_ ">
                  <c:v>454.55105000000003</c:v>
                </c:pt>
                <c:pt idx="843" formatCode="_-[$$-409]* #,##0.00_ ;_-[$$-409]* \-#,##0.00\ ;_-[$$-409]* &quot;-&quot;??_ ;_-@_ ">
                  <c:v>455.07950000000005</c:v>
                </c:pt>
                <c:pt idx="844" formatCode="_-[$$-409]* #,##0.00_ ;_-[$$-409]* \-#,##0.00\ ;_-[$$-409]* &quot;-&quot;??_ ;_-@_ ">
                  <c:v>455.5861000000001</c:v>
                </c:pt>
                <c:pt idx="845" formatCode="_-[$$-409]* #,##0.00_ ;_-[$$-409]* \-#,##0.00\ ;_-[$$-409]* &quot;-&quot;??_ ;_-@_ ">
                  <c:v>456.06075000000004</c:v>
                </c:pt>
                <c:pt idx="846" formatCode="_-[$$-409]* #,##0.00_ ;_-[$$-409]* \-#,##0.00\ ;_-[$$-409]* &quot;-&quot;??_ ;_-@_ ">
                  <c:v>456.50900000000007</c:v>
                </c:pt>
                <c:pt idx="847" formatCode="_-[$$-409]* #,##0.00_ ;_-[$$-409]* \-#,##0.00\ ;_-[$$-409]* &quot;-&quot;??_ ;_-@_ ">
                  <c:v>456.98405000000014</c:v>
                </c:pt>
                <c:pt idx="848" formatCode="_-[$$-409]* #,##0.00_ ;_-[$$-409]* \-#,##0.00\ ;_-[$$-409]* &quot;-&quot;??_ ;_-@_ ">
                  <c:v>457.45350000000019</c:v>
                </c:pt>
                <c:pt idx="849" formatCode="_-[$$-409]* #,##0.00_ ;_-[$$-409]* \-#,##0.00\ ;_-[$$-409]* &quot;-&quot;??_ ;_-@_ ">
                  <c:v>457.91630000000021</c:v>
                </c:pt>
                <c:pt idx="850" formatCode="_-[$$-409]* #,##0.00_ ;_-[$$-409]* \-#,##0.00\ ;_-[$$-409]* &quot;-&quot;??_ ;_-@_ ">
                  <c:v>458.39180000000016</c:v>
                </c:pt>
                <c:pt idx="851" formatCode="_-[$$-409]* #,##0.00_ ;_-[$$-409]* \-#,##0.00\ ;_-[$$-409]* &quot;-&quot;??_ ;_-@_ ">
                  <c:v>458.85770000000019</c:v>
                </c:pt>
                <c:pt idx="852" formatCode="_-[$$-409]* #,##0.00_ ;_-[$$-409]* \-#,##0.00\ ;_-[$$-409]* &quot;-&quot;??_ ;_-@_ ">
                  <c:v>459.32380000000018</c:v>
                </c:pt>
                <c:pt idx="853" formatCode="_-[$$-409]* #,##0.00_ ;_-[$$-409]* \-#,##0.00\ ;_-[$$-409]* &quot;-&quot;??_ ;_-@_ ">
                  <c:v>459.77220000000017</c:v>
                </c:pt>
                <c:pt idx="854" formatCode="_-[$$-409]* #,##0.00_ ;_-[$$-409]* \-#,##0.00\ ;_-[$$-409]* &quot;-&quot;??_ ;_-@_ ">
                  <c:v>460.23855000000009</c:v>
                </c:pt>
                <c:pt idx="855" formatCode="_-[$$-409]* #,##0.00_ ;_-[$$-409]* \-#,##0.00\ ;_-[$$-409]* &quot;-&quot;??_ ;_-@_ ">
                  <c:v>460.68490000000014</c:v>
                </c:pt>
                <c:pt idx="856" formatCode="_-[$$-409]* #,##0.00_ ;_-[$$-409]* \-#,##0.00\ ;_-[$$-409]* &quot;-&quot;??_ ;_-@_ ">
                  <c:v>461.11240000000015</c:v>
                </c:pt>
                <c:pt idx="857" formatCode="_-[$$-409]* #,##0.00_ ;_-[$$-409]* \-#,##0.00\ ;_-[$$-409]* &quot;-&quot;??_ ;_-@_ ">
                  <c:v>461.52070000000015</c:v>
                </c:pt>
                <c:pt idx="858" formatCode="_-[$$-409]* #,##0.00_ ;_-[$$-409]* \-#,##0.00\ ;_-[$$-409]* &quot;-&quot;??_ ;_-@_ ">
                  <c:v>461.90475000000021</c:v>
                </c:pt>
                <c:pt idx="859" formatCode="_-[$$-409]* #,##0.00_ ;_-[$$-409]* \-#,##0.00\ ;_-[$$-409]* &quot;-&quot;??_ ;_-@_ ">
                  <c:v>462.2728000000003</c:v>
                </c:pt>
                <c:pt idx="860" formatCode="_-[$$-409]* #,##0.00_ ;_-[$$-409]* \-#,##0.00\ ;_-[$$-409]* &quot;-&quot;??_ ;_-@_ ">
                  <c:v>462.67905000000019</c:v>
                </c:pt>
                <c:pt idx="861" formatCode="_-[$$-409]* #,##0.00_ ;_-[$$-409]* \-#,##0.00\ ;_-[$$-409]* &quot;-&quot;??_ ;_-@_ ">
                  <c:v>463.0979500000002</c:v>
                </c:pt>
                <c:pt idx="862" formatCode="_-[$$-409]* #,##0.00_ ;_-[$$-409]* \-#,##0.00\ ;_-[$$-409]* &quot;-&quot;??_ ;_-@_ ">
                  <c:v>463.51200000000028</c:v>
                </c:pt>
                <c:pt idx="863" formatCode="_-[$$-409]* #,##0.00_ ;_-[$$-409]* \-#,##0.00\ ;_-[$$-409]* &quot;-&quot;??_ ;_-@_ ">
                  <c:v>463.91655000000026</c:v>
                </c:pt>
                <c:pt idx="864" formatCode="_-[$$-409]* #,##0.00_ ;_-[$$-409]* \-#,##0.00\ ;_-[$$-409]* &quot;-&quot;??_ ;_-@_ ">
                  <c:v>464.34935000000024</c:v>
                </c:pt>
                <c:pt idx="865" formatCode="_-[$$-409]* #,##0.00_ ;_-[$$-409]* \-#,##0.00\ ;_-[$$-409]* &quot;-&quot;??_ ;_-@_ ">
                  <c:v>464.72275000000025</c:v>
                </c:pt>
                <c:pt idx="866" formatCode="_-[$$-409]* #,##0.00_ ;_-[$$-409]* \-#,##0.00\ ;_-[$$-409]* &quot;-&quot;??_ ;_-@_ ">
                  <c:v>465.0630500000002</c:v>
                </c:pt>
                <c:pt idx="867" formatCode="_-[$$-409]* #,##0.00_ ;_-[$$-409]* \-#,##0.00\ ;_-[$$-409]* &quot;-&quot;??_ ;_-@_ ">
                  <c:v>465.39015000000023</c:v>
                </c:pt>
                <c:pt idx="868" formatCode="_-[$$-409]* #,##0.00_ ;_-[$$-409]* \-#,##0.00\ ;_-[$$-409]* &quot;-&quot;??_ ;_-@_ ">
                  <c:v>465.67650000000026</c:v>
                </c:pt>
                <c:pt idx="869" formatCode="_-[$$-409]* #,##0.00_ ;_-[$$-409]* \-#,##0.00\ ;_-[$$-409]* &quot;-&quot;??_ ;_-@_ ">
                  <c:v>465.95515000000023</c:v>
                </c:pt>
                <c:pt idx="870" formatCode="_-[$$-409]* #,##0.00_ ;_-[$$-409]* \-#,##0.00\ ;_-[$$-409]* &quot;-&quot;??_ ;_-@_ ">
                  <c:v>466.21530000000018</c:v>
                </c:pt>
                <c:pt idx="871" formatCode="_-[$$-409]* #,##0.00_ ;_-[$$-409]* \-#,##0.00\ ;_-[$$-409]* &quot;-&quot;??_ ;_-@_ ">
                  <c:v>466.51560000000018</c:v>
                </c:pt>
                <c:pt idx="872" formatCode="_-[$$-409]* #,##0.00_ ;_-[$$-409]* \-#,##0.00\ ;_-[$$-409]* &quot;-&quot;??_ ;_-@_ ">
                  <c:v>466.85110000000014</c:v>
                </c:pt>
                <c:pt idx="873" formatCode="_-[$$-409]* #,##0.00_ ;_-[$$-409]* \-#,##0.00\ ;_-[$$-409]* &quot;-&quot;??_ ;_-@_ ">
                  <c:v>467.17985000000022</c:v>
                </c:pt>
                <c:pt idx="874" formatCode="_-[$$-409]* #,##0.00_ ;_-[$$-409]* \-#,##0.00\ ;_-[$$-409]* &quot;-&quot;??_ ;_-@_ ">
                  <c:v>467.48500000000024</c:v>
                </c:pt>
                <c:pt idx="875" formatCode="_-[$$-409]* #,##0.00_ ;_-[$$-409]* \-#,##0.00\ ;_-[$$-409]* &quot;-&quot;??_ ;_-@_ ">
                  <c:v>467.79620000000017</c:v>
                </c:pt>
                <c:pt idx="876" formatCode="_-[$$-409]* #,##0.00_ ;_-[$$-409]* \-#,##0.00\ ;_-[$$-409]* &quot;-&quot;??_ ;_-@_ ">
                  <c:v>468.09870000000012</c:v>
                </c:pt>
                <c:pt idx="877" formatCode="_-[$$-409]* #,##0.00_ ;_-[$$-409]* \-#,##0.00\ ;_-[$$-409]* &quot;-&quot;??_ ;_-@_ ">
                  <c:v>468.36220000000014</c:v>
                </c:pt>
                <c:pt idx="878" formatCode="_-[$$-409]* #,##0.00_ ;_-[$$-409]* \-#,##0.00\ ;_-[$$-409]* &quot;-&quot;??_ ;_-@_ ">
                  <c:v>468.60975000000019</c:v>
                </c:pt>
                <c:pt idx="879" formatCode="_-[$$-409]* #,##0.00_ ;_-[$$-409]* \-#,##0.00\ ;_-[$$-409]* &quot;-&quot;??_ ;_-@_ ">
                  <c:v>468.86395000000016</c:v>
                </c:pt>
                <c:pt idx="880" formatCode="_-[$$-409]* #,##0.00_ ;_-[$$-409]* \-#,##0.00\ ;_-[$$-409]* &quot;-&quot;??_ ;_-@_ ">
                  <c:v>469.14440000000008</c:v>
                </c:pt>
                <c:pt idx="881" formatCode="_-[$$-409]* #,##0.00_ ;_-[$$-409]* \-#,##0.00\ ;_-[$$-409]* &quot;-&quot;??_ ;_-@_ ">
                  <c:v>469.46635000000009</c:v>
                </c:pt>
                <c:pt idx="882" formatCode="_-[$$-409]* #,##0.00_ ;_-[$$-409]* \-#,##0.00\ ;_-[$$-409]* &quot;-&quot;??_ ;_-@_ ">
                  <c:v>469.79115000000013</c:v>
                </c:pt>
                <c:pt idx="883" formatCode="_-[$$-409]* #,##0.00_ ;_-[$$-409]* \-#,##0.00\ ;_-[$$-409]* &quot;-&quot;??_ ;_-@_ ">
                  <c:v>470.10610000000014</c:v>
                </c:pt>
                <c:pt idx="884" formatCode="_-[$$-409]* #,##0.00_ ;_-[$$-409]* \-#,##0.00\ ;_-[$$-409]* &quot;-&quot;??_ ;_-@_ ">
                  <c:v>470.42975000000018</c:v>
                </c:pt>
                <c:pt idx="885" formatCode="_-[$$-409]* #,##0.00_ ;_-[$$-409]* \-#,##0.00\ ;_-[$$-409]* &quot;-&quot;??_ ;_-@_ ">
                  <c:v>470.75640000000016</c:v>
                </c:pt>
                <c:pt idx="886" formatCode="_-[$$-409]* #,##0.00_ ;_-[$$-409]* \-#,##0.00\ ;_-[$$-409]* &quot;-&quot;??_ ;_-@_ ">
                  <c:v>471.09850000000012</c:v>
                </c:pt>
                <c:pt idx="887" formatCode="_-[$$-409]* #,##0.00_ ;_-[$$-409]* \-#,##0.00\ ;_-[$$-409]* &quot;-&quot;??_ ;_-@_ ">
                  <c:v>471.43040000000013</c:v>
                </c:pt>
                <c:pt idx="888" formatCode="_-[$$-409]* #,##0.00_ ;_-[$$-409]* \-#,##0.00\ ;_-[$$-409]* &quot;-&quot;??_ ;_-@_ ">
                  <c:v>471.7903500000001</c:v>
                </c:pt>
                <c:pt idx="889" formatCode="_-[$$-409]* #,##0.00_ ;_-[$$-409]* \-#,##0.00\ ;_-[$$-409]* &quot;-&quot;??_ ;_-@_ ">
                  <c:v>472.15140000000014</c:v>
                </c:pt>
                <c:pt idx="890" formatCode="_-[$$-409]* #,##0.00_ ;_-[$$-409]* \-#,##0.00\ ;_-[$$-409]* &quot;-&quot;??_ ;_-@_ ">
                  <c:v>472.54800000000012</c:v>
                </c:pt>
                <c:pt idx="891" formatCode="_-[$$-409]* #,##0.00_ ;_-[$$-409]* \-#,##0.00\ ;_-[$$-409]* &quot;-&quot;??_ ;_-@_ ">
                  <c:v>472.9541000000001</c:v>
                </c:pt>
                <c:pt idx="892" formatCode="_-[$$-409]* #,##0.00_ ;_-[$$-409]* \-#,##0.00\ ;_-[$$-409]* &quot;-&quot;??_ ;_-@_ ">
                  <c:v>473.3768500000001</c:v>
                </c:pt>
                <c:pt idx="893" formatCode="_-[$$-409]* #,##0.00_ ;_-[$$-409]* \-#,##0.00\ ;_-[$$-409]* &quot;-&quot;??_ ;_-@_ ">
                  <c:v>473.77245000000011</c:v>
                </c:pt>
                <c:pt idx="894" formatCode="_-[$$-409]* #,##0.00_ ;_-[$$-409]* \-#,##0.00\ ;_-[$$-409]* &quot;-&quot;??_ ;_-@_ ">
                  <c:v>474.15850000000012</c:v>
                </c:pt>
                <c:pt idx="895" formatCode="_-[$$-409]* #,##0.00_ ;_-[$$-409]* \-#,##0.00\ ;_-[$$-409]* &quot;-&quot;??_ ;_-@_ ">
                  <c:v>474.57695000000012</c:v>
                </c:pt>
                <c:pt idx="896" formatCode="_-[$$-409]* #,##0.00_ ;_-[$$-409]* \-#,##0.00\ ;_-[$$-409]* &quot;-&quot;??_ ;_-@_ ">
                  <c:v>474.9964500000001</c:v>
                </c:pt>
                <c:pt idx="897" formatCode="_-[$$-409]* #,##0.00_ ;_-[$$-409]* \-#,##0.00\ ;_-[$$-409]* &quot;-&quot;??_ ;_-@_ ">
                  <c:v>475.39870000000019</c:v>
                </c:pt>
                <c:pt idx="898" formatCode="_-[$$-409]* #,##0.00_ ;_-[$$-409]* \-#,##0.00\ ;_-[$$-409]* &quot;-&quot;??_ ;_-@_ ">
                  <c:v>475.77120000000008</c:v>
                </c:pt>
                <c:pt idx="899" formatCode="_-[$$-409]* #,##0.00_ ;_-[$$-409]* \-#,##0.00\ ;_-[$$-409]* &quot;-&quot;??_ ;_-@_ ">
                  <c:v>476.19360000000017</c:v>
                </c:pt>
                <c:pt idx="900" formatCode="_-[$$-409]* #,##0.00_ ;_-[$$-409]* \-#,##0.00\ ;_-[$$-409]* &quot;-&quot;??_ ;_-@_ ">
                  <c:v>476.63440000000014</c:v>
                </c:pt>
                <c:pt idx="901" formatCode="_-[$$-409]* #,##0.00_ ;_-[$$-409]* \-#,##0.00\ ;_-[$$-409]* &quot;-&quot;??_ ;_-@_ ">
                  <c:v>477.09490000000011</c:v>
                </c:pt>
                <c:pt idx="902" formatCode="_-[$$-409]* #,##0.00_ ;_-[$$-409]* \-#,##0.00\ ;_-[$$-409]* &quot;-&quot;??_ ;_-@_ ">
                  <c:v>477.58575000000013</c:v>
                </c:pt>
                <c:pt idx="903" formatCode="_-[$$-409]* #,##0.00_ ;_-[$$-409]* \-#,##0.00\ ;_-[$$-409]* &quot;-&quot;??_ ;_-@_ ">
                  <c:v>478.06235000000015</c:v>
                </c:pt>
                <c:pt idx="904" formatCode="_-[$$-409]* #,##0.00_ ;_-[$$-409]* \-#,##0.00\ ;_-[$$-409]* &quot;-&quot;??_ ;_-@_ ">
                  <c:v>478.54165000000006</c:v>
                </c:pt>
                <c:pt idx="905" formatCode="_-[$$-409]* #,##0.00_ ;_-[$$-409]* \-#,##0.00\ ;_-[$$-409]* &quot;-&quot;??_ ;_-@_ ">
                  <c:v>479.0048000000001</c:v>
                </c:pt>
                <c:pt idx="906" formatCode="_-[$$-409]* #,##0.00_ ;_-[$$-409]* \-#,##0.00\ ;_-[$$-409]* &quot;-&quot;??_ ;_-@_ ">
                  <c:v>479.50510000000008</c:v>
                </c:pt>
                <c:pt idx="907" formatCode="_-[$$-409]* #,##0.00_ ;_-[$$-409]* \-#,##0.00\ ;_-[$$-409]* &quot;-&quot;??_ ;_-@_ ">
                  <c:v>480.0120500000001</c:v>
                </c:pt>
                <c:pt idx="908" formatCode="_-[$$-409]* #,##0.00_ ;_-[$$-409]* \-#,##0.00\ ;_-[$$-409]* &quot;-&quot;??_ ;_-@_ ">
                  <c:v>480.51050000000015</c:v>
                </c:pt>
                <c:pt idx="909" formatCode="_-[$$-409]* #,##0.00_ ;_-[$$-409]* \-#,##0.00\ ;_-[$$-409]* &quot;-&quot;??_ ;_-@_ ">
                  <c:v>480.97860000000009</c:v>
                </c:pt>
                <c:pt idx="910" formatCode="_-[$$-409]* #,##0.00_ ;_-[$$-409]* \-#,##0.00\ ;_-[$$-409]* &quot;-&quot;??_ ;_-@_ ">
                  <c:v>481.45905000000016</c:v>
                </c:pt>
                <c:pt idx="911" formatCode="_-[$$-409]* #,##0.00_ ;_-[$$-409]* \-#,##0.00\ ;_-[$$-409]* &quot;-&quot;??_ ;_-@_ ">
                  <c:v>481.94975000000011</c:v>
                </c:pt>
                <c:pt idx="912" formatCode="_-[$$-409]* #,##0.00_ ;_-[$$-409]* \-#,##0.00\ ;_-[$$-409]* &quot;-&quot;??_ ;_-@_ ">
                  <c:v>482.42880000000014</c:v>
                </c:pt>
                <c:pt idx="913" formatCode="_-[$$-409]* #,##0.00_ ;_-[$$-409]* \-#,##0.00\ ;_-[$$-409]* &quot;-&quot;??_ ;_-@_ ">
                  <c:v>482.90515000000005</c:v>
                </c:pt>
                <c:pt idx="914" formatCode="_-[$$-409]* #,##0.00_ ;_-[$$-409]* \-#,##0.00\ ;_-[$$-409]* &quot;-&quot;??_ ;_-@_ ">
                  <c:v>483.3877500000001</c:v>
                </c:pt>
                <c:pt idx="915" formatCode="_-[$$-409]* #,##0.00_ ;_-[$$-409]* \-#,##0.00\ ;_-[$$-409]* &quot;-&quot;??_ ;_-@_ ">
                  <c:v>483.88765000000006</c:v>
                </c:pt>
                <c:pt idx="916" formatCode="_-[$$-409]* #,##0.00_ ;_-[$$-409]* \-#,##0.00\ ;_-[$$-409]* &quot;-&quot;??_ ;_-@_ ">
                  <c:v>484.38760000000002</c:v>
                </c:pt>
                <c:pt idx="917" formatCode="_-[$$-409]* #,##0.00_ ;_-[$$-409]* \-#,##0.00\ ;_-[$$-409]* &quot;-&quot;??_ ;_-@_ ">
                  <c:v>484.87720000000002</c:v>
                </c:pt>
                <c:pt idx="918" formatCode="_-[$$-409]* #,##0.00_ ;_-[$$-409]* \-#,##0.00\ ;_-[$$-409]* &quot;-&quot;??_ ;_-@_ ">
                  <c:v>485.36834999999996</c:v>
                </c:pt>
                <c:pt idx="919" formatCode="_-[$$-409]* #,##0.00_ ;_-[$$-409]* \-#,##0.00\ ;_-[$$-409]* &quot;-&quot;??_ ;_-@_ ">
                  <c:v>485.86250000000001</c:v>
                </c:pt>
                <c:pt idx="920" formatCode="_-[$$-409]* #,##0.00_ ;_-[$$-409]* \-#,##0.00\ ;_-[$$-409]* &quot;-&quot;??_ ;_-@_ ">
                  <c:v>486.35574999999994</c:v>
                </c:pt>
                <c:pt idx="921" formatCode="_-[$$-409]* #,##0.00_ ;_-[$$-409]* \-#,##0.00\ ;_-[$$-409]* &quot;-&quot;??_ ;_-@_ ">
                  <c:v>486.89619999999996</c:v>
                </c:pt>
                <c:pt idx="922" formatCode="_-[$$-409]* #,##0.00_ ;_-[$$-409]* \-#,##0.00\ ;_-[$$-409]* &quot;-&quot;??_ ;_-@_ ">
                  <c:v>487.45125000000002</c:v>
                </c:pt>
                <c:pt idx="923" formatCode="_-[$$-409]* #,##0.00_ ;_-[$$-409]* \-#,##0.00\ ;_-[$$-409]* &quot;-&quot;??_ ;_-@_ ">
                  <c:v>488.01409999999998</c:v>
                </c:pt>
                <c:pt idx="924" formatCode="_-[$$-409]* #,##0.00_ ;_-[$$-409]* \-#,##0.00\ ;_-[$$-409]* &quot;-&quot;??_ ;_-@_ ">
                  <c:v>488.60000000000008</c:v>
                </c:pt>
                <c:pt idx="925" formatCode="_-[$$-409]* #,##0.00_ ;_-[$$-409]* \-#,##0.00\ ;_-[$$-409]* &quot;-&quot;??_ ;_-@_ ">
                  <c:v>489.24965000000009</c:v>
                </c:pt>
                <c:pt idx="926" formatCode="_-[$$-409]* #,##0.00_ ;_-[$$-409]* \-#,##0.00\ ;_-[$$-409]* &quot;-&quot;??_ ;_-@_ ">
                  <c:v>489.87995000000001</c:v>
                </c:pt>
                <c:pt idx="927" formatCode="_-[$$-409]* #,##0.00_ ;_-[$$-409]* \-#,##0.00\ ;_-[$$-409]* &quot;-&quot;??_ ;_-@_ ">
                  <c:v>490.51875000000007</c:v>
                </c:pt>
                <c:pt idx="928" formatCode="_-[$$-409]* #,##0.00_ ;_-[$$-409]* \-#,##0.00\ ;_-[$$-409]* &quot;-&quot;??_ ;_-@_ ">
                  <c:v>491.19700000000012</c:v>
                </c:pt>
                <c:pt idx="929" formatCode="_-[$$-409]* #,##0.00_ ;_-[$$-409]* \-#,##0.00\ ;_-[$$-409]* &quot;-&quot;??_ ;_-@_ ">
                  <c:v>491.89105000000001</c:v>
                </c:pt>
                <c:pt idx="930" formatCode="_-[$$-409]* #,##0.00_ ;_-[$$-409]* \-#,##0.00\ ;_-[$$-409]* &quot;-&quot;??_ ;_-@_ ">
                  <c:v>492.53315000000009</c:v>
                </c:pt>
                <c:pt idx="931" formatCode="_-[$$-409]* #,##0.00_ ;_-[$$-409]* \-#,##0.00\ ;_-[$$-409]* &quot;-&quot;??_ ;_-@_ ">
                  <c:v>493.15905000000015</c:v>
                </c:pt>
                <c:pt idx="932" formatCode="_-[$$-409]* #,##0.00_ ;_-[$$-409]* \-#,##0.00\ ;_-[$$-409]* &quot;-&quot;??_ ;_-@_ ">
                  <c:v>493.76745000000011</c:v>
                </c:pt>
                <c:pt idx="933" formatCode="_-[$$-409]* #,##0.00_ ;_-[$$-409]* \-#,##0.00\ ;_-[$$-409]* &quot;-&quot;??_ ;_-@_ ">
                  <c:v>494.43275000000011</c:v>
                </c:pt>
                <c:pt idx="934" formatCode="_-[$$-409]* #,##0.00_ ;_-[$$-409]* \-#,##0.00\ ;_-[$$-409]* &quot;-&quot;??_ ;_-@_ ">
                  <c:v>495.07835000000011</c:v>
                </c:pt>
                <c:pt idx="935" formatCode="_-[$$-409]* #,##0.00_ ;_-[$$-409]* \-#,##0.00\ ;_-[$$-409]* &quot;-&quot;??_ ;_-@_ ">
                  <c:v>495.66200000000009</c:v>
                </c:pt>
                <c:pt idx="936" formatCode="_-[$$-409]* #,##0.00_ ;_-[$$-409]* \-#,##0.00\ ;_-[$$-409]* &quot;-&quot;??_ ;_-@_ ">
                  <c:v>496.2063500000001</c:v>
                </c:pt>
                <c:pt idx="937" formatCode="_-[$$-409]* #,##0.00_ ;_-[$$-409]* \-#,##0.00\ ;_-[$$-409]* &quot;-&quot;??_ ;_-@_ ">
                  <c:v>496.76710000000014</c:v>
                </c:pt>
                <c:pt idx="938" formatCode="_-[$$-409]* #,##0.00_ ;_-[$$-409]* \-#,##0.00\ ;_-[$$-409]* &quot;-&quot;??_ ;_-@_ ">
                  <c:v>497.31820000000016</c:v>
                </c:pt>
                <c:pt idx="939" formatCode="_-[$$-409]* #,##0.00_ ;_-[$$-409]* \-#,##0.00\ ;_-[$$-409]* &quot;-&quot;??_ ;_-@_ ">
                  <c:v>497.84660000000019</c:v>
                </c:pt>
                <c:pt idx="940" formatCode="_-[$$-409]* #,##0.00_ ;_-[$$-409]* \-#,##0.00\ ;_-[$$-409]* &quot;-&quot;??_ ;_-@_ ">
                  <c:v>498.43235000000016</c:v>
                </c:pt>
                <c:pt idx="941" formatCode="_-[$$-409]* #,##0.00_ ;_-[$$-409]* \-#,##0.00\ ;_-[$$-409]* &quot;-&quot;??_ ;_-@_ ">
                  <c:v>498.98990000000015</c:v>
                </c:pt>
                <c:pt idx="942" formatCode="_-[$$-409]* #,##0.00_ ;_-[$$-409]* \-#,##0.00\ ;_-[$$-409]* &quot;-&quot;??_ ;_-@_ ">
                  <c:v>499.47420000000011</c:v>
                </c:pt>
                <c:pt idx="943" formatCode="_-[$$-409]* #,##0.00_ ;_-[$$-409]* \-#,##0.00\ ;_-[$$-409]* &quot;-&quot;??_ ;_-@_ ">
                  <c:v>499.88100000000014</c:v>
                </c:pt>
                <c:pt idx="944" formatCode="_-[$$-409]* #,##0.00_ ;_-[$$-409]* \-#,##0.00\ ;_-[$$-409]* &quot;-&quot;??_ ;_-@_ ">
                  <c:v>500.34070000000014</c:v>
                </c:pt>
                <c:pt idx="945" formatCode="_-[$$-409]* #,##0.00_ ;_-[$$-409]* \-#,##0.00\ ;_-[$$-409]* &quot;-&quot;??_ ;_-@_ ">
                  <c:v>500.80185000000017</c:v>
                </c:pt>
                <c:pt idx="946" formatCode="_-[$$-409]* #,##0.00_ ;_-[$$-409]* \-#,##0.00\ ;_-[$$-409]* &quot;-&quot;??_ ;_-@_ ">
                  <c:v>501.34915000000007</c:v>
                </c:pt>
                <c:pt idx="947" formatCode="_-[$$-409]* #,##0.00_ ;_-[$$-409]* \-#,##0.00\ ;_-[$$-409]* &quot;-&quot;??_ ;_-@_ ">
                  <c:v>501.91180000000008</c:v>
                </c:pt>
                <c:pt idx="948" formatCode="_-[$$-409]* #,##0.00_ ;_-[$$-409]* \-#,##0.00\ ;_-[$$-409]* &quot;-&quot;??_ ;_-@_ ">
                  <c:v>502.46000000000015</c:v>
                </c:pt>
                <c:pt idx="949" formatCode="_-[$$-409]* #,##0.00_ ;_-[$$-409]* \-#,##0.00\ ;_-[$$-409]* &quot;-&quot;??_ ;_-@_ ">
                  <c:v>503.08245000000011</c:v>
                </c:pt>
                <c:pt idx="950" formatCode="_-[$$-409]* #,##0.00_ ;_-[$$-409]* \-#,##0.00\ ;_-[$$-409]* &quot;-&quot;??_ ;_-@_ ">
                  <c:v>503.73845000000006</c:v>
                </c:pt>
                <c:pt idx="951" formatCode="_-[$$-409]* #,##0.00_ ;_-[$$-409]* \-#,##0.00\ ;_-[$$-409]* &quot;-&quot;??_ ;_-@_ ">
                  <c:v>504.45040000000006</c:v>
                </c:pt>
                <c:pt idx="952" formatCode="_-[$$-409]* #,##0.00_ ;_-[$$-409]* \-#,##0.00\ ;_-[$$-409]* &quot;-&quot;??_ ;_-@_ ">
                  <c:v>505.14400000000006</c:v>
                </c:pt>
                <c:pt idx="953" formatCode="_-[$$-409]* #,##0.00_ ;_-[$$-409]* \-#,##0.00\ ;_-[$$-409]* &quot;-&quot;??_ ;_-@_ ">
                  <c:v>505.8510500000001</c:v>
                </c:pt>
                <c:pt idx="954" formatCode="_-[$$-409]* #,##0.00_ ;_-[$$-409]* \-#,##0.00\ ;_-[$$-409]* &quot;-&quot;??_ ;_-@_ ">
                  <c:v>506.53125000000006</c:v>
                </c:pt>
                <c:pt idx="955" formatCode="_-[$$-409]* #,##0.00_ ;_-[$$-409]* \-#,##0.00\ ;_-[$$-409]* &quot;-&quot;??_ ;_-@_ ">
                  <c:v>507.1805500000001</c:v>
                </c:pt>
                <c:pt idx="956" formatCode="_-[$$-409]* #,##0.00_ ;_-[$$-409]* \-#,##0.00\ ;_-[$$-409]* &quot;-&quot;??_ ;_-@_ ">
                  <c:v>507.78820000000007</c:v>
                </c:pt>
                <c:pt idx="957" formatCode="_-[$$-409]* #,##0.00_ ;_-[$$-409]* \-#,##0.00\ ;_-[$$-409]* &quot;-&quot;??_ ;_-@_ ">
                  <c:v>508.42040000000009</c:v>
                </c:pt>
                <c:pt idx="958" formatCode="_-[$$-409]* #,##0.00_ ;_-[$$-409]* \-#,##0.00\ ;_-[$$-409]* &quot;-&quot;??_ ;_-@_ ">
                  <c:v>509.03970000000004</c:v>
                </c:pt>
                <c:pt idx="959" formatCode="_-[$$-409]* #,##0.00_ ;_-[$$-409]* \-#,##0.00\ ;_-[$$-409]* &quot;-&quot;??_ ;_-@_ ">
                  <c:v>509.66125</c:v>
                </c:pt>
                <c:pt idx="960" formatCode="_-[$$-409]* #,##0.00_ ;_-[$$-409]* \-#,##0.00\ ;_-[$$-409]* &quot;-&quot;??_ ;_-@_ ">
                  <c:v>510.28354999999993</c:v>
                </c:pt>
                <c:pt idx="961" formatCode="_-[$$-409]* #,##0.00_ ;_-[$$-409]* \-#,##0.00\ ;_-[$$-409]* &quot;-&quot;??_ ;_-@_ ">
                  <c:v>510.87225000000001</c:v>
                </c:pt>
                <c:pt idx="962" formatCode="_-[$$-409]* #,##0.00_ ;_-[$$-409]* \-#,##0.00\ ;_-[$$-409]* &quot;-&quot;??_ ;_-@_ ">
                  <c:v>511.48969999999991</c:v>
                </c:pt>
                <c:pt idx="963" formatCode="_-[$$-409]* #,##0.00_ ;_-[$$-409]* \-#,##0.00\ ;_-[$$-409]* &quot;-&quot;??_ ;_-@_ ">
                  <c:v>512.00645000000009</c:v>
                </c:pt>
                <c:pt idx="964" formatCode="_-[$$-409]* #,##0.00_ ;_-[$$-409]* \-#,##0.00\ ;_-[$$-409]* &quot;-&quot;??_ ;_-@_ ">
                  <c:v>512.51279999999997</c:v>
                </c:pt>
                <c:pt idx="965" formatCode="_-[$$-409]* #,##0.00_ ;_-[$$-409]* \-#,##0.00\ ;_-[$$-409]* &quot;-&quot;??_ ;_-@_ ">
                  <c:v>513.00969999999995</c:v>
                </c:pt>
                <c:pt idx="966" formatCode="_-[$$-409]* #,##0.00_ ;_-[$$-409]* \-#,##0.00\ ;_-[$$-409]* &quot;-&quot;??_ ;_-@_ ">
                  <c:v>513.45754999999986</c:v>
                </c:pt>
                <c:pt idx="967" formatCode="_-[$$-409]* #,##0.00_ ;_-[$$-409]* \-#,##0.00\ ;_-[$$-409]* &quot;-&quot;??_ ;_-@_ ">
                  <c:v>513.91829999999993</c:v>
                </c:pt>
                <c:pt idx="968" formatCode="_-[$$-409]* #,##0.00_ ;_-[$$-409]* \-#,##0.00\ ;_-[$$-409]* &quot;-&quot;??_ ;_-@_ ">
                  <c:v>514.39589999999987</c:v>
                </c:pt>
                <c:pt idx="969" formatCode="_-[$$-409]* #,##0.00_ ;_-[$$-409]* \-#,##0.00\ ;_-[$$-409]* &quot;-&quot;??_ ;_-@_ ">
                  <c:v>514.89289999999994</c:v>
                </c:pt>
                <c:pt idx="970" formatCode="_-[$$-409]* #,##0.00_ ;_-[$$-409]* \-#,##0.00\ ;_-[$$-409]* &quot;-&quot;??_ ;_-@_ ">
                  <c:v>515.41184999999996</c:v>
                </c:pt>
                <c:pt idx="971" formatCode="_-[$$-409]* #,##0.00_ ;_-[$$-409]* \-#,##0.00\ ;_-[$$-409]* &quot;-&quot;??_ ;_-@_ ">
                  <c:v>515.94949999999983</c:v>
                </c:pt>
                <c:pt idx="972" formatCode="_-[$$-409]* #,##0.00_ ;_-[$$-409]* \-#,##0.00\ ;_-[$$-409]* &quot;-&quot;??_ ;_-@_ ">
                  <c:v>516.48904999999979</c:v>
                </c:pt>
                <c:pt idx="973" formatCode="_-[$$-409]* #,##0.00_ ;_-[$$-409]* \-#,##0.00\ ;_-[$$-409]* &quot;-&quot;??_ ;_-@_ ">
                  <c:v>517.03134999999997</c:v>
                </c:pt>
                <c:pt idx="974" formatCode="_-[$$-409]* #,##0.00_ ;_-[$$-409]* \-#,##0.00\ ;_-[$$-409]* &quot;-&quot;??_ ;_-@_ ">
                  <c:v>517.55634999999984</c:v>
                </c:pt>
                <c:pt idx="975" formatCode="_-[$$-409]* #,##0.00_ ;_-[$$-409]* \-#,##0.00\ ;_-[$$-409]* &quot;-&quot;??_ ;_-@_ ">
                  <c:v>518.11574999999993</c:v>
                </c:pt>
                <c:pt idx="976" formatCode="_-[$$-409]* #,##0.00_ ;_-[$$-409]* \-#,##0.00\ ;_-[$$-409]* &quot;-&quot;??_ ;_-@_ ">
                  <c:v>518.67354999999986</c:v>
                </c:pt>
                <c:pt idx="977" formatCode="_-[$$-409]* #,##0.00_ ;_-[$$-409]* \-#,##0.00\ ;_-[$$-409]* &quot;-&quot;??_ ;_-@_ ">
                  <c:v>519.23889999999994</c:v>
                </c:pt>
                <c:pt idx="978" formatCode="_-[$$-409]* #,##0.00_ ;_-[$$-409]* \-#,##0.00\ ;_-[$$-409]* &quot;-&quot;??_ ;_-@_ ">
                  <c:v>519.82159999999988</c:v>
                </c:pt>
                <c:pt idx="979" formatCode="_-[$$-409]* #,##0.00_ ;_-[$$-409]* \-#,##0.00\ ;_-[$$-409]* &quot;-&quot;??_ ;_-@_ ">
                  <c:v>520.38064999999983</c:v>
                </c:pt>
                <c:pt idx="980" formatCode="_-[$$-409]* #,##0.00_ ;_-[$$-409]* \-#,##0.00\ ;_-[$$-409]* &quot;-&quot;??_ ;_-@_ ">
                  <c:v>520.94114999999988</c:v>
                </c:pt>
                <c:pt idx="981" formatCode="_-[$$-409]* #,##0.00_ ;_-[$$-409]* \-#,##0.00\ ;_-[$$-409]* &quot;-&quot;??_ ;_-@_ ">
                  <c:v>521.4885499999998</c:v>
                </c:pt>
                <c:pt idx="982" formatCode="_-[$$-409]* #,##0.00_ ;_-[$$-409]* \-#,##0.00\ ;_-[$$-409]* &quot;-&quot;??_ ;_-@_ ">
                  <c:v>522.03684999999984</c:v>
                </c:pt>
                <c:pt idx="983" formatCode="_-[$$-409]* #,##0.00_ ;_-[$$-409]* \-#,##0.00\ ;_-[$$-409]* &quot;-&quot;??_ ;_-@_ ">
                  <c:v>522.52744999999982</c:v>
                </c:pt>
                <c:pt idx="984" formatCode="_-[$$-409]* #,##0.00_ ;_-[$$-409]* \-#,##0.00\ ;_-[$$-409]* &quot;-&quot;??_ ;_-@_ ">
                  <c:v>523.01169999999979</c:v>
                </c:pt>
                <c:pt idx="985" formatCode="_-[$$-409]* #,##0.00_ ;_-[$$-409]* \-#,##0.00\ ;_-[$$-409]* &quot;-&quot;??_ ;_-@_ ">
                  <c:v>523.50414999999975</c:v>
                </c:pt>
                <c:pt idx="986" formatCode="_-[$$-409]* #,##0.00_ ;_-[$$-409]* \-#,##0.00\ ;_-[$$-409]* &quot;-&quot;??_ ;_-@_ ">
                  <c:v>524.00919999999985</c:v>
                </c:pt>
                <c:pt idx="987" formatCode="_-[$$-409]* #,##0.00_ ;_-[$$-409]* \-#,##0.00\ ;_-[$$-409]* &quot;-&quot;??_ ;_-@_ ">
                  <c:v>524.47399999999982</c:v>
                </c:pt>
                <c:pt idx="988" formatCode="_-[$$-409]* #,##0.00_ ;_-[$$-409]* \-#,##0.00\ ;_-[$$-409]* &quot;-&quot;??_ ;_-@_ ">
                  <c:v>524.99854999999991</c:v>
                </c:pt>
                <c:pt idx="989" formatCode="_-[$$-409]* #,##0.00_ ;_-[$$-409]* \-#,##0.00\ ;_-[$$-409]* &quot;-&quot;??_ ;_-@_ ">
                  <c:v>525.52074999999991</c:v>
                </c:pt>
                <c:pt idx="990" formatCode="_-[$$-409]* #,##0.00_ ;_-[$$-409]* \-#,##0.00\ ;_-[$$-409]* &quot;-&quot;??_ ;_-@_ ">
                  <c:v>526.03314999999998</c:v>
                </c:pt>
                <c:pt idx="991" formatCode="_-[$$-409]* #,##0.00_ ;_-[$$-409]* \-#,##0.00\ ;_-[$$-409]* &quot;-&quot;??_ ;_-@_ ">
                  <c:v>526.55279999999993</c:v>
                </c:pt>
                <c:pt idx="992" formatCode="_-[$$-409]* #,##0.00_ ;_-[$$-409]* \-#,##0.00\ ;_-[$$-409]* &quot;-&quot;??_ ;_-@_ ">
                  <c:v>527.09185000000002</c:v>
                </c:pt>
                <c:pt idx="993" formatCode="_-[$$-409]* #,##0.00_ ;_-[$$-409]* \-#,##0.00\ ;_-[$$-409]* &quot;-&quot;??_ ;_-@_ ">
                  <c:v>527.60730000000001</c:v>
                </c:pt>
                <c:pt idx="994" formatCode="_-[$$-409]* #,##0.00_ ;_-[$$-409]* \-#,##0.00\ ;_-[$$-409]* &quot;-&quot;??_ ;_-@_ ">
                  <c:v>528.14224999999999</c:v>
                </c:pt>
                <c:pt idx="995" formatCode="_-[$$-409]* #,##0.00_ ;_-[$$-409]* \-#,##0.00\ ;_-[$$-409]* &quot;-&quot;??_ ;_-@_ ">
                  <c:v>528.69075000000009</c:v>
                </c:pt>
                <c:pt idx="996" formatCode="_-[$$-409]* #,##0.00_ ;_-[$$-409]* \-#,##0.00\ ;_-[$$-409]* &quot;-&quot;??_ ;_-@_ ">
                  <c:v>529.26974999999993</c:v>
                </c:pt>
                <c:pt idx="997" formatCode="_-[$$-409]* #,##0.00_ ;_-[$$-409]* \-#,##0.00\ ;_-[$$-409]* &quot;-&quot;??_ ;_-@_ ">
                  <c:v>529.85149999999999</c:v>
                </c:pt>
                <c:pt idx="998" formatCode="_-[$$-409]* #,##0.00_ ;_-[$$-409]* \-#,##0.00\ ;_-[$$-409]* &quot;-&quot;??_ ;_-@_ ">
                  <c:v>530.42849999999999</c:v>
                </c:pt>
                <c:pt idx="999" formatCode="_-[$$-409]* #,##0.00_ ;_-[$$-409]* \-#,##0.00\ ;_-[$$-409]* &quot;-&quot;??_ ;_-@_ ">
                  <c:v>530.94545000000005</c:v>
                </c:pt>
                <c:pt idx="1000" formatCode="_-[$$-409]* #,##0.00_ ;_-[$$-409]* \-#,##0.00\ ;_-[$$-409]* &quot;-&quot;??_ ;_-@_ ">
                  <c:v>531.47225000000003</c:v>
                </c:pt>
                <c:pt idx="1001" formatCode="_-[$$-409]* #,##0.00_ ;_-[$$-409]* \-#,##0.00\ ;_-[$$-409]* &quot;-&quot;??_ ;_-@_ ">
                  <c:v>531.98464999999999</c:v>
                </c:pt>
                <c:pt idx="1002" formatCode="_-[$$-409]* #,##0.00_ ;_-[$$-409]* \-#,##0.00\ ;_-[$$-409]* &quot;-&quot;??_ ;_-@_ ">
                  <c:v>532.50705000000005</c:v>
                </c:pt>
                <c:pt idx="1003" formatCode="_-[$$-409]* #,##0.00_ ;_-[$$-409]* \-#,##0.00\ ;_-[$$-409]* &quot;-&quot;??_ ;_-@_ ">
                  <c:v>533.03250000000003</c:v>
                </c:pt>
                <c:pt idx="1004" formatCode="_-[$$-409]* #,##0.00_ ;_-[$$-409]* \-#,##0.00\ ;_-[$$-409]* &quot;-&quot;??_ ;_-@_ ">
                  <c:v>533.55790000000002</c:v>
                </c:pt>
                <c:pt idx="1005" formatCode="_-[$$-409]* #,##0.00_ ;_-[$$-409]* \-#,##0.00\ ;_-[$$-409]* &quot;-&quot;??_ ;_-@_ ">
                  <c:v>534.03964999999994</c:v>
                </c:pt>
                <c:pt idx="1006" formatCode="_-[$$-409]* #,##0.00_ ;_-[$$-409]* \-#,##0.00\ ;_-[$$-409]* &quot;-&quot;??_ ;_-@_ ">
                  <c:v>534.51239999999996</c:v>
                </c:pt>
                <c:pt idx="1007" formatCode="_-[$$-409]* #,##0.00_ ;_-[$$-409]* \-#,##0.00\ ;_-[$$-409]* &quot;-&quot;??_ ;_-@_ ">
                  <c:v>534.94929999999988</c:v>
                </c:pt>
                <c:pt idx="1008" formatCode="_-[$$-409]* #,##0.00_ ;_-[$$-409]* \-#,##0.00\ ;_-[$$-409]* &quot;-&quot;??_ ;_-@_ ">
                  <c:v>535.41554999999994</c:v>
                </c:pt>
                <c:pt idx="1009" formatCode="_-[$$-409]* #,##0.00_ ;_-[$$-409]* \-#,##0.00\ ;_-[$$-409]* &quot;-&quot;??_ ;_-@_ ">
                  <c:v>535.94644999999991</c:v>
                </c:pt>
                <c:pt idx="1010" formatCode="_-[$$-409]* #,##0.00_ ;_-[$$-409]* \-#,##0.00\ ;_-[$$-409]* &quot;-&quot;??_ ;_-@_ ">
                  <c:v>536.49754999999993</c:v>
                </c:pt>
                <c:pt idx="1011" formatCode="_-[$$-409]* #,##0.00_ ;_-[$$-409]* \-#,##0.00\ ;_-[$$-409]* &quot;-&quot;??_ ;_-@_ ">
                  <c:v>537.04834999999991</c:v>
                </c:pt>
                <c:pt idx="1012" formatCode="_-[$$-409]* #,##0.00_ ;_-[$$-409]* \-#,##0.00\ ;_-[$$-409]* &quot;-&quot;??_ ;_-@_ ">
                  <c:v>537.60509999999999</c:v>
                </c:pt>
                <c:pt idx="1013" formatCode="_-[$$-409]* #,##0.00_ ;_-[$$-409]* \-#,##0.00\ ;_-[$$-409]* &quot;-&quot;??_ ;_-@_ ">
                  <c:v>538.13324999999998</c:v>
                </c:pt>
                <c:pt idx="1014" formatCode="_-[$$-409]* #,##0.00_ ;_-[$$-409]* \-#,##0.00\ ;_-[$$-409]* &quot;-&quot;??_ ;_-@_ ">
                  <c:v>538.66474999999991</c:v>
                </c:pt>
                <c:pt idx="1015" formatCode="_-[$$-409]* #,##0.00_ ;_-[$$-409]* \-#,##0.00\ ;_-[$$-409]* &quot;-&quot;??_ ;_-@_ ">
                  <c:v>539.21709999999996</c:v>
                </c:pt>
                <c:pt idx="1016" formatCode="_-[$$-409]* #,##0.00_ ;_-[$$-409]* \-#,##0.00\ ;_-[$$-409]* &quot;-&quot;??_ ;_-@_ ">
                  <c:v>539.69984999999997</c:v>
                </c:pt>
                <c:pt idx="1017" formatCode="_-[$$-409]* #,##0.00_ ;_-[$$-409]* \-#,##0.00\ ;_-[$$-409]* &quot;-&quot;??_ ;_-@_ ">
                  <c:v>540.16885000000002</c:v>
                </c:pt>
                <c:pt idx="1018" formatCode="_-[$$-409]* #,##0.00_ ;_-[$$-409]* \-#,##0.00\ ;_-[$$-409]* &quot;-&quot;??_ ;_-@_ ">
                  <c:v>540.6576</c:v>
                </c:pt>
                <c:pt idx="1019" formatCode="_-[$$-409]* #,##0.00_ ;_-[$$-409]* \-#,##0.00\ ;_-[$$-409]* &quot;-&quot;??_ ;_-@_ ">
                  <c:v>541.14019999999994</c:v>
                </c:pt>
                <c:pt idx="1020" formatCode="_-[$$-409]* #,##0.00_ ;_-[$$-409]* \-#,##0.00\ ;_-[$$-409]* &quot;-&quot;??_ ;_-@_ ">
                  <c:v>541.61805000000004</c:v>
                </c:pt>
                <c:pt idx="1021" formatCode="_-[$$-409]* #,##0.00_ ;_-[$$-409]* \-#,##0.00\ ;_-[$$-409]* &quot;-&quot;??_ ;_-@_ ">
                  <c:v>542.10400000000004</c:v>
                </c:pt>
                <c:pt idx="1022" formatCode="_-[$$-409]* #,##0.00_ ;_-[$$-409]* \-#,##0.00\ ;_-[$$-409]* &quot;-&quot;??_ ;_-@_ ">
                  <c:v>542.58564999999999</c:v>
                </c:pt>
                <c:pt idx="1023" formatCode="_-[$$-409]* #,##0.00_ ;_-[$$-409]* \-#,##0.00\ ;_-[$$-409]* &quot;-&quot;??_ ;_-@_ ">
                  <c:v>543.08399999999983</c:v>
                </c:pt>
                <c:pt idx="1024" formatCode="_-[$$-409]* #,##0.00_ ;_-[$$-409]* \-#,##0.00\ ;_-[$$-409]* &quot;-&quot;??_ ;_-@_ ">
                  <c:v>543.6077499999999</c:v>
                </c:pt>
                <c:pt idx="1025" formatCode="_-[$$-409]* #,##0.00_ ;_-[$$-409]* \-#,##0.00\ ;_-[$$-409]* &quot;-&quot;??_ ;_-@_ ">
                  <c:v>544.1276499999999</c:v>
                </c:pt>
                <c:pt idx="1026" formatCode="_-[$$-409]* #,##0.00_ ;_-[$$-409]* \-#,##0.00\ ;_-[$$-409]* &quot;-&quot;??_ ;_-@_ ">
                  <c:v>544.63574999999992</c:v>
                </c:pt>
                <c:pt idx="1027" formatCode="_-[$$-409]* #,##0.00_ ;_-[$$-409]* \-#,##0.00\ ;_-[$$-409]* &quot;-&quot;??_ ;_-@_ ">
                  <c:v>545.15774999999996</c:v>
                </c:pt>
                <c:pt idx="1028" formatCode="_-[$$-409]* #,##0.00_ ;_-[$$-409]* \-#,##0.00\ ;_-[$$-409]* &quot;-&quot;??_ ;_-@_ ">
                  <c:v>545.71224999999993</c:v>
                </c:pt>
                <c:pt idx="1029" formatCode="_-[$$-409]* #,##0.00_ ;_-[$$-409]* \-#,##0.00\ ;_-[$$-409]* &quot;-&quot;??_ ;_-@_ ">
                  <c:v>546.2595</c:v>
                </c:pt>
                <c:pt idx="1030" formatCode="_-[$$-409]* #,##0.00_ ;_-[$$-409]* \-#,##0.00\ ;_-[$$-409]* &quot;-&quot;??_ ;_-@_ ">
                  <c:v>546.76104999999995</c:v>
                </c:pt>
                <c:pt idx="1031" formatCode="_-[$$-409]* #,##0.00_ ;_-[$$-409]* \-#,##0.00\ ;_-[$$-409]* &quot;-&quot;??_ ;_-@_ ">
                  <c:v>547.24519999999995</c:v>
                </c:pt>
                <c:pt idx="1032" formatCode="_-[$$-409]* #,##0.00_ ;_-[$$-409]* \-#,##0.00\ ;_-[$$-409]* &quot;-&quot;??_ ;_-@_ ">
                  <c:v>547.72924999999998</c:v>
                </c:pt>
                <c:pt idx="1033" formatCode="_-[$$-409]* #,##0.00_ ;_-[$$-409]* \-#,##0.00\ ;_-[$$-409]* &quot;-&quot;??_ ;_-@_ ">
                  <c:v>548.2319</c:v>
                </c:pt>
                <c:pt idx="1034" formatCode="_-[$$-409]* #,##0.00_ ;_-[$$-409]* \-#,##0.00\ ;_-[$$-409]* &quot;-&quot;??_ ;_-@_ ">
                  <c:v>548.72225000000003</c:v>
                </c:pt>
                <c:pt idx="1035" formatCode="_-[$$-409]* #,##0.00_ ;_-[$$-409]* \-#,##0.00\ ;_-[$$-409]* &quot;-&quot;??_ ;_-@_ ">
                  <c:v>549.20290000000011</c:v>
                </c:pt>
                <c:pt idx="1036" formatCode="_-[$$-409]* #,##0.00_ ;_-[$$-409]* \-#,##0.00\ ;_-[$$-409]* &quot;-&quot;??_ ;_-@_ ">
                  <c:v>549.67259999999999</c:v>
                </c:pt>
                <c:pt idx="1037" formatCode="_-[$$-409]* #,##0.00_ ;_-[$$-409]* \-#,##0.00\ ;_-[$$-409]* &quot;-&quot;??_ ;_-@_ ">
                  <c:v>550.13254999999992</c:v>
                </c:pt>
                <c:pt idx="1038" formatCode="_-[$$-409]* #,##0.00_ ;_-[$$-409]* \-#,##0.00\ ;_-[$$-409]* &quot;-&quot;??_ ;_-@_ ">
                  <c:v>550.52804999999989</c:v>
                </c:pt>
                <c:pt idx="1039" formatCode="_-[$$-409]* #,##0.00_ ;_-[$$-409]* \-#,##0.00\ ;_-[$$-409]* &quot;-&quot;??_ ;_-@_ ">
                  <c:v>550.9097999999999</c:v>
                </c:pt>
                <c:pt idx="1040" formatCode="_-[$$-409]* #,##0.00_ ;_-[$$-409]* \-#,##0.00\ ;_-[$$-409]* &quot;-&quot;??_ ;_-@_ ">
                  <c:v>551.29149999999993</c:v>
                </c:pt>
                <c:pt idx="1041" formatCode="_-[$$-409]* #,##0.00_ ;_-[$$-409]* \-#,##0.00\ ;_-[$$-409]* &quot;-&quot;??_ ;_-@_ ">
                  <c:v>551.70634999999993</c:v>
                </c:pt>
                <c:pt idx="1042" formatCode="_-[$$-409]* #,##0.00_ ;_-[$$-409]* \-#,##0.00\ ;_-[$$-409]* &quot;-&quot;??_ ;_-@_ ">
                  <c:v>552.15644999999995</c:v>
                </c:pt>
                <c:pt idx="1043" formatCode="_-[$$-409]* #,##0.00_ ;_-[$$-409]* \-#,##0.00\ ;_-[$$-409]* &quot;-&quot;??_ ;_-@_ ">
                  <c:v>552.57924999999989</c:v>
                </c:pt>
                <c:pt idx="1044" formatCode="_-[$$-409]* #,##0.00_ ;_-[$$-409]* \-#,##0.00\ ;_-[$$-409]* &quot;-&quot;??_ ;_-@_ ">
                  <c:v>552.97444999999982</c:v>
                </c:pt>
                <c:pt idx="1045" formatCode="_-[$$-409]* #,##0.00_ ;_-[$$-409]* \-#,##0.00\ ;_-[$$-409]* &quot;-&quot;??_ ;_-@_ ">
                  <c:v>553.34079999999994</c:v>
                </c:pt>
                <c:pt idx="1046" formatCode="_-[$$-409]* #,##0.00_ ;_-[$$-409]* \-#,##0.00\ ;_-[$$-409]* &quot;-&quot;??_ ;_-@_ ">
                  <c:v>553.72204999999997</c:v>
                </c:pt>
                <c:pt idx="1047" formatCode="_-[$$-409]* #,##0.00_ ;_-[$$-409]* \-#,##0.00\ ;_-[$$-409]* &quot;-&quot;??_ ;_-@_ ">
                  <c:v>554.08095000000003</c:v>
                </c:pt>
                <c:pt idx="1048" formatCode="_-[$$-409]* #,##0.00_ ;_-[$$-409]* \-#,##0.00\ ;_-[$$-409]* &quot;-&quot;??_ ;_-@_ ">
                  <c:v>554.46214999999995</c:v>
                </c:pt>
                <c:pt idx="1049" formatCode="_-[$$-409]* #,##0.00_ ;_-[$$-409]* \-#,##0.00\ ;_-[$$-409]* &quot;-&quot;??_ ;_-@_ ">
                  <c:v>554.8365500000001</c:v>
                </c:pt>
                <c:pt idx="1050" formatCode="_-[$$-409]* #,##0.00_ ;_-[$$-409]* \-#,##0.00\ ;_-[$$-409]* &quot;-&quot;??_ ;_-@_ ">
                  <c:v>555.16870000000006</c:v>
                </c:pt>
                <c:pt idx="1051" formatCode="_-[$$-409]* #,##0.00_ ;_-[$$-409]* \-#,##0.00\ ;_-[$$-409]* &quot;-&quot;??_ ;_-@_ ">
                  <c:v>555.51009999999997</c:v>
                </c:pt>
                <c:pt idx="1052" formatCode="_-[$$-409]* #,##0.00_ ;_-[$$-409]* \-#,##0.00\ ;_-[$$-409]* &quot;-&quot;??_ ;_-@_ ">
                  <c:v>555.81370000000015</c:v>
                </c:pt>
                <c:pt idx="1053" formatCode="_-[$$-409]* #,##0.00_ ;_-[$$-409]* \-#,##0.00\ ;_-[$$-409]* &quot;-&quot;??_ ;_-@_ ">
                  <c:v>556.12660000000017</c:v>
                </c:pt>
                <c:pt idx="1054" formatCode="_-[$$-409]* #,##0.00_ ;_-[$$-409]* \-#,##0.00\ ;_-[$$-409]* &quot;-&quot;??_ ;_-@_ ">
                  <c:v>556.4217000000001</c:v>
                </c:pt>
                <c:pt idx="1055" formatCode="_-[$$-409]* #,##0.00_ ;_-[$$-409]* \-#,##0.00\ ;_-[$$-409]* &quot;-&quot;??_ ;_-@_ ">
                  <c:v>556.77025000000003</c:v>
                </c:pt>
                <c:pt idx="1056" formatCode="_-[$$-409]* #,##0.00_ ;_-[$$-409]* \-#,##0.00\ ;_-[$$-409]* &quot;-&quot;??_ ;_-@_ ">
                  <c:v>557.11765000000014</c:v>
                </c:pt>
                <c:pt idx="1057" formatCode="_-[$$-409]* #,##0.00_ ;_-[$$-409]* \-#,##0.00\ ;_-[$$-409]* &quot;-&quot;??_ ;_-@_ ">
                  <c:v>557.51135000000022</c:v>
                </c:pt>
                <c:pt idx="1058" formatCode="_-[$$-409]* #,##0.00_ ;_-[$$-409]* \-#,##0.00\ ;_-[$$-409]* &quot;-&quot;??_ ;_-@_ ">
                  <c:v>557.92955000000018</c:v>
                </c:pt>
                <c:pt idx="1059" formatCode="_-[$$-409]* #,##0.00_ ;_-[$$-409]* \-#,##0.00\ ;_-[$$-409]* &quot;-&quot;??_ ;_-@_ ">
                  <c:v>558.3964000000002</c:v>
                </c:pt>
                <c:pt idx="1060" formatCode="_-[$$-409]* #,##0.00_ ;_-[$$-409]* \-#,##0.00\ ;_-[$$-409]* &quot;-&quot;??_ ;_-@_ ">
                  <c:v>558.85300000000029</c:v>
                </c:pt>
                <c:pt idx="1061" formatCode="_-[$$-409]* #,##0.00_ ;_-[$$-409]* \-#,##0.00\ ;_-[$$-409]* &quot;-&quot;??_ ;_-@_ ">
                  <c:v>559.29925000000026</c:v>
                </c:pt>
                <c:pt idx="1062" formatCode="_-[$$-409]* #,##0.00_ ;_-[$$-409]* \-#,##0.00\ ;_-[$$-409]* &quot;-&quot;??_ ;_-@_ ">
                  <c:v>559.69950000000028</c:v>
                </c:pt>
                <c:pt idx="1063" formatCode="_-[$$-409]* #,##0.00_ ;_-[$$-409]* \-#,##0.00\ ;_-[$$-409]* &quot;-&quot;??_ ;_-@_ ">
                  <c:v>560.15150000000028</c:v>
                </c:pt>
                <c:pt idx="1064" formatCode="_-[$$-409]* #,##0.00_ ;_-[$$-409]* \-#,##0.00\ ;_-[$$-409]* &quot;-&quot;??_ ;_-@_ ">
                  <c:v>560.57055000000025</c:v>
                </c:pt>
                <c:pt idx="1065" formatCode="_-[$$-409]* #,##0.00_ ;_-[$$-409]* \-#,##0.00\ ;_-[$$-409]* &quot;-&quot;??_ ;_-@_ ">
                  <c:v>561.04150000000016</c:v>
                </c:pt>
                <c:pt idx="1066" formatCode="_-[$$-409]* #,##0.00_ ;_-[$$-409]* \-#,##0.00\ ;_-[$$-409]* &quot;-&quot;??_ ;_-@_ ">
                  <c:v>561.52835000000027</c:v>
                </c:pt>
                <c:pt idx="1067" formatCode="_-[$$-409]* #,##0.00_ ;_-[$$-409]* \-#,##0.00\ ;_-[$$-409]* &quot;-&quot;??_ ;_-@_ ">
                  <c:v>561.99955000000034</c:v>
                </c:pt>
                <c:pt idx="1068" formatCode="_-[$$-409]* #,##0.00_ ;_-[$$-409]* \-#,##0.00\ ;_-[$$-409]* &quot;-&quot;??_ ;_-@_ ">
                  <c:v>562.50570000000027</c:v>
                </c:pt>
                <c:pt idx="1069" formatCode="_-[$$-409]* #,##0.00_ ;_-[$$-409]* \-#,##0.00\ ;_-[$$-409]* &quot;-&quot;??_ ;_-@_ ">
                  <c:v>563.02920000000029</c:v>
                </c:pt>
                <c:pt idx="1070" formatCode="_-[$$-409]* #,##0.00_ ;_-[$$-409]* \-#,##0.00\ ;_-[$$-409]* &quot;-&quot;??_ ;_-@_ ">
                  <c:v>563.58500000000026</c:v>
                </c:pt>
                <c:pt idx="1071" formatCode="_-[$$-409]* #,##0.00_ ;_-[$$-409]* \-#,##0.00\ ;_-[$$-409]* &quot;-&quot;??_ ;_-@_ ">
                  <c:v>564.09025000000031</c:v>
                </c:pt>
                <c:pt idx="1072" formatCode="_-[$$-409]* #,##0.00_ ;_-[$$-409]* \-#,##0.00\ ;_-[$$-409]* &quot;-&quot;??_ ;_-@_ ">
                  <c:v>564.5862500000004</c:v>
                </c:pt>
                <c:pt idx="1073" formatCode="_-[$$-409]* #,##0.00_ ;_-[$$-409]* \-#,##0.00\ ;_-[$$-409]* &quot;-&quot;??_ ;_-@_ ">
                  <c:v>565.0857500000003</c:v>
                </c:pt>
                <c:pt idx="1074" formatCode="_-[$$-409]* #,##0.00_ ;_-[$$-409]* \-#,##0.00\ ;_-[$$-409]* &quot;-&quot;??_ ;_-@_ ">
                  <c:v>565.58510000000024</c:v>
                </c:pt>
                <c:pt idx="1075" formatCode="_-[$$-409]* #,##0.00_ ;_-[$$-409]* \-#,##0.00\ ;_-[$$-409]* &quot;-&quot;??_ ;_-@_ ">
                  <c:v>566.09245000000021</c:v>
                </c:pt>
                <c:pt idx="1076" formatCode="_-[$$-409]* #,##0.00_ ;_-[$$-409]* \-#,##0.00\ ;_-[$$-409]* &quot;-&quot;??_ ;_-@_ ">
                  <c:v>566.59065000000021</c:v>
                </c:pt>
                <c:pt idx="1077" formatCode="_-[$$-409]* #,##0.00_ ;_-[$$-409]* \-#,##0.00\ ;_-[$$-409]* &quot;-&quot;??_ ;_-@_ ">
                  <c:v>567.1382000000001</c:v>
                </c:pt>
                <c:pt idx="1078" formatCode="_-[$$-409]* #,##0.00_ ;_-[$$-409]* \-#,##0.00\ ;_-[$$-409]* &quot;-&quot;??_ ;_-@_ ">
                  <c:v>567.70110000000011</c:v>
                </c:pt>
                <c:pt idx="1079" formatCode="_-[$$-409]* #,##0.00_ ;_-[$$-409]* \-#,##0.00\ ;_-[$$-409]* &quot;-&quot;??_ ;_-@_ ">
                  <c:v>568.2278500000001</c:v>
                </c:pt>
                <c:pt idx="1080" formatCode="_-[$$-409]* #,##0.00_ ;_-[$$-409]* \-#,##0.00\ ;_-[$$-409]* &quot;-&quot;??_ ;_-@_ ">
                  <c:v>568.67110000000002</c:v>
                </c:pt>
                <c:pt idx="1081" formatCode="_-[$$-409]* #,##0.00_ ;_-[$$-409]* \-#,##0.00\ ;_-[$$-409]* &quot;-&quot;??_ ;_-@_ ">
                  <c:v>569.07430000000011</c:v>
                </c:pt>
                <c:pt idx="1082" formatCode="_-[$$-409]* #,##0.00_ ;_-[$$-409]* \-#,##0.00\ ;_-[$$-409]* &quot;-&quot;??_ ;_-@_ ">
                  <c:v>569.45980000000009</c:v>
                </c:pt>
                <c:pt idx="1083" formatCode="_-[$$-409]* #,##0.00_ ;_-[$$-409]* \-#,##0.00\ ;_-[$$-409]* &quot;-&quot;??_ ;_-@_ ">
                  <c:v>569.84655000000009</c:v>
                </c:pt>
                <c:pt idx="1084" formatCode="_-[$$-409]* #,##0.00_ ;_-[$$-409]* \-#,##0.00\ ;_-[$$-409]* &quot;-&quot;??_ ;_-@_ ">
                  <c:v>570.17095000000006</c:v>
                </c:pt>
                <c:pt idx="1085" formatCode="_-[$$-409]* #,##0.00_ ;_-[$$-409]* \-#,##0.00\ ;_-[$$-409]* &quot;-&quot;??_ ;_-@_ ">
                  <c:v>570.5376500000001</c:v>
                </c:pt>
                <c:pt idx="1086" formatCode="_-[$$-409]* #,##0.00_ ;_-[$$-409]* \-#,##0.00\ ;_-[$$-409]* &quot;-&quot;??_ ;_-@_ ">
                  <c:v>570.8519500000001</c:v>
                </c:pt>
                <c:pt idx="1087" formatCode="_-[$$-409]* #,##0.00_ ;_-[$$-409]* \-#,##0.00\ ;_-[$$-409]* &quot;-&quot;??_ ;_-@_ ">
                  <c:v>571.11975000000018</c:v>
                </c:pt>
                <c:pt idx="1088" formatCode="_-[$$-409]* #,##0.00_ ;_-[$$-409]* \-#,##0.00\ ;_-[$$-409]* &quot;-&quot;??_ ;_-@_ ">
                  <c:v>571.38615000000016</c:v>
                </c:pt>
                <c:pt idx="1089" formatCode="_-[$$-409]* #,##0.00_ ;_-[$$-409]* \-#,##0.00\ ;_-[$$-409]* &quot;-&quot;??_ ;_-@_ ">
                  <c:v>571.60625000000027</c:v>
                </c:pt>
                <c:pt idx="1090" formatCode="_-[$$-409]* #,##0.00_ ;_-[$$-409]* \-#,##0.00\ ;_-[$$-409]* &quot;-&quot;??_ ;_-@_ ">
                  <c:v>571.83860000000027</c:v>
                </c:pt>
                <c:pt idx="1091" formatCode="_-[$$-409]* #,##0.00_ ;_-[$$-409]* \-#,##0.00\ ;_-[$$-409]* &quot;-&quot;??_ ;_-@_ ">
                  <c:v>571.99120000000028</c:v>
                </c:pt>
                <c:pt idx="1092" formatCode="_-[$$-409]* #,##0.00_ ;_-[$$-409]* \-#,##0.00\ ;_-[$$-409]* &quot;-&quot;??_ ;_-@_ ">
                  <c:v>572.11400000000026</c:v>
                </c:pt>
                <c:pt idx="1093" formatCode="_-[$$-409]* #,##0.00_ ;_-[$$-409]* \-#,##0.00\ ;_-[$$-409]* &quot;-&quot;??_ ;_-@_ ">
                  <c:v>572.25920000000019</c:v>
                </c:pt>
                <c:pt idx="1094" formatCode="_-[$$-409]* #,##0.00_ ;_-[$$-409]* \-#,##0.00\ ;_-[$$-409]* &quot;-&quot;??_ ;_-@_ ">
                  <c:v>572.38650000000018</c:v>
                </c:pt>
                <c:pt idx="1095" formatCode="_-[$$-409]* #,##0.00_ ;_-[$$-409]* \-#,##0.00\ ;_-[$$-409]* &quot;-&quot;??_ ;_-@_ ">
                  <c:v>572.55335000000025</c:v>
                </c:pt>
                <c:pt idx="1096" formatCode="_-[$$-409]* #,##0.00_ ;_-[$$-409]* \-#,##0.00\ ;_-[$$-409]* &quot;-&quot;??_ ;_-@_ ">
                  <c:v>572.74005000000022</c:v>
                </c:pt>
                <c:pt idx="1097" formatCode="_-[$$-409]* #,##0.00_ ;_-[$$-409]* \-#,##0.00\ ;_-[$$-409]* &quot;-&quot;??_ ;_-@_ ">
                  <c:v>572.91465000000028</c:v>
                </c:pt>
                <c:pt idx="1098" formatCode="_-[$$-409]* #,##0.00_ ;_-[$$-409]* \-#,##0.00\ ;_-[$$-409]* &quot;-&quot;??_ ;_-@_ ">
                  <c:v>573.13725000000022</c:v>
                </c:pt>
                <c:pt idx="1099" formatCode="_-[$$-409]* #,##0.00_ ;_-[$$-409]* \-#,##0.00\ ;_-[$$-409]* &quot;-&quot;??_ ;_-@_ ">
                  <c:v>573.32785000000035</c:v>
                </c:pt>
                <c:pt idx="1100" formatCode="_-[$$-409]* #,##0.00_ ;_-[$$-409]* \-#,##0.00\ ;_-[$$-409]* &quot;-&quot;??_ ;_-@_ ">
                  <c:v>573.5087500000003</c:v>
                </c:pt>
                <c:pt idx="1101" formatCode="_-[$$-409]* #,##0.00_ ;_-[$$-409]* \-#,##0.00\ ;_-[$$-409]* &quot;-&quot;??_ ;_-@_ ">
                  <c:v>573.73720000000037</c:v>
                </c:pt>
                <c:pt idx="1102" formatCode="_-[$$-409]* #,##0.00_ ;_-[$$-409]* \-#,##0.00\ ;_-[$$-409]* &quot;-&quot;??_ ;_-@_ ">
                  <c:v>573.94115000000033</c:v>
                </c:pt>
                <c:pt idx="1103" formatCode="_-[$$-409]* #,##0.00_ ;_-[$$-409]* \-#,##0.00\ ;_-[$$-409]* &quot;-&quot;??_ ;_-@_ ">
                  <c:v>574.11080000000027</c:v>
                </c:pt>
                <c:pt idx="1104" formatCode="_-[$$-409]* #,##0.00_ ;_-[$$-409]* \-#,##0.00\ ;_-[$$-409]* &quot;-&quot;??_ ;_-@_ ">
                  <c:v>574.27615000000037</c:v>
                </c:pt>
                <c:pt idx="1105" formatCode="_-[$$-409]* #,##0.00_ ;_-[$$-409]* \-#,##0.00\ ;_-[$$-409]* &quot;-&quot;??_ ;_-@_ ">
                  <c:v>574.37615000000039</c:v>
                </c:pt>
                <c:pt idx="1106" formatCode="_-[$$-409]* #,##0.00_ ;_-[$$-409]* \-#,##0.00\ ;_-[$$-409]* &quot;-&quot;??_ ;_-@_ ">
                  <c:v>574.48835000000042</c:v>
                </c:pt>
                <c:pt idx="1107" formatCode="_-[$$-409]* #,##0.00_ ;_-[$$-409]* \-#,##0.00\ ;_-[$$-409]* &quot;-&quot;??_ ;_-@_ ">
                  <c:v>574.58640000000048</c:v>
                </c:pt>
                <c:pt idx="1108" formatCode="_-[$$-409]* #,##0.00_ ;_-[$$-409]* \-#,##0.00\ ;_-[$$-409]* &quot;-&quot;??_ ;_-@_ ">
                  <c:v>574.69675000000052</c:v>
                </c:pt>
                <c:pt idx="1109" formatCode="_-[$$-409]* #,##0.00_ ;_-[$$-409]* \-#,##0.00\ ;_-[$$-409]* &quot;-&quot;??_ ;_-@_ ">
                  <c:v>574.66635000000042</c:v>
                </c:pt>
                <c:pt idx="1110" formatCode="_-[$$-409]* #,##0.00_ ;_-[$$-409]* \-#,##0.00\ ;_-[$$-409]* &quot;-&quot;??_ ;_-@_ ">
                  <c:v>574.45725000000039</c:v>
                </c:pt>
                <c:pt idx="1111" formatCode="_-[$$-409]* #,##0.00_ ;_-[$$-409]* \-#,##0.00\ ;_-[$$-409]* &quot;-&quot;??_ ;_-@_ ">
                  <c:v>574.23670000000038</c:v>
                </c:pt>
                <c:pt idx="1112" formatCode="_-[$$-409]* #,##0.00_ ;_-[$$-409]* \-#,##0.00\ ;_-[$$-409]* &quot;-&quot;??_ ;_-@_ ">
                  <c:v>573.98410000000035</c:v>
                </c:pt>
                <c:pt idx="1113" formatCode="_-[$$-409]* #,##0.00_ ;_-[$$-409]* \-#,##0.00\ ;_-[$$-409]* &quot;-&quot;??_ ;_-@_ ">
                  <c:v>574.00465000000042</c:v>
                </c:pt>
                <c:pt idx="1114" formatCode="_-[$$-409]* #,##0.00_ ;_-[$$-409]* \-#,##0.00\ ;_-[$$-409]* &quot;-&quot;??_ ;_-@_ ">
                  <c:v>573.91385000000037</c:v>
                </c:pt>
                <c:pt idx="1115" formatCode="_-[$$-409]* #,##0.00_ ;_-[$$-409]* \-#,##0.00\ ;_-[$$-409]* &quot;-&quot;??_ ;_-@_ ">
                  <c:v>573.85940000000039</c:v>
                </c:pt>
                <c:pt idx="1116" formatCode="_-[$$-409]* #,##0.00_ ;_-[$$-409]* \-#,##0.00\ ;_-[$$-409]* &quot;-&quot;??_ ;_-@_ ">
                  <c:v>573.82745000000034</c:v>
                </c:pt>
                <c:pt idx="1117" formatCode="_-[$$-409]* #,##0.00_ ;_-[$$-409]* \-#,##0.00\ ;_-[$$-409]* &quot;-&quot;??_ ;_-@_ ">
                  <c:v>573.78365000000031</c:v>
                </c:pt>
                <c:pt idx="1118" formatCode="_-[$$-409]* #,##0.00_ ;_-[$$-409]* \-#,##0.00\ ;_-[$$-409]* &quot;-&quot;??_ ;_-@_ ">
                  <c:v>573.69085000000041</c:v>
                </c:pt>
                <c:pt idx="1119" formatCode="_-[$$-409]* #,##0.00_ ;_-[$$-409]* \-#,##0.00\ ;_-[$$-409]* &quot;-&quot;??_ ;_-@_ ">
                  <c:v>573.59620000000029</c:v>
                </c:pt>
                <c:pt idx="1120" formatCode="_-[$$-409]* #,##0.00_ ;_-[$$-409]* \-#,##0.00\ ;_-[$$-409]* &quot;-&quot;??_ ;_-@_ ">
                  <c:v>573.42055000000039</c:v>
                </c:pt>
                <c:pt idx="1121" formatCode="_-[$$-409]* #,##0.00_ ;_-[$$-409]* \-#,##0.00\ ;_-[$$-409]* &quot;-&quot;??_ ;_-@_ ">
                  <c:v>573.29950000000042</c:v>
                </c:pt>
                <c:pt idx="1122" formatCode="_-[$$-409]* #,##0.00_ ;_-[$$-409]* \-#,##0.00\ ;_-[$$-409]* &quot;-&quot;??_ ;_-@_ ">
                  <c:v>573.20340000000033</c:v>
                </c:pt>
                <c:pt idx="1123" formatCode="_-[$$-409]* #,##0.00_ ;_-[$$-409]* \-#,##0.00\ ;_-[$$-409]* &quot;-&quot;??_ ;_-@_ ">
                  <c:v>573.16045000000031</c:v>
                </c:pt>
                <c:pt idx="1124" formatCode="_-[$$-409]* #,##0.00_ ;_-[$$-409]* \-#,##0.00\ ;_-[$$-409]* &quot;-&quot;??_ ;_-@_ ">
                  <c:v>573.13455000000033</c:v>
                </c:pt>
                <c:pt idx="1125" formatCode="_-[$$-409]* #,##0.00_ ;_-[$$-409]* \-#,##0.00\ ;_-[$$-409]* &quot;-&quot;??_ ;_-@_ ">
                  <c:v>573.0822000000004</c:v>
                </c:pt>
                <c:pt idx="1126" formatCode="_-[$$-409]* #,##0.00_ ;_-[$$-409]* \-#,##0.00\ ;_-[$$-409]* &quot;-&quot;??_ ;_-@_ ">
                  <c:v>573.07140000000038</c:v>
                </c:pt>
                <c:pt idx="1127" formatCode="_-[$$-409]* #,##0.00_ ;_-[$$-409]* \-#,##0.00\ ;_-[$$-409]* &quot;-&quot;??_ ;_-@_ ">
                  <c:v>573.04415000000029</c:v>
                </c:pt>
                <c:pt idx="1128" formatCode="_-[$$-409]* #,##0.00_ ;_-[$$-409]* \-#,##0.00\ ;_-[$$-409]* &quot;-&quot;??_ ;_-@_ ">
                  <c:v>573.02885000000038</c:v>
                </c:pt>
                <c:pt idx="1129" formatCode="_-[$$-409]* #,##0.00_ ;_-[$$-409]* \-#,##0.00\ ;_-[$$-409]* &quot;-&quot;??_ ;_-@_ ">
                  <c:v>573.03835000000038</c:v>
                </c:pt>
                <c:pt idx="1130" formatCode="_-[$$-409]* #,##0.00_ ;_-[$$-409]* \-#,##0.00\ ;_-[$$-409]* &quot;-&quot;??_ ;_-@_ ">
                  <c:v>573.07120000000032</c:v>
                </c:pt>
                <c:pt idx="1131" formatCode="_-[$$-409]* #,##0.00_ ;_-[$$-409]* \-#,##0.00\ ;_-[$$-409]* &quot;-&quot;??_ ;_-@_ ">
                  <c:v>573.10190000000034</c:v>
                </c:pt>
                <c:pt idx="1132" formatCode="_-[$$-409]* #,##0.00_ ;_-[$$-409]* \-#,##0.00\ ;_-[$$-409]* &quot;-&quot;??_ ;_-@_ ">
                  <c:v>573.16270000000031</c:v>
                </c:pt>
                <c:pt idx="1133" formatCode="_-[$$-409]* #,##0.00_ ;_-[$$-409]* \-#,##0.00\ ;_-[$$-409]* &quot;-&quot;??_ ;_-@_ ">
                  <c:v>573.21475000000032</c:v>
                </c:pt>
                <c:pt idx="1134" formatCode="_-[$$-409]* #,##0.00_ ;_-[$$-409]* \-#,##0.00\ ;_-[$$-409]* &quot;-&quot;??_ ;_-@_ ">
                  <c:v>573.26755000000026</c:v>
                </c:pt>
                <c:pt idx="1135" formatCode="_-[$$-409]* #,##0.00_ ;_-[$$-409]* \-#,##0.00\ ;_-[$$-409]* &quot;-&quot;??_ ;_-@_ ">
                  <c:v>573.47635000000037</c:v>
                </c:pt>
                <c:pt idx="1136" formatCode="_-[$$-409]* #,##0.00_ ;_-[$$-409]* \-#,##0.00\ ;_-[$$-409]* &quot;-&quot;??_ ;_-@_ ">
                  <c:v>573.71850000000029</c:v>
                </c:pt>
                <c:pt idx="1137" formatCode="_-[$$-409]* #,##0.00_ ;_-[$$-409]* \-#,##0.00\ ;_-[$$-409]* &quot;-&quot;??_ ;_-@_ ">
                  <c:v>573.93425000000025</c:v>
                </c:pt>
                <c:pt idx="1138" formatCode="_-[$$-409]* #,##0.00_ ;_-[$$-409]* \-#,##0.00\ ;_-[$$-409]* &quot;-&quot;??_ ;_-@_ ">
                  <c:v>574.16275000000019</c:v>
                </c:pt>
                <c:pt idx="1139" formatCode="_-[$$-409]* #,##0.00_ ;_-[$$-409]* \-#,##0.00\ ;_-[$$-409]* &quot;-&quot;??_ ;_-@_ ">
                  <c:v>574.42375000000027</c:v>
                </c:pt>
                <c:pt idx="1140" formatCode="_-[$$-409]* #,##0.00_ ;_-[$$-409]* \-#,##0.00\ ;_-[$$-409]* &quot;-&quot;??_ ;_-@_ ">
                  <c:v>574.64395000000025</c:v>
                </c:pt>
                <c:pt idx="1141" formatCode="_-[$$-409]* #,##0.00_ ;_-[$$-409]* \-#,##0.00\ ;_-[$$-409]* &quot;-&quot;??_ ;_-@_ ">
                  <c:v>574.89315000000033</c:v>
                </c:pt>
                <c:pt idx="1142" formatCode="_-[$$-409]* #,##0.00_ ;_-[$$-409]* \-#,##0.00\ ;_-[$$-409]* &quot;-&quot;??_ ;_-@_ ">
                  <c:v>575.14295000000038</c:v>
                </c:pt>
                <c:pt idx="1143" formatCode="_-[$$-409]* #,##0.00_ ;_-[$$-409]* \-#,##0.00\ ;_-[$$-409]* &quot;-&quot;??_ ;_-@_ ">
                  <c:v>575.47150000000033</c:v>
                </c:pt>
                <c:pt idx="1144" formatCode="_-[$$-409]* #,##0.00_ ;_-[$$-409]* \-#,##0.00\ ;_-[$$-409]* &quot;-&quot;??_ ;_-@_ ">
                  <c:v>575.75630000000035</c:v>
                </c:pt>
                <c:pt idx="1145" formatCode="_-[$$-409]* #,##0.00_ ;_-[$$-409]* \-#,##0.00\ ;_-[$$-409]* &quot;-&quot;??_ ;_-@_ ">
                  <c:v>576.11875000000032</c:v>
                </c:pt>
                <c:pt idx="1146" formatCode="_-[$$-409]* #,##0.00_ ;_-[$$-409]* \-#,##0.00\ ;_-[$$-409]* &quot;-&quot;??_ ;_-@_ ">
                  <c:v>576.4041500000003</c:v>
                </c:pt>
                <c:pt idx="1147" formatCode="_-[$$-409]* #,##0.00_ ;_-[$$-409]* \-#,##0.00\ ;_-[$$-409]* &quot;-&quot;??_ ;_-@_ ">
                  <c:v>576.68945000000031</c:v>
                </c:pt>
                <c:pt idx="1148" formatCode="_-[$$-409]* #,##0.00_ ;_-[$$-409]* \-#,##0.00\ ;_-[$$-409]* &quot;-&quot;??_ ;_-@_ ">
                  <c:v>576.97005000000024</c:v>
                </c:pt>
                <c:pt idx="1149" formatCode="_-[$$-409]* #,##0.00_ ;_-[$$-409]* \-#,##0.00\ ;_-[$$-409]* &quot;-&quot;??_ ;_-@_ ">
                  <c:v>577.22340000000031</c:v>
                </c:pt>
                <c:pt idx="1150" formatCode="_-[$$-409]* #,##0.00_ ;_-[$$-409]* \-#,##0.00\ ;_-[$$-409]* &quot;-&quot;??_ ;_-@_ ">
                  <c:v>577.48510000000033</c:v>
                </c:pt>
                <c:pt idx="1151" formatCode="_-[$$-409]* #,##0.00_ ;_-[$$-409]* \-#,##0.00\ ;_-[$$-409]* &quot;-&quot;??_ ;_-@_ ">
                  <c:v>577.69940000000031</c:v>
                </c:pt>
                <c:pt idx="1152" formatCode="_-[$$-409]* #,##0.00_ ;_-[$$-409]* \-#,##0.00\ ;_-[$$-409]* &quot;-&quot;??_ ;_-@_ ">
                  <c:v>577.89310000000035</c:v>
                </c:pt>
                <c:pt idx="1153" formatCode="_-[$$-409]* #,##0.00_ ;_-[$$-409]* \-#,##0.00\ ;_-[$$-409]* &quot;-&quot;??_ ;_-@_ ">
                  <c:v>578.0907500000003</c:v>
                </c:pt>
                <c:pt idx="1154" formatCode="_-[$$-409]* #,##0.00_ ;_-[$$-409]* \-#,##0.00\ ;_-[$$-409]* &quot;-&quot;??_ ;_-@_ ">
                  <c:v>578.29565000000025</c:v>
                </c:pt>
                <c:pt idx="1155" formatCode="_-[$$-409]* #,##0.00_ ;_-[$$-409]* \-#,##0.00\ ;_-[$$-409]* &quot;-&quot;??_ ;_-@_ ">
                  <c:v>578.50795000000016</c:v>
                </c:pt>
                <c:pt idx="1156" formatCode="_-[$$-409]* #,##0.00_ ;_-[$$-409]* \-#,##0.00\ ;_-[$$-409]* &quot;-&quot;??_ ;_-@_ ">
                  <c:v>578.73365000000024</c:v>
                </c:pt>
                <c:pt idx="1157" formatCode="_-[$$-409]* #,##0.00_ ;_-[$$-409]* \-#,##0.00\ ;_-[$$-409]* &quot;-&quot;??_ ;_-@_ ">
                  <c:v>578.94175000000018</c:v>
                </c:pt>
                <c:pt idx="1158" formatCode="_-[$$-409]* #,##0.00_ ;_-[$$-409]* \-#,##0.00\ ;_-[$$-409]* &quot;-&quot;??_ ;_-@_ ">
                  <c:v>579.1228000000001</c:v>
                </c:pt>
                <c:pt idx="1159" formatCode="_-[$$-409]* #,##0.00_ ;_-[$$-409]* \-#,##0.00\ ;_-[$$-409]* &quot;-&quot;??_ ;_-@_ ">
                  <c:v>579.32839999999999</c:v>
                </c:pt>
                <c:pt idx="1160" formatCode="_-[$$-409]* #,##0.00_ ;_-[$$-409]* \-#,##0.00\ ;_-[$$-409]* &quot;-&quot;??_ ;_-@_ ">
                  <c:v>579.52455000000009</c:v>
                </c:pt>
                <c:pt idx="1161" formatCode="_-[$$-409]* #,##0.00_ ;_-[$$-409]* \-#,##0.00\ ;_-[$$-409]* &quot;-&quot;??_ ;_-@_ ">
                  <c:v>579.72</c:v>
                </c:pt>
                <c:pt idx="1162" formatCode="_-[$$-409]* #,##0.00_ ;_-[$$-409]* \-#,##0.00\ ;_-[$$-409]* &quot;-&quot;??_ ;_-@_ ">
                  <c:v>579.87300000000005</c:v>
                </c:pt>
                <c:pt idx="1163" formatCode="_-[$$-409]* #,##0.00_ ;_-[$$-409]* \-#,##0.00\ ;_-[$$-409]* &quot;-&quot;??_ ;_-@_ ">
                  <c:v>580.11334999999997</c:v>
                </c:pt>
                <c:pt idx="1164" formatCode="_-[$$-409]* #,##0.00_ ;_-[$$-409]* \-#,##0.00\ ;_-[$$-409]* &quot;-&quot;??_ ;_-@_ ">
                  <c:v>580.39250000000004</c:v>
                </c:pt>
                <c:pt idx="1165" formatCode="_-[$$-409]* #,##0.00_ ;_-[$$-409]* \-#,##0.00\ ;_-[$$-409]* &quot;-&quot;??_ ;_-@_ ">
                  <c:v>580.68004999999994</c:v>
                </c:pt>
                <c:pt idx="1166" formatCode="_-[$$-409]* #,##0.00_ ;_-[$$-409]* \-#,##0.00\ ;_-[$$-409]* &quot;-&quot;??_ ;_-@_ ">
                  <c:v>581.0376</c:v>
                </c:pt>
                <c:pt idx="1167" formatCode="_-[$$-409]* #,##0.00_ ;_-[$$-409]* \-#,##0.00\ ;_-[$$-409]* &quot;-&quot;??_ ;_-@_ ">
                  <c:v>581.38009999999997</c:v>
                </c:pt>
                <c:pt idx="1168" formatCode="_-[$$-409]* #,##0.00_ ;_-[$$-409]* \-#,##0.00\ ;_-[$$-409]* &quot;-&quot;??_ ;_-@_ ">
                  <c:v>581.72539999999992</c:v>
                </c:pt>
                <c:pt idx="1169" formatCode="_-[$$-409]* #,##0.00_ ;_-[$$-409]* \-#,##0.00\ ;_-[$$-409]* &quot;-&quot;??_ ;_-@_ ">
                  <c:v>582.04154999999992</c:v>
                </c:pt>
                <c:pt idx="1170" formatCode="_-[$$-409]* #,##0.00_ ;_-[$$-409]* \-#,##0.00\ ;_-[$$-409]* &quot;-&quot;??_ ;_-@_ ">
                  <c:v>582.34834999999987</c:v>
                </c:pt>
                <c:pt idx="1171" formatCode="_-[$$-409]* #,##0.00_ ;_-[$$-409]* \-#,##0.00\ ;_-[$$-409]* &quot;-&quot;??_ ;_-@_ ">
                  <c:v>582.66499999999985</c:v>
                </c:pt>
                <c:pt idx="1172" formatCode="_-[$$-409]* #,##0.00_ ;_-[$$-409]* \-#,##0.00\ ;_-[$$-409]* &quot;-&quot;??_ ;_-@_ ">
                  <c:v>582.95419999999979</c:v>
                </c:pt>
                <c:pt idx="1173" formatCode="_-[$$-409]* #,##0.00_ ;_-[$$-409]* \-#,##0.00\ ;_-[$$-409]* &quot;-&quot;??_ ;_-@_ ">
                  <c:v>583.24054999999976</c:v>
                </c:pt>
                <c:pt idx="1174" formatCode="_-[$$-409]* #,##0.00_ ;_-[$$-409]* \-#,##0.00\ ;_-[$$-409]* &quot;-&quot;??_ ;_-@_ ">
                  <c:v>583.55384999999978</c:v>
                </c:pt>
                <c:pt idx="1175" formatCode="_-[$$-409]* #,##0.00_ ;_-[$$-409]* \-#,##0.00\ ;_-[$$-409]* &quot;-&quot;??_ ;_-@_ ">
                  <c:v>583.82804999999973</c:v>
                </c:pt>
                <c:pt idx="1176" formatCode="_-[$$-409]* #,##0.00_ ;_-[$$-409]* \-#,##0.00\ ;_-[$$-409]* &quot;-&quot;??_ ;_-@_ ">
                  <c:v>584.10489999999982</c:v>
                </c:pt>
                <c:pt idx="1177" formatCode="_-[$$-409]* #,##0.00_ ;_-[$$-409]* \-#,##0.00\ ;_-[$$-409]* &quot;-&quot;??_ ;_-@_ ">
                  <c:v>584.38059999999973</c:v>
                </c:pt>
                <c:pt idx="1178" formatCode="_-[$$-409]* #,##0.00_ ;_-[$$-409]* \-#,##0.00\ ;_-[$$-409]* &quot;-&quot;??_ ;_-@_ ">
                  <c:v>584.6347999999997</c:v>
                </c:pt>
                <c:pt idx="1179" formatCode="_-[$$-409]* #,##0.00_ ;_-[$$-409]* \-#,##0.00\ ;_-[$$-409]* &quot;-&quot;??_ ;_-@_ ">
                  <c:v>584.90569999999968</c:v>
                </c:pt>
                <c:pt idx="1180" formatCode="_-[$$-409]* #,##0.00_ ;_-[$$-409]* \-#,##0.00\ ;_-[$$-409]* &quot;-&quot;??_ ;_-@_ ">
                  <c:v>585.18439999999964</c:v>
                </c:pt>
                <c:pt idx="1181" formatCode="_-[$$-409]* #,##0.00_ ;_-[$$-409]* \-#,##0.00\ ;_-[$$-409]* &quot;-&quot;??_ ;_-@_ ">
                  <c:v>585.4649499999997</c:v>
                </c:pt>
                <c:pt idx="1182" formatCode="_-[$$-409]* #,##0.00_ ;_-[$$-409]* \-#,##0.00\ ;_-[$$-409]* &quot;-&quot;??_ ;_-@_ ">
                  <c:v>585.73999999999967</c:v>
                </c:pt>
                <c:pt idx="1183" formatCode="_-[$$-409]* #,##0.00_ ;_-[$$-409]* \-#,##0.00\ ;_-[$$-409]* &quot;-&quot;??_ ;_-@_ ">
                  <c:v>586.04119999999978</c:v>
                </c:pt>
                <c:pt idx="1184" formatCode="_-[$$-409]* #,##0.00_ ;_-[$$-409]* \-#,##0.00\ ;_-[$$-409]* &quot;-&quot;??_ ;_-@_ ">
                  <c:v>586.36794999999984</c:v>
                </c:pt>
                <c:pt idx="1185" formatCode="_-[$$-409]* #,##0.00_ ;_-[$$-409]* \-#,##0.00\ ;_-[$$-409]* &quot;-&quot;??_ ;_-@_ ">
                  <c:v>586.70094999999981</c:v>
                </c:pt>
                <c:pt idx="1186" formatCode="_-[$$-409]* #,##0.00_ ;_-[$$-409]* \-#,##0.00\ ;_-[$$-409]* &quot;-&quot;??_ ;_-@_ ">
                  <c:v>587.02154999999982</c:v>
                </c:pt>
                <c:pt idx="1187" formatCode="_-[$$-409]* #,##0.00_ ;_-[$$-409]* \-#,##0.00\ ;_-[$$-409]* &quot;-&quot;??_ ;_-@_ ">
                  <c:v>587.36724999999979</c:v>
                </c:pt>
                <c:pt idx="1188" formatCode="_-[$$-409]* #,##0.00_ ;_-[$$-409]* \-#,##0.00\ ;_-[$$-409]* &quot;-&quot;??_ ;_-@_ ">
                  <c:v>587.67769999999973</c:v>
                </c:pt>
                <c:pt idx="1189" formatCode="_-[$$-409]* #,##0.00_ ;_-[$$-409]* \-#,##0.00\ ;_-[$$-409]* &quot;-&quot;??_ ;_-@_ ">
                  <c:v>587.96429999999975</c:v>
                </c:pt>
                <c:pt idx="1190" formatCode="_-[$$-409]* #,##0.00_ ;_-[$$-409]* \-#,##0.00\ ;_-[$$-409]* &quot;-&quot;??_ ;_-@_ ">
                  <c:v>588.24404999999979</c:v>
                </c:pt>
                <c:pt idx="1191" formatCode="_-[$$-409]* #,##0.00_ ;_-[$$-409]* \-#,##0.00\ ;_-[$$-409]* &quot;-&quot;??_ ;_-@_ ">
                  <c:v>588.45474999999976</c:v>
                </c:pt>
                <c:pt idx="1192" formatCode="_-[$$-409]* #,##0.00_ ;_-[$$-409]* \-#,##0.00\ ;_-[$$-409]* &quot;-&quot;??_ ;_-@_ ">
                  <c:v>588.68899999999985</c:v>
                </c:pt>
                <c:pt idx="1193" formatCode="_-[$$-409]* #,##0.00_ ;_-[$$-409]* \-#,##0.00\ ;_-[$$-409]* &quot;-&quot;??_ ;_-@_ ">
                  <c:v>588.92994999999974</c:v>
                </c:pt>
                <c:pt idx="1194" formatCode="_-[$$-409]* #,##0.00_ ;_-[$$-409]* \-#,##0.00\ ;_-[$$-409]* &quot;-&quot;??_ ;_-@_ ">
                  <c:v>589.18234999999981</c:v>
                </c:pt>
                <c:pt idx="1195" formatCode="_-[$$-409]* #,##0.00_ ;_-[$$-409]* \-#,##0.00\ ;_-[$$-409]* &quot;-&quot;??_ ;_-@_ ">
                  <c:v>589.43184999999971</c:v>
                </c:pt>
                <c:pt idx="1196" formatCode="_-[$$-409]* #,##0.00_ ;_-[$$-409]* \-#,##0.00\ ;_-[$$-409]* &quot;-&quot;??_ ;_-@_ ">
                  <c:v>589.69479999999976</c:v>
                </c:pt>
                <c:pt idx="1197" formatCode="_-[$$-409]* #,##0.00_ ;_-[$$-409]* \-#,##0.00\ ;_-[$$-409]* &quot;-&quot;??_ ;_-@_ ">
                  <c:v>589.95624999999973</c:v>
                </c:pt>
                <c:pt idx="1198" formatCode="_-[$$-409]* #,##0.00_ ;_-[$$-409]* \-#,##0.00\ ;_-[$$-409]* &quot;-&quot;??_ ;_-@_ ">
                  <c:v>590.25309999999979</c:v>
                </c:pt>
                <c:pt idx="1199" formatCode="_-[$$-409]* #,##0.00_ ;_-[$$-409]* \-#,##0.00\ ;_-[$$-409]* &quot;-&quot;??_ ;_-@_ ">
                  <c:v>590.58759999999972</c:v>
                </c:pt>
                <c:pt idx="1200" formatCode="_-[$$-409]* #,##0.00_ ;_-[$$-409]* \-#,##0.00\ ;_-[$$-409]* &quot;-&quot;??_ ;_-@_ ">
                  <c:v>590.91614999999967</c:v>
                </c:pt>
                <c:pt idx="1201" formatCode="_-[$$-409]* #,##0.00_ ;_-[$$-409]* \-#,##0.00\ ;_-[$$-409]* &quot;-&quot;??_ ;_-@_ ">
                  <c:v>591.23814999999968</c:v>
                </c:pt>
                <c:pt idx="1202" formatCode="_-[$$-409]* #,##0.00_ ;_-[$$-409]* \-#,##0.00\ ;_-[$$-409]* &quot;-&quot;??_ ;_-@_ ">
                  <c:v>591.55049999999972</c:v>
                </c:pt>
                <c:pt idx="1203" formatCode="_-[$$-409]* #,##0.00_ ;_-[$$-409]* \-#,##0.00\ ;_-[$$-409]* &quot;-&quot;??_ ;_-@_ ">
                  <c:v>591.84069999999974</c:v>
                </c:pt>
                <c:pt idx="1204" formatCode="_-[$$-409]* #,##0.00_ ;_-[$$-409]* \-#,##0.00\ ;_-[$$-409]* &quot;-&quot;??_ ;_-@_ ">
                  <c:v>592.13119999999969</c:v>
                </c:pt>
                <c:pt idx="1205" formatCode="_-[$$-409]* #,##0.00_ ;_-[$$-409]* \-#,##0.00\ ;_-[$$-409]* &quot;-&quot;??_ ;_-@_ ">
                  <c:v>592.46574999999973</c:v>
                </c:pt>
                <c:pt idx="1206" formatCode="_-[$$-409]* #,##0.00_ ;_-[$$-409]* \-#,##0.00\ ;_-[$$-409]* &quot;-&quot;??_ ;_-@_ ">
                  <c:v>592.83709999999974</c:v>
                </c:pt>
                <c:pt idx="1207" formatCode="_-[$$-409]* #,##0.00_ ;_-[$$-409]* \-#,##0.00\ ;_-[$$-409]* &quot;-&quot;??_ ;_-@_ ">
                  <c:v>593.20039999999972</c:v>
                </c:pt>
                <c:pt idx="1208" formatCode="_-[$$-409]* #,##0.00_ ;_-[$$-409]* \-#,##0.00\ ;_-[$$-409]* &quot;-&quot;??_ ;_-@_ ">
                  <c:v>593.54269999999963</c:v>
                </c:pt>
                <c:pt idx="1209" formatCode="_-[$$-409]* #,##0.00_ ;_-[$$-409]* \-#,##0.00\ ;_-[$$-409]* &quot;-&quot;??_ ;_-@_ ">
                  <c:v>593.82064999999977</c:v>
                </c:pt>
                <c:pt idx="1210" formatCode="_-[$$-409]* #,##0.00_ ;_-[$$-409]* \-#,##0.00\ ;_-[$$-409]* &quot;-&quot;??_ ;_-@_ ">
                  <c:v>594.08719999999971</c:v>
                </c:pt>
                <c:pt idx="1211" formatCode="_-[$$-409]* #,##0.00_ ;_-[$$-409]* \-#,##0.00\ ;_-[$$-409]* &quot;-&quot;??_ ;_-@_ ">
                  <c:v>594.32149999999979</c:v>
                </c:pt>
                <c:pt idx="1212" formatCode="_-[$$-409]* #,##0.00_ ;_-[$$-409]* \-#,##0.00\ ;_-[$$-409]* &quot;-&quot;??_ ;_-@_ ">
                  <c:v>594.52904999999987</c:v>
                </c:pt>
                <c:pt idx="1213" formatCode="_-[$$-409]* #,##0.00_ ;_-[$$-409]* \-#,##0.00\ ;_-[$$-409]* &quot;-&quot;??_ ;_-@_ ">
                  <c:v>594.76324999999986</c:v>
                </c:pt>
                <c:pt idx="1214" formatCode="_-[$$-409]* #,##0.00_ ;_-[$$-409]* \-#,##0.00\ ;_-[$$-409]* &quot;-&quot;??_ ;_-@_ ">
                  <c:v>595.02289999999982</c:v>
                </c:pt>
                <c:pt idx="1215" formatCode="_-[$$-409]* #,##0.00_ ;_-[$$-409]* \-#,##0.00\ ;_-[$$-409]* &quot;-&quot;??_ ;_-@_ ">
                  <c:v>595.29234999999983</c:v>
                </c:pt>
                <c:pt idx="1216" formatCode="_-[$$-409]* #,##0.00_ ;_-[$$-409]* \-#,##0.00\ ;_-[$$-409]* &quot;-&quot;??_ ;_-@_ ">
                  <c:v>595.6077499999999</c:v>
                </c:pt>
                <c:pt idx="1217" formatCode="_-[$$-409]* #,##0.00_ ;_-[$$-409]* \-#,##0.00\ ;_-[$$-409]* &quot;-&quot;??_ ;_-@_ ">
                  <c:v>595.91864999999996</c:v>
                </c:pt>
                <c:pt idx="1218" formatCode="_-[$$-409]* #,##0.00_ ;_-[$$-409]* \-#,##0.00\ ;_-[$$-409]* &quot;-&quot;??_ ;_-@_ ">
                  <c:v>596.22820000000002</c:v>
                </c:pt>
                <c:pt idx="1219" formatCode="_-[$$-409]* #,##0.00_ ;_-[$$-409]* \-#,##0.00\ ;_-[$$-409]* &quot;-&quot;??_ ;_-@_ ">
                  <c:v>596.56385000000012</c:v>
                </c:pt>
                <c:pt idx="1220" formatCode="_-[$$-409]* #,##0.00_ ;_-[$$-409]* \-#,##0.00\ ;_-[$$-409]* &quot;-&quot;??_ ;_-@_ ">
                  <c:v>596.88255000000004</c:v>
                </c:pt>
                <c:pt idx="1221" formatCode="_-[$$-409]* #,##0.00_ ;_-[$$-409]* \-#,##0.00\ ;_-[$$-409]* &quot;-&quot;??_ ;_-@_ ">
                  <c:v>597.20955000000004</c:v>
                </c:pt>
                <c:pt idx="1222" formatCode="_-[$$-409]* #,##0.00_ ;_-[$$-409]* \-#,##0.00\ ;_-[$$-409]* &quot;-&quot;??_ ;_-@_ ">
                  <c:v>597.52190000000007</c:v>
                </c:pt>
                <c:pt idx="1223" formatCode="_-[$$-409]* #,##0.00_ ;_-[$$-409]* \-#,##0.00\ ;_-[$$-409]* &quot;-&quot;??_ ;_-@_ ">
                  <c:v>597.81455000000005</c:v>
                </c:pt>
                <c:pt idx="1224" formatCode="_-[$$-409]* #,##0.00_ ;_-[$$-409]* \-#,##0.00\ ;_-[$$-409]* &quot;-&quot;??_ ;_-@_ ">
                  <c:v>598.13170000000002</c:v>
                </c:pt>
                <c:pt idx="1225" formatCode="_-[$$-409]* #,##0.00_ ;_-[$$-409]* \-#,##0.00\ ;_-[$$-409]* &quot;-&quot;??_ ;_-@_ ">
                  <c:v>598.4374499999999</c:v>
                </c:pt>
                <c:pt idx="1226" formatCode="_-[$$-409]* #,##0.00_ ;_-[$$-409]* \-#,##0.00\ ;_-[$$-409]* &quot;-&quot;??_ ;_-@_ ">
                  <c:v>598.75349999999992</c:v>
                </c:pt>
                <c:pt idx="1227" formatCode="_-[$$-409]* #,##0.00_ ;_-[$$-409]* \-#,##0.00\ ;_-[$$-409]* &quot;-&quot;??_ ;_-@_ ">
                  <c:v>599.04999999999995</c:v>
                </c:pt>
                <c:pt idx="1228" formatCode="_-[$$-409]* #,##0.00_ ;_-[$$-409]* \-#,##0.00\ ;_-[$$-409]* &quot;-&quot;??_ ;_-@_ ">
                  <c:v>599.31719999999984</c:v>
                </c:pt>
                <c:pt idx="1229" formatCode="_-[$$-409]* #,##0.00_ ;_-[$$-409]* \-#,##0.00\ ;_-[$$-409]* &quot;-&quot;??_ ;_-@_ ">
                  <c:v>599.57414999999992</c:v>
                </c:pt>
                <c:pt idx="1230" formatCode="_-[$$-409]* #,##0.00_ ;_-[$$-409]* \-#,##0.00\ ;_-[$$-409]* &quot;-&quot;??_ ;_-@_ ">
                  <c:v>599.84419999999989</c:v>
                </c:pt>
                <c:pt idx="1231" formatCode="_-[$$-409]* #,##0.00_ ;_-[$$-409]* \-#,##0.00\ ;_-[$$-409]* &quot;-&quot;??_ ;_-@_ ">
                  <c:v>600.13919999999996</c:v>
                </c:pt>
                <c:pt idx="1232" formatCode="_-[$$-409]* #,##0.00_ ;_-[$$-409]* \-#,##0.00\ ;_-[$$-409]* &quot;-&quot;??_ ;_-@_ ">
                  <c:v>600.45609999999988</c:v>
                </c:pt>
                <c:pt idx="1233" formatCode="_-[$$-409]* #,##0.00_ ;_-[$$-409]* \-#,##0.00\ ;_-[$$-409]* &quot;-&quot;??_ ;_-@_ ">
                  <c:v>600.76104999999995</c:v>
                </c:pt>
                <c:pt idx="1234" formatCode="_-[$$-409]* #,##0.00_ ;_-[$$-409]* \-#,##0.00\ ;_-[$$-409]* &quot;-&quot;??_ ;_-@_ ">
                  <c:v>601.08550000000002</c:v>
                </c:pt>
                <c:pt idx="1235" formatCode="_-[$$-409]* #,##0.00_ ;_-[$$-409]* \-#,##0.00\ ;_-[$$-409]* &quot;-&quot;??_ ;_-@_ ">
                  <c:v>601.41050000000007</c:v>
                </c:pt>
                <c:pt idx="1236" formatCode="_-[$$-409]* #,##0.00_ ;_-[$$-409]* \-#,##0.00\ ;_-[$$-409]* &quot;-&quot;??_ ;_-@_ ">
                  <c:v>601.7346</c:v>
                </c:pt>
                <c:pt idx="1237" formatCode="_-[$$-409]* #,##0.00_ ;_-[$$-409]* \-#,##0.00\ ;_-[$$-409]* &quot;-&quot;??_ ;_-@_ ">
                  <c:v>602.05875000000003</c:v>
                </c:pt>
                <c:pt idx="1238" formatCode="_-[$$-409]* #,##0.00_ ;_-[$$-409]* \-#,##0.00\ ;_-[$$-409]* &quot;-&quot;??_ ;_-@_ ">
                  <c:v>602.49289999999996</c:v>
                </c:pt>
                <c:pt idx="1239" formatCode="_-[$$-409]* #,##0.00_ ;_-[$$-409]* \-#,##0.00\ ;_-[$$-409]* &quot;-&quot;??_ ;_-@_ ">
                  <c:v>602.91819999999996</c:v>
                </c:pt>
                <c:pt idx="1240" formatCode="_-[$$-409]* #,##0.00_ ;_-[$$-409]* \-#,##0.00\ ;_-[$$-409]* &quot;-&quot;??_ ;_-@_ ">
                  <c:v>603.22755000000006</c:v>
                </c:pt>
                <c:pt idx="1241" formatCode="_-[$$-409]* #,##0.00_ ;_-[$$-409]* \-#,##0.00\ ;_-[$$-409]* &quot;-&quot;??_ ;_-@_ ">
                  <c:v>603.5693</c:v>
                </c:pt>
                <c:pt idx="1242" formatCode="_-[$$-409]* #,##0.00_ ;_-[$$-409]* \-#,##0.00\ ;_-[$$-409]* &quot;-&quot;??_ ;_-@_ ">
                  <c:v>603.87395000000004</c:v>
                </c:pt>
                <c:pt idx="1243" formatCode="_-[$$-409]* #,##0.00_ ;_-[$$-409]* \-#,##0.00\ ;_-[$$-409]* &quot;-&quot;??_ ;_-@_ ">
                  <c:v>604.19310000000007</c:v>
                </c:pt>
                <c:pt idx="1244" formatCode="_-[$$-409]* #,##0.00_ ;_-[$$-409]* \-#,##0.00\ ;_-[$$-409]* &quot;-&quot;??_ ;_-@_ ">
                  <c:v>604.52125000000012</c:v>
                </c:pt>
                <c:pt idx="1245" formatCode="_-[$$-409]* #,##0.00_ ;_-[$$-409]* \-#,##0.00\ ;_-[$$-409]* &quot;-&quot;??_ ;_-@_ ">
                  <c:v>604.90210000000002</c:v>
                </c:pt>
                <c:pt idx="1246" formatCode="_-[$$-409]* #,##0.00_ ;_-[$$-409]* \-#,##0.00\ ;_-[$$-409]* &quot;-&quot;??_ ;_-@_ ">
                  <c:v>605.32820000000015</c:v>
                </c:pt>
                <c:pt idx="1247" formatCode="_-[$$-409]* #,##0.00_ ;_-[$$-409]* \-#,##0.00\ ;_-[$$-409]* &quot;-&quot;??_ ;_-@_ ">
                  <c:v>605.76145000000008</c:v>
                </c:pt>
                <c:pt idx="1248" formatCode="_-[$$-409]* #,##0.00_ ;_-[$$-409]* \-#,##0.00\ ;_-[$$-409]* &quot;-&quot;??_ ;_-@_ ">
                  <c:v>606.14070000000004</c:v>
                </c:pt>
                <c:pt idx="1249" formatCode="_-[$$-409]* #,##0.00_ ;_-[$$-409]* \-#,##0.00\ ;_-[$$-409]* &quot;-&quot;??_ ;_-@_ ">
                  <c:v>606.52269999999999</c:v>
                </c:pt>
                <c:pt idx="1250" formatCode="_-[$$-409]* #,##0.00_ ;_-[$$-409]* \-#,##0.00\ ;_-[$$-409]* &quot;-&quot;??_ ;_-@_ ">
                  <c:v>606.96580000000006</c:v>
                </c:pt>
                <c:pt idx="1251" formatCode="_-[$$-409]* #,##0.00_ ;_-[$$-409]* \-#,##0.00\ ;_-[$$-409]* &quot;-&quot;??_ ;_-@_ ">
                  <c:v>607.44455000000005</c:v>
                </c:pt>
                <c:pt idx="1252" formatCode="_-[$$-409]* #,##0.00_ ;_-[$$-409]* \-#,##0.00\ ;_-[$$-409]* &quot;-&quot;??_ ;_-@_ ">
                  <c:v>607.9774000000001</c:v>
                </c:pt>
                <c:pt idx="1253" formatCode="_-[$$-409]* #,##0.00_ ;_-[$$-409]* \-#,##0.00\ ;_-[$$-409]* &quot;-&quot;??_ ;_-@_ ">
                  <c:v>608.50740000000019</c:v>
                </c:pt>
                <c:pt idx="1254" formatCode="_-[$$-409]* #,##0.00_ ;_-[$$-409]* \-#,##0.00\ ;_-[$$-409]* &quot;-&quot;??_ ;_-@_ ">
                  <c:v>608.99560000000019</c:v>
                </c:pt>
                <c:pt idx="1255" formatCode="_-[$$-409]* #,##0.00_ ;_-[$$-409]* \-#,##0.00\ ;_-[$$-409]* &quot;-&quot;??_ ;_-@_ ">
                  <c:v>609.44200000000023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95-45A0-8533-C467442FB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7003424"/>
        <c:axId val="2077003904"/>
      </c:lineChart>
      <c:dateAx>
        <c:axId val="2077003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Data Point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crossAx val="2077003904"/>
        <c:crosses val="autoZero"/>
        <c:auto val="1"/>
        <c:lblOffset val="100"/>
        <c:baseTimeUnit val="days"/>
      </c:dateAx>
      <c:valAx>
        <c:axId val="2077003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</a:t>
                </a:r>
              </a:p>
            </c:rich>
          </c:tx>
          <c:overlay val="0"/>
        </c:title>
        <c:numFmt formatCode="_-[$$-409]* #,##0.00_ ;_-[$$-409]* \-#,##0.00\ ;_-[$$-409]* &quot;-&quot;??_ ;_-@_ " sourceLinked="1"/>
        <c:majorTickMark val="out"/>
        <c:minorTickMark val="none"/>
        <c:tickLblPos val="nextTo"/>
        <c:crossAx val="2077003424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[SPY_close_price_5Y.xlsx]Close_Moving_Averages!PivotTable2</c:name>
    <c:fmtId val="4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dLbl>
          <c:idx val="0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'Close_Moving_Averages'!$H$3</c:f>
              <c:strCache>
                <c:ptCount val="1"/>
                <c:pt idx="0">
                  <c:v>CP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'Close_Moving_Averages'!$G$4:$G$1260</c:f>
              <c:strCache>
                <c:ptCount val="1256"/>
                <c:pt idx="0">
                  <c:v>02-11-2020</c:v>
                </c:pt>
                <c:pt idx="1">
                  <c:v>03-11-2020</c:v>
                </c:pt>
                <c:pt idx="2">
                  <c:v>04-11-2020</c:v>
                </c:pt>
                <c:pt idx="3">
                  <c:v>05-11-2020</c:v>
                </c:pt>
                <c:pt idx="4">
                  <c:v>06-11-2020</c:v>
                </c:pt>
                <c:pt idx="5">
                  <c:v>09-11-2020</c:v>
                </c:pt>
                <c:pt idx="6">
                  <c:v>10-11-2020</c:v>
                </c:pt>
                <c:pt idx="7">
                  <c:v>11-11-2020</c:v>
                </c:pt>
                <c:pt idx="8">
                  <c:v>12-11-2020</c:v>
                </c:pt>
                <c:pt idx="9">
                  <c:v>13-11-2020</c:v>
                </c:pt>
                <c:pt idx="10">
                  <c:v>16-11-2020</c:v>
                </c:pt>
                <c:pt idx="11">
                  <c:v>17-11-2020</c:v>
                </c:pt>
                <c:pt idx="12">
                  <c:v>18-11-2020</c:v>
                </c:pt>
                <c:pt idx="13">
                  <c:v>19-11-2020</c:v>
                </c:pt>
                <c:pt idx="14">
                  <c:v>20-11-2020</c:v>
                </c:pt>
                <c:pt idx="15">
                  <c:v>23-11-2020</c:v>
                </c:pt>
                <c:pt idx="16">
                  <c:v>24-11-2020</c:v>
                </c:pt>
                <c:pt idx="17">
                  <c:v>25-11-2020</c:v>
                </c:pt>
                <c:pt idx="18">
                  <c:v>27-11-2020</c:v>
                </c:pt>
                <c:pt idx="19">
                  <c:v>30-11-2020</c:v>
                </c:pt>
                <c:pt idx="20">
                  <c:v>01-12-2020</c:v>
                </c:pt>
                <c:pt idx="21">
                  <c:v>02-12-2020</c:v>
                </c:pt>
                <c:pt idx="22">
                  <c:v>03-12-2020</c:v>
                </c:pt>
                <c:pt idx="23">
                  <c:v>04-12-2020</c:v>
                </c:pt>
                <c:pt idx="24">
                  <c:v>07-12-2020</c:v>
                </c:pt>
                <c:pt idx="25">
                  <c:v>08-12-2020</c:v>
                </c:pt>
                <c:pt idx="26">
                  <c:v>09-12-2020</c:v>
                </c:pt>
                <c:pt idx="27">
                  <c:v>10-12-2020</c:v>
                </c:pt>
                <c:pt idx="28">
                  <c:v>11-12-2020</c:v>
                </c:pt>
                <c:pt idx="29">
                  <c:v>14-12-2020</c:v>
                </c:pt>
                <c:pt idx="30">
                  <c:v>15-12-2020</c:v>
                </c:pt>
                <c:pt idx="31">
                  <c:v>16-12-2020</c:v>
                </c:pt>
                <c:pt idx="32">
                  <c:v>17-12-2020</c:v>
                </c:pt>
                <c:pt idx="33">
                  <c:v>18-12-2020</c:v>
                </c:pt>
                <c:pt idx="34">
                  <c:v>21-12-2020</c:v>
                </c:pt>
                <c:pt idx="35">
                  <c:v>22-12-2020</c:v>
                </c:pt>
                <c:pt idx="36">
                  <c:v>23-12-2020</c:v>
                </c:pt>
                <c:pt idx="37">
                  <c:v>24-12-2020</c:v>
                </c:pt>
                <c:pt idx="38">
                  <c:v>28-12-2020</c:v>
                </c:pt>
                <c:pt idx="39">
                  <c:v>29-12-2020</c:v>
                </c:pt>
                <c:pt idx="40">
                  <c:v>30-12-2020</c:v>
                </c:pt>
                <c:pt idx="41">
                  <c:v>31-12-2020</c:v>
                </c:pt>
                <c:pt idx="42">
                  <c:v>04-01-2021</c:v>
                </c:pt>
                <c:pt idx="43">
                  <c:v>05-01-2021</c:v>
                </c:pt>
                <c:pt idx="44">
                  <c:v>06-01-2021</c:v>
                </c:pt>
                <c:pt idx="45">
                  <c:v>07-01-2021</c:v>
                </c:pt>
                <c:pt idx="46">
                  <c:v>08-01-2021</c:v>
                </c:pt>
                <c:pt idx="47">
                  <c:v>11-01-2021</c:v>
                </c:pt>
                <c:pt idx="48">
                  <c:v>12-01-2021</c:v>
                </c:pt>
                <c:pt idx="49">
                  <c:v>13-01-2021</c:v>
                </c:pt>
                <c:pt idx="50">
                  <c:v>14-01-2021</c:v>
                </c:pt>
                <c:pt idx="51">
                  <c:v>15-01-2021</c:v>
                </c:pt>
                <c:pt idx="52">
                  <c:v>19-01-2021</c:v>
                </c:pt>
                <c:pt idx="53">
                  <c:v>20-01-2021</c:v>
                </c:pt>
                <c:pt idx="54">
                  <c:v>21-01-2021</c:v>
                </c:pt>
                <c:pt idx="55">
                  <c:v>22-01-2021</c:v>
                </c:pt>
                <c:pt idx="56">
                  <c:v>25-01-2021</c:v>
                </c:pt>
                <c:pt idx="57">
                  <c:v>26-01-2021</c:v>
                </c:pt>
                <c:pt idx="58">
                  <c:v>27-01-2021</c:v>
                </c:pt>
                <c:pt idx="59">
                  <c:v>28-01-2021</c:v>
                </c:pt>
                <c:pt idx="60">
                  <c:v>29-01-2021</c:v>
                </c:pt>
                <c:pt idx="61">
                  <c:v>01-02-2021</c:v>
                </c:pt>
                <c:pt idx="62">
                  <c:v>02-02-2021</c:v>
                </c:pt>
                <c:pt idx="63">
                  <c:v>03-02-2021</c:v>
                </c:pt>
                <c:pt idx="64">
                  <c:v>04-02-2021</c:v>
                </c:pt>
                <c:pt idx="65">
                  <c:v>05-02-2021</c:v>
                </c:pt>
                <c:pt idx="66">
                  <c:v>08-02-2021</c:v>
                </c:pt>
                <c:pt idx="67">
                  <c:v>09-02-2021</c:v>
                </c:pt>
                <c:pt idx="68">
                  <c:v>10-02-2021</c:v>
                </c:pt>
                <c:pt idx="69">
                  <c:v>11-02-2021</c:v>
                </c:pt>
                <c:pt idx="70">
                  <c:v>12-02-2021</c:v>
                </c:pt>
                <c:pt idx="71">
                  <c:v>16-02-2021</c:v>
                </c:pt>
                <c:pt idx="72">
                  <c:v>17-02-2021</c:v>
                </c:pt>
                <c:pt idx="73">
                  <c:v>18-02-2021</c:v>
                </c:pt>
                <c:pt idx="74">
                  <c:v>19-02-2021</c:v>
                </c:pt>
                <c:pt idx="75">
                  <c:v>22-02-2021</c:v>
                </c:pt>
                <c:pt idx="76">
                  <c:v>23-02-2021</c:v>
                </c:pt>
                <c:pt idx="77">
                  <c:v>24-02-2021</c:v>
                </c:pt>
                <c:pt idx="78">
                  <c:v>25-02-2021</c:v>
                </c:pt>
                <c:pt idx="79">
                  <c:v>26-02-2021</c:v>
                </c:pt>
                <c:pt idx="80">
                  <c:v>01-03-2021</c:v>
                </c:pt>
                <c:pt idx="81">
                  <c:v>02-03-2021</c:v>
                </c:pt>
                <c:pt idx="82">
                  <c:v>03-03-2021</c:v>
                </c:pt>
                <c:pt idx="83">
                  <c:v>04-03-2021</c:v>
                </c:pt>
                <c:pt idx="84">
                  <c:v>05-03-2021</c:v>
                </c:pt>
                <c:pt idx="85">
                  <c:v>08-03-2021</c:v>
                </c:pt>
                <c:pt idx="86">
                  <c:v>09-03-2021</c:v>
                </c:pt>
                <c:pt idx="87">
                  <c:v>10-03-2021</c:v>
                </c:pt>
                <c:pt idx="88">
                  <c:v>11-03-2021</c:v>
                </c:pt>
                <c:pt idx="89">
                  <c:v>12-03-2021</c:v>
                </c:pt>
                <c:pt idx="90">
                  <c:v>15-03-2021</c:v>
                </c:pt>
                <c:pt idx="91">
                  <c:v>16-03-2021</c:v>
                </c:pt>
                <c:pt idx="92">
                  <c:v>17-03-2021</c:v>
                </c:pt>
                <c:pt idx="93">
                  <c:v>18-03-2021</c:v>
                </c:pt>
                <c:pt idx="94">
                  <c:v>19-03-2021</c:v>
                </c:pt>
                <c:pt idx="95">
                  <c:v>22-03-2021</c:v>
                </c:pt>
                <c:pt idx="96">
                  <c:v>23-03-2021</c:v>
                </c:pt>
                <c:pt idx="97">
                  <c:v>24-03-2021</c:v>
                </c:pt>
                <c:pt idx="98">
                  <c:v>25-03-2021</c:v>
                </c:pt>
                <c:pt idx="99">
                  <c:v>26-03-2021</c:v>
                </c:pt>
                <c:pt idx="100">
                  <c:v>29-03-2021</c:v>
                </c:pt>
                <c:pt idx="101">
                  <c:v>30-03-2021</c:v>
                </c:pt>
                <c:pt idx="102">
                  <c:v>31-03-2021</c:v>
                </c:pt>
                <c:pt idx="103">
                  <c:v>01-04-2021</c:v>
                </c:pt>
                <c:pt idx="104">
                  <c:v>05-04-2021</c:v>
                </c:pt>
                <c:pt idx="105">
                  <c:v>06-04-2021</c:v>
                </c:pt>
                <c:pt idx="106">
                  <c:v>07-04-2021</c:v>
                </c:pt>
                <c:pt idx="107">
                  <c:v>08-04-2021</c:v>
                </c:pt>
                <c:pt idx="108">
                  <c:v>09-04-2021</c:v>
                </c:pt>
                <c:pt idx="109">
                  <c:v>12-04-2021</c:v>
                </c:pt>
                <c:pt idx="110">
                  <c:v>13-04-2021</c:v>
                </c:pt>
                <c:pt idx="111">
                  <c:v>14-04-2021</c:v>
                </c:pt>
                <c:pt idx="112">
                  <c:v>15-04-2021</c:v>
                </c:pt>
                <c:pt idx="113">
                  <c:v>16-04-2021</c:v>
                </c:pt>
                <c:pt idx="114">
                  <c:v>19-04-2021</c:v>
                </c:pt>
                <c:pt idx="115">
                  <c:v>20-04-2021</c:v>
                </c:pt>
                <c:pt idx="116">
                  <c:v>21-04-2021</c:v>
                </c:pt>
                <c:pt idx="117">
                  <c:v>22-04-2021</c:v>
                </c:pt>
                <c:pt idx="118">
                  <c:v>23-04-2021</c:v>
                </c:pt>
                <c:pt idx="119">
                  <c:v>26-04-2021</c:v>
                </c:pt>
                <c:pt idx="120">
                  <c:v>27-04-2021</c:v>
                </c:pt>
                <c:pt idx="121">
                  <c:v>28-04-2021</c:v>
                </c:pt>
                <c:pt idx="122">
                  <c:v>29-04-2021</c:v>
                </c:pt>
                <c:pt idx="123">
                  <c:v>30-04-2021</c:v>
                </c:pt>
                <c:pt idx="124">
                  <c:v>03-05-2021</c:v>
                </c:pt>
                <c:pt idx="125">
                  <c:v>04-05-2021</c:v>
                </c:pt>
                <c:pt idx="126">
                  <c:v>05-05-2021</c:v>
                </c:pt>
                <c:pt idx="127">
                  <c:v>06-05-2021</c:v>
                </c:pt>
                <c:pt idx="128">
                  <c:v>07-05-2021</c:v>
                </c:pt>
                <c:pt idx="129">
                  <c:v>10-05-2021</c:v>
                </c:pt>
                <c:pt idx="130">
                  <c:v>11-05-2021</c:v>
                </c:pt>
                <c:pt idx="131">
                  <c:v>12-05-2021</c:v>
                </c:pt>
                <c:pt idx="132">
                  <c:v>13-05-2021</c:v>
                </c:pt>
                <c:pt idx="133">
                  <c:v>14-05-2021</c:v>
                </c:pt>
                <c:pt idx="134">
                  <c:v>17-05-2021</c:v>
                </c:pt>
                <c:pt idx="135">
                  <c:v>18-05-2021</c:v>
                </c:pt>
                <c:pt idx="136">
                  <c:v>19-05-2021</c:v>
                </c:pt>
                <c:pt idx="137">
                  <c:v>20-05-2021</c:v>
                </c:pt>
                <c:pt idx="138">
                  <c:v>21-05-2021</c:v>
                </c:pt>
                <c:pt idx="139">
                  <c:v>24-05-2021</c:v>
                </c:pt>
                <c:pt idx="140">
                  <c:v>25-05-2021</c:v>
                </c:pt>
                <c:pt idx="141">
                  <c:v>26-05-2021</c:v>
                </c:pt>
                <c:pt idx="142">
                  <c:v>27-05-2021</c:v>
                </c:pt>
                <c:pt idx="143">
                  <c:v>28-05-2021</c:v>
                </c:pt>
                <c:pt idx="144">
                  <c:v>01-06-2021</c:v>
                </c:pt>
                <c:pt idx="145">
                  <c:v>02-06-2021</c:v>
                </c:pt>
                <c:pt idx="146">
                  <c:v>03-06-2021</c:v>
                </c:pt>
                <c:pt idx="147">
                  <c:v>04-06-2021</c:v>
                </c:pt>
                <c:pt idx="148">
                  <c:v>07-06-2021</c:v>
                </c:pt>
                <c:pt idx="149">
                  <c:v>08-06-2021</c:v>
                </c:pt>
                <c:pt idx="150">
                  <c:v>09-06-2021</c:v>
                </c:pt>
                <c:pt idx="151">
                  <c:v>10-06-2021</c:v>
                </c:pt>
                <c:pt idx="152">
                  <c:v>11-06-2021</c:v>
                </c:pt>
                <c:pt idx="153">
                  <c:v>14-06-2021</c:v>
                </c:pt>
                <c:pt idx="154">
                  <c:v>15-06-2021</c:v>
                </c:pt>
                <c:pt idx="155">
                  <c:v>16-06-2021</c:v>
                </c:pt>
                <c:pt idx="156">
                  <c:v>17-06-2021</c:v>
                </c:pt>
                <c:pt idx="157">
                  <c:v>18-06-2021</c:v>
                </c:pt>
                <c:pt idx="158">
                  <c:v>21-06-2021</c:v>
                </c:pt>
                <c:pt idx="159">
                  <c:v>22-06-2021</c:v>
                </c:pt>
                <c:pt idx="160">
                  <c:v>23-06-2021</c:v>
                </c:pt>
                <c:pt idx="161">
                  <c:v>24-06-2021</c:v>
                </c:pt>
                <c:pt idx="162">
                  <c:v>25-06-2021</c:v>
                </c:pt>
                <c:pt idx="163">
                  <c:v>28-06-2021</c:v>
                </c:pt>
                <c:pt idx="164">
                  <c:v>29-06-2021</c:v>
                </c:pt>
                <c:pt idx="165">
                  <c:v>30-06-2021</c:v>
                </c:pt>
                <c:pt idx="166">
                  <c:v>01-07-2021</c:v>
                </c:pt>
                <c:pt idx="167">
                  <c:v>02-07-2021</c:v>
                </c:pt>
                <c:pt idx="168">
                  <c:v>06-07-2021</c:v>
                </c:pt>
                <c:pt idx="169">
                  <c:v>07-07-2021</c:v>
                </c:pt>
                <c:pt idx="170">
                  <c:v>08-07-2021</c:v>
                </c:pt>
                <c:pt idx="171">
                  <c:v>09-07-2021</c:v>
                </c:pt>
                <c:pt idx="172">
                  <c:v>12-07-2021</c:v>
                </c:pt>
                <c:pt idx="173">
                  <c:v>13-07-2021</c:v>
                </c:pt>
                <c:pt idx="174">
                  <c:v>14-07-2021</c:v>
                </c:pt>
                <c:pt idx="175">
                  <c:v>15-07-2021</c:v>
                </c:pt>
                <c:pt idx="176">
                  <c:v>16-07-2021</c:v>
                </c:pt>
                <c:pt idx="177">
                  <c:v>19-07-2021</c:v>
                </c:pt>
                <c:pt idx="178">
                  <c:v>20-07-2021</c:v>
                </c:pt>
                <c:pt idx="179">
                  <c:v>21-07-2021</c:v>
                </c:pt>
                <c:pt idx="180">
                  <c:v>22-07-2021</c:v>
                </c:pt>
                <c:pt idx="181">
                  <c:v>23-07-2021</c:v>
                </c:pt>
                <c:pt idx="182">
                  <c:v>26-07-2021</c:v>
                </c:pt>
                <c:pt idx="183">
                  <c:v>27-07-2021</c:v>
                </c:pt>
                <c:pt idx="184">
                  <c:v>28-07-2021</c:v>
                </c:pt>
                <c:pt idx="185">
                  <c:v>29-07-2021</c:v>
                </c:pt>
                <c:pt idx="186">
                  <c:v>30-07-2021</c:v>
                </c:pt>
                <c:pt idx="187">
                  <c:v>02-08-2021</c:v>
                </c:pt>
                <c:pt idx="188">
                  <c:v>03-08-2021</c:v>
                </c:pt>
                <c:pt idx="189">
                  <c:v>04-08-2021</c:v>
                </c:pt>
                <c:pt idx="190">
                  <c:v>05-08-2021</c:v>
                </c:pt>
                <c:pt idx="191">
                  <c:v>06-08-2021</c:v>
                </c:pt>
                <c:pt idx="192">
                  <c:v>09-08-2021</c:v>
                </c:pt>
                <c:pt idx="193">
                  <c:v>10-08-2021</c:v>
                </c:pt>
                <c:pt idx="194">
                  <c:v>11-08-2021</c:v>
                </c:pt>
                <c:pt idx="195">
                  <c:v>12-08-2021</c:v>
                </c:pt>
                <c:pt idx="196">
                  <c:v>13-08-2021</c:v>
                </c:pt>
                <c:pt idx="197">
                  <c:v>16-08-2021</c:v>
                </c:pt>
                <c:pt idx="198">
                  <c:v>17-08-2021</c:v>
                </c:pt>
                <c:pt idx="199">
                  <c:v>18-08-2021</c:v>
                </c:pt>
                <c:pt idx="200">
                  <c:v>19-08-2021</c:v>
                </c:pt>
                <c:pt idx="201">
                  <c:v>20-08-2021</c:v>
                </c:pt>
                <c:pt idx="202">
                  <c:v>23-08-2021</c:v>
                </c:pt>
                <c:pt idx="203">
                  <c:v>24-08-2021</c:v>
                </c:pt>
                <c:pt idx="204">
                  <c:v>25-08-2021</c:v>
                </c:pt>
                <c:pt idx="205">
                  <c:v>26-08-2021</c:v>
                </c:pt>
                <c:pt idx="206">
                  <c:v>27-08-2021</c:v>
                </c:pt>
                <c:pt idx="207">
                  <c:v>30-08-2021</c:v>
                </c:pt>
                <c:pt idx="208">
                  <c:v>31-08-2021</c:v>
                </c:pt>
                <c:pt idx="209">
                  <c:v>01-09-2021</c:v>
                </c:pt>
                <c:pt idx="210">
                  <c:v>02-09-2021</c:v>
                </c:pt>
                <c:pt idx="211">
                  <c:v>03-09-2021</c:v>
                </c:pt>
                <c:pt idx="212">
                  <c:v>07-09-2021</c:v>
                </c:pt>
                <c:pt idx="213">
                  <c:v>08-09-2021</c:v>
                </c:pt>
                <c:pt idx="214">
                  <c:v>09-09-2021</c:v>
                </c:pt>
                <c:pt idx="215">
                  <c:v>10-09-2021</c:v>
                </c:pt>
                <c:pt idx="216">
                  <c:v>13-09-2021</c:v>
                </c:pt>
                <c:pt idx="217">
                  <c:v>14-09-2021</c:v>
                </c:pt>
                <c:pt idx="218">
                  <c:v>15-09-2021</c:v>
                </c:pt>
                <c:pt idx="219">
                  <c:v>16-09-2021</c:v>
                </c:pt>
                <c:pt idx="220">
                  <c:v>17-09-2021</c:v>
                </c:pt>
                <c:pt idx="221">
                  <c:v>20-09-2021</c:v>
                </c:pt>
                <c:pt idx="222">
                  <c:v>21-09-2021</c:v>
                </c:pt>
                <c:pt idx="223">
                  <c:v>22-09-2021</c:v>
                </c:pt>
                <c:pt idx="224">
                  <c:v>23-09-2021</c:v>
                </c:pt>
                <c:pt idx="225">
                  <c:v>24-09-2021</c:v>
                </c:pt>
                <c:pt idx="226">
                  <c:v>27-09-2021</c:v>
                </c:pt>
                <c:pt idx="227">
                  <c:v>28-09-2021</c:v>
                </c:pt>
                <c:pt idx="228">
                  <c:v>29-09-2021</c:v>
                </c:pt>
                <c:pt idx="229">
                  <c:v>30-09-2021</c:v>
                </c:pt>
                <c:pt idx="230">
                  <c:v>01-10-2021</c:v>
                </c:pt>
                <c:pt idx="231">
                  <c:v>04-10-2021</c:v>
                </c:pt>
                <c:pt idx="232">
                  <c:v>05-10-2021</c:v>
                </c:pt>
                <c:pt idx="233">
                  <c:v>06-10-2021</c:v>
                </c:pt>
                <c:pt idx="234">
                  <c:v>07-10-2021</c:v>
                </c:pt>
                <c:pt idx="235">
                  <c:v>08-10-2021</c:v>
                </c:pt>
                <c:pt idx="236">
                  <c:v>11-10-2021</c:v>
                </c:pt>
                <c:pt idx="237">
                  <c:v>12-10-2021</c:v>
                </c:pt>
                <c:pt idx="238">
                  <c:v>13-10-2021</c:v>
                </c:pt>
                <c:pt idx="239">
                  <c:v>14-10-2021</c:v>
                </c:pt>
                <c:pt idx="240">
                  <c:v>15-10-2021</c:v>
                </c:pt>
                <c:pt idx="241">
                  <c:v>18-10-2021</c:v>
                </c:pt>
                <c:pt idx="242">
                  <c:v>19-10-2021</c:v>
                </c:pt>
                <c:pt idx="243">
                  <c:v>20-10-2021</c:v>
                </c:pt>
                <c:pt idx="244">
                  <c:v>21-10-2021</c:v>
                </c:pt>
                <c:pt idx="245">
                  <c:v>22-10-2021</c:v>
                </c:pt>
                <c:pt idx="246">
                  <c:v>25-10-2021</c:v>
                </c:pt>
                <c:pt idx="247">
                  <c:v>26-10-2021</c:v>
                </c:pt>
                <c:pt idx="248">
                  <c:v>27-10-2021</c:v>
                </c:pt>
                <c:pt idx="249">
                  <c:v>28-10-2021</c:v>
                </c:pt>
                <c:pt idx="250">
                  <c:v>29-10-2021</c:v>
                </c:pt>
                <c:pt idx="251">
                  <c:v>01-11-2021</c:v>
                </c:pt>
                <c:pt idx="252">
                  <c:v>02-11-2021</c:v>
                </c:pt>
                <c:pt idx="253">
                  <c:v>03-11-2021</c:v>
                </c:pt>
                <c:pt idx="254">
                  <c:v>04-11-2021</c:v>
                </c:pt>
                <c:pt idx="255">
                  <c:v>05-11-2021</c:v>
                </c:pt>
                <c:pt idx="256">
                  <c:v>08-11-2021</c:v>
                </c:pt>
                <c:pt idx="257">
                  <c:v>09-11-2021</c:v>
                </c:pt>
                <c:pt idx="258">
                  <c:v>10-11-2021</c:v>
                </c:pt>
                <c:pt idx="259">
                  <c:v>11-11-2021</c:v>
                </c:pt>
                <c:pt idx="260">
                  <c:v>12-11-2021</c:v>
                </c:pt>
                <c:pt idx="261">
                  <c:v>15-11-2021</c:v>
                </c:pt>
                <c:pt idx="262">
                  <c:v>16-11-2021</c:v>
                </c:pt>
                <c:pt idx="263">
                  <c:v>17-11-2021</c:v>
                </c:pt>
                <c:pt idx="264">
                  <c:v>18-11-2021</c:v>
                </c:pt>
                <c:pt idx="265">
                  <c:v>19-11-2021</c:v>
                </c:pt>
                <c:pt idx="266">
                  <c:v>22-11-2021</c:v>
                </c:pt>
                <c:pt idx="267">
                  <c:v>23-11-2021</c:v>
                </c:pt>
                <c:pt idx="268">
                  <c:v>24-11-2021</c:v>
                </c:pt>
                <c:pt idx="269">
                  <c:v>26-11-2021</c:v>
                </c:pt>
                <c:pt idx="270">
                  <c:v>29-11-2021</c:v>
                </c:pt>
                <c:pt idx="271">
                  <c:v>30-11-2021</c:v>
                </c:pt>
                <c:pt idx="272">
                  <c:v>01-12-2021</c:v>
                </c:pt>
                <c:pt idx="273">
                  <c:v>02-12-2021</c:v>
                </c:pt>
                <c:pt idx="274">
                  <c:v>03-12-2021</c:v>
                </c:pt>
                <c:pt idx="275">
                  <c:v>06-12-2021</c:v>
                </c:pt>
                <c:pt idx="276">
                  <c:v>07-12-2021</c:v>
                </c:pt>
                <c:pt idx="277">
                  <c:v>08-12-2021</c:v>
                </c:pt>
                <c:pt idx="278">
                  <c:v>09-12-2021</c:v>
                </c:pt>
                <c:pt idx="279">
                  <c:v>10-12-2021</c:v>
                </c:pt>
                <c:pt idx="280">
                  <c:v>13-12-2021</c:v>
                </c:pt>
                <c:pt idx="281">
                  <c:v>14-12-2021</c:v>
                </c:pt>
                <c:pt idx="282">
                  <c:v>15-12-2021</c:v>
                </c:pt>
                <c:pt idx="283">
                  <c:v>16-12-2021</c:v>
                </c:pt>
                <c:pt idx="284">
                  <c:v>17-12-2021</c:v>
                </c:pt>
                <c:pt idx="285">
                  <c:v>20-12-2021</c:v>
                </c:pt>
                <c:pt idx="286">
                  <c:v>21-12-2021</c:v>
                </c:pt>
                <c:pt idx="287">
                  <c:v>22-12-2021</c:v>
                </c:pt>
                <c:pt idx="288">
                  <c:v>23-12-2021</c:v>
                </c:pt>
                <c:pt idx="289">
                  <c:v>27-12-2021</c:v>
                </c:pt>
                <c:pt idx="290">
                  <c:v>28-12-2021</c:v>
                </c:pt>
                <c:pt idx="291">
                  <c:v>29-12-2021</c:v>
                </c:pt>
                <c:pt idx="292">
                  <c:v>30-12-2021</c:v>
                </c:pt>
                <c:pt idx="293">
                  <c:v>31-12-2021</c:v>
                </c:pt>
                <c:pt idx="294">
                  <c:v>03-01-2022</c:v>
                </c:pt>
                <c:pt idx="295">
                  <c:v>04-01-2022</c:v>
                </c:pt>
                <c:pt idx="296">
                  <c:v>05-01-2022</c:v>
                </c:pt>
                <c:pt idx="297">
                  <c:v>06-01-2022</c:v>
                </c:pt>
                <c:pt idx="298">
                  <c:v>07-01-2022</c:v>
                </c:pt>
                <c:pt idx="299">
                  <c:v>10-01-2022</c:v>
                </c:pt>
                <c:pt idx="300">
                  <c:v>11-01-2022</c:v>
                </c:pt>
                <c:pt idx="301">
                  <c:v>12-01-2022</c:v>
                </c:pt>
                <c:pt idx="302">
                  <c:v>13-01-2022</c:v>
                </c:pt>
                <c:pt idx="303">
                  <c:v>14-01-2022</c:v>
                </c:pt>
                <c:pt idx="304">
                  <c:v>18-01-2022</c:v>
                </c:pt>
                <c:pt idx="305">
                  <c:v>19-01-2022</c:v>
                </c:pt>
                <c:pt idx="306">
                  <c:v>20-01-2022</c:v>
                </c:pt>
                <c:pt idx="307">
                  <c:v>21-01-2022</c:v>
                </c:pt>
                <c:pt idx="308">
                  <c:v>24-01-2022</c:v>
                </c:pt>
                <c:pt idx="309">
                  <c:v>25-01-2022</c:v>
                </c:pt>
                <c:pt idx="310">
                  <c:v>26-01-2022</c:v>
                </c:pt>
                <c:pt idx="311">
                  <c:v>27-01-2022</c:v>
                </c:pt>
                <c:pt idx="312">
                  <c:v>28-01-2022</c:v>
                </c:pt>
                <c:pt idx="313">
                  <c:v>31-01-2022</c:v>
                </c:pt>
                <c:pt idx="314">
                  <c:v>01-02-2022</c:v>
                </c:pt>
                <c:pt idx="315">
                  <c:v>02-02-2022</c:v>
                </c:pt>
                <c:pt idx="316">
                  <c:v>03-02-2022</c:v>
                </c:pt>
                <c:pt idx="317">
                  <c:v>04-02-2022</c:v>
                </c:pt>
                <c:pt idx="318">
                  <c:v>07-02-2022</c:v>
                </c:pt>
                <c:pt idx="319">
                  <c:v>08-02-2022</c:v>
                </c:pt>
                <c:pt idx="320">
                  <c:v>09-02-2022</c:v>
                </c:pt>
                <c:pt idx="321">
                  <c:v>10-02-2022</c:v>
                </c:pt>
                <c:pt idx="322">
                  <c:v>11-02-2022</c:v>
                </c:pt>
                <c:pt idx="323">
                  <c:v>14-02-2022</c:v>
                </c:pt>
                <c:pt idx="324">
                  <c:v>15-02-2022</c:v>
                </c:pt>
                <c:pt idx="325">
                  <c:v>16-02-2022</c:v>
                </c:pt>
                <c:pt idx="326">
                  <c:v>17-02-2022</c:v>
                </c:pt>
                <c:pt idx="327">
                  <c:v>18-02-2022</c:v>
                </c:pt>
                <c:pt idx="328">
                  <c:v>22-02-2022</c:v>
                </c:pt>
                <c:pt idx="329">
                  <c:v>23-02-2022</c:v>
                </c:pt>
                <c:pt idx="330">
                  <c:v>24-02-2022</c:v>
                </c:pt>
                <c:pt idx="331">
                  <c:v>25-02-2022</c:v>
                </c:pt>
                <c:pt idx="332">
                  <c:v>28-02-2022</c:v>
                </c:pt>
                <c:pt idx="333">
                  <c:v>01-03-2022</c:v>
                </c:pt>
                <c:pt idx="334">
                  <c:v>02-03-2022</c:v>
                </c:pt>
                <c:pt idx="335">
                  <c:v>03-03-2022</c:v>
                </c:pt>
                <c:pt idx="336">
                  <c:v>04-03-2022</c:v>
                </c:pt>
                <c:pt idx="337">
                  <c:v>07-03-2022</c:v>
                </c:pt>
                <c:pt idx="338">
                  <c:v>08-03-2022</c:v>
                </c:pt>
                <c:pt idx="339">
                  <c:v>09-03-2022</c:v>
                </c:pt>
                <c:pt idx="340">
                  <c:v>10-03-2022</c:v>
                </c:pt>
                <c:pt idx="341">
                  <c:v>11-03-2022</c:v>
                </c:pt>
                <c:pt idx="342">
                  <c:v>14-03-2022</c:v>
                </c:pt>
                <c:pt idx="343">
                  <c:v>15-03-2022</c:v>
                </c:pt>
                <c:pt idx="344">
                  <c:v>16-03-2022</c:v>
                </c:pt>
                <c:pt idx="345">
                  <c:v>17-03-2022</c:v>
                </c:pt>
                <c:pt idx="346">
                  <c:v>18-03-2022</c:v>
                </c:pt>
                <c:pt idx="347">
                  <c:v>21-03-2022</c:v>
                </c:pt>
                <c:pt idx="348">
                  <c:v>22-03-2022</c:v>
                </c:pt>
                <c:pt idx="349">
                  <c:v>23-03-2022</c:v>
                </c:pt>
                <c:pt idx="350">
                  <c:v>24-03-2022</c:v>
                </c:pt>
                <c:pt idx="351">
                  <c:v>25-03-2022</c:v>
                </c:pt>
                <c:pt idx="352">
                  <c:v>28-03-2022</c:v>
                </c:pt>
                <c:pt idx="353">
                  <c:v>29-03-2022</c:v>
                </c:pt>
                <c:pt idx="354">
                  <c:v>30-03-2022</c:v>
                </c:pt>
                <c:pt idx="355">
                  <c:v>31-03-2022</c:v>
                </c:pt>
                <c:pt idx="356">
                  <c:v>01-04-2022</c:v>
                </c:pt>
                <c:pt idx="357">
                  <c:v>04-04-2022</c:v>
                </c:pt>
                <c:pt idx="358">
                  <c:v>05-04-2022</c:v>
                </c:pt>
                <c:pt idx="359">
                  <c:v>06-04-2022</c:v>
                </c:pt>
                <c:pt idx="360">
                  <c:v>07-04-2022</c:v>
                </c:pt>
                <c:pt idx="361">
                  <c:v>08-04-2022</c:v>
                </c:pt>
                <c:pt idx="362">
                  <c:v>11-04-2022</c:v>
                </c:pt>
                <c:pt idx="363">
                  <c:v>12-04-2022</c:v>
                </c:pt>
                <c:pt idx="364">
                  <c:v>13-04-2022</c:v>
                </c:pt>
                <c:pt idx="365">
                  <c:v>14-04-2022</c:v>
                </c:pt>
                <c:pt idx="366">
                  <c:v>18-04-2022</c:v>
                </c:pt>
                <c:pt idx="367">
                  <c:v>19-04-2022</c:v>
                </c:pt>
                <c:pt idx="368">
                  <c:v>20-04-2022</c:v>
                </c:pt>
                <c:pt idx="369">
                  <c:v>21-04-2022</c:v>
                </c:pt>
                <c:pt idx="370">
                  <c:v>22-04-2022</c:v>
                </c:pt>
                <c:pt idx="371">
                  <c:v>25-04-2022</c:v>
                </c:pt>
                <c:pt idx="372">
                  <c:v>26-04-2022</c:v>
                </c:pt>
                <c:pt idx="373">
                  <c:v>27-04-2022</c:v>
                </c:pt>
                <c:pt idx="374">
                  <c:v>28-04-2022</c:v>
                </c:pt>
                <c:pt idx="375">
                  <c:v>29-04-2022</c:v>
                </c:pt>
                <c:pt idx="376">
                  <c:v>02-05-2022</c:v>
                </c:pt>
                <c:pt idx="377">
                  <c:v>03-05-2022</c:v>
                </c:pt>
                <c:pt idx="378">
                  <c:v>04-05-2022</c:v>
                </c:pt>
                <c:pt idx="379">
                  <c:v>05-05-2022</c:v>
                </c:pt>
                <c:pt idx="380">
                  <c:v>06-05-2022</c:v>
                </c:pt>
                <c:pt idx="381">
                  <c:v>09-05-2022</c:v>
                </c:pt>
                <c:pt idx="382">
                  <c:v>10-05-2022</c:v>
                </c:pt>
                <c:pt idx="383">
                  <c:v>11-05-2022</c:v>
                </c:pt>
                <c:pt idx="384">
                  <c:v>12-05-2022</c:v>
                </c:pt>
                <c:pt idx="385">
                  <c:v>13-05-2022</c:v>
                </c:pt>
                <c:pt idx="386">
                  <c:v>16-05-2022</c:v>
                </c:pt>
                <c:pt idx="387">
                  <c:v>17-05-2022</c:v>
                </c:pt>
                <c:pt idx="388">
                  <c:v>18-05-2022</c:v>
                </c:pt>
                <c:pt idx="389">
                  <c:v>19-05-2022</c:v>
                </c:pt>
                <c:pt idx="390">
                  <c:v>20-05-2022</c:v>
                </c:pt>
                <c:pt idx="391">
                  <c:v>23-05-2022</c:v>
                </c:pt>
                <c:pt idx="392">
                  <c:v>24-05-2022</c:v>
                </c:pt>
                <c:pt idx="393">
                  <c:v>25-05-2022</c:v>
                </c:pt>
                <c:pt idx="394">
                  <c:v>26-05-2022</c:v>
                </c:pt>
                <c:pt idx="395">
                  <c:v>27-05-2022</c:v>
                </c:pt>
                <c:pt idx="396">
                  <c:v>31-05-2022</c:v>
                </c:pt>
                <c:pt idx="397">
                  <c:v>01-06-2022</c:v>
                </c:pt>
                <c:pt idx="398">
                  <c:v>02-06-2022</c:v>
                </c:pt>
                <c:pt idx="399">
                  <c:v>03-06-2022</c:v>
                </c:pt>
                <c:pt idx="400">
                  <c:v>06-06-2022</c:v>
                </c:pt>
                <c:pt idx="401">
                  <c:v>07-06-2022</c:v>
                </c:pt>
                <c:pt idx="402">
                  <c:v>08-06-2022</c:v>
                </c:pt>
                <c:pt idx="403">
                  <c:v>09-06-2022</c:v>
                </c:pt>
                <c:pt idx="404">
                  <c:v>10-06-2022</c:v>
                </c:pt>
                <c:pt idx="405">
                  <c:v>13-06-2022</c:v>
                </c:pt>
                <c:pt idx="406">
                  <c:v>14-06-2022</c:v>
                </c:pt>
                <c:pt idx="407">
                  <c:v>15-06-2022</c:v>
                </c:pt>
                <c:pt idx="408">
                  <c:v>16-06-2022</c:v>
                </c:pt>
                <c:pt idx="409">
                  <c:v>17-06-2022</c:v>
                </c:pt>
                <c:pt idx="410">
                  <c:v>21-06-2022</c:v>
                </c:pt>
                <c:pt idx="411">
                  <c:v>22-06-2022</c:v>
                </c:pt>
                <c:pt idx="412">
                  <c:v>23-06-2022</c:v>
                </c:pt>
                <c:pt idx="413">
                  <c:v>24-06-2022</c:v>
                </c:pt>
                <c:pt idx="414">
                  <c:v>27-06-2022</c:v>
                </c:pt>
                <c:pt idx="415">
                  <c:v>28-06-2022</c:v>
                </c:pt>
                <c:pt idx="416">
                  <c:v>29-06-2022</c:v>
                </c:pt>
                <c:pt idx="417">
                  <c:v>30-06-2022</c:v>
                </c:pt>
                <c:pt idx="418">
                  <c:v>01-07-2022</c:v>
                </c:pt>
                <c:pt idx="419">
                  <c:v>05-07-2022</c:v>
                </c:pt>
                <c:pt idx="420">
                  <c:v>06-07-2022</c:v>
                </c:pt>
                <c:pt idx="421">
                  <c:v>07-07-2022</c:v>
                </c:pt>
                <c:pt idx="422">
                  <c:v>08-07-2022</c:v>
                </c:pt>
                <c:pt idx="423">
                  <c:v>11-07-2022</c:v>
                </c:pt>
                <c:pt idx="424">
                  <c:v>12-07-2022</c:v>
                </c:pt>
                <c:pt idx="425">
                  <c:v>13-07-2022</c:v>
                </c:pt>
                <c:pt idx="426">
                  <c:v>14-07-2022</c:v>
                </c:pt>
                <c:pt idx="427">
                  <c:v>15-07-2022</c:v>
                </c:pt>
                <c:pt idx="428">
                  <c:v>18-07-2022</c:v>
                </c:pt>
                <c:pt idx="429">
                  <c:v>19-07-2022</c:v>
                </c:pt>
                <c:pt idx="430">
                  <c:v>20-07-2022</c:v>
                </c:pt>
                <c:pt idx="431">
                  <c:v>21-07-2022</c:v>
                </c:pt>
                <c:pt idx="432">
                  <c:v>22-07-2022</c:v>
                </c:pt>
                <c:pt idx="433">
                  <c:v>25-07-2022</c:v>
                </c:pt>
                <c:pt idx="434">
                  <c:v>26-07-2022</c:v>
                </c:pt>
                <c:pt idx="435">
                  <c:v>27-07-2022</c:v>
                </c:pt>
                <c:pt idx="436">
                  <c:v>28-07-2022</c:v>
                </c:pt>
                <c:pt idx="437">
                  <c:v>29-07-2022</c:v>
                </c:pt>
                <c:pt idx="438">
                  <c:v>01-08-2022</c:v>
                </c:pt>
                <c:pt idx="439">
                  <c:v>02-08-2022</c:v>
                </c:pt>
                <c:pt idx="440">
                  <c:v>03-08-2022</c:v>
                </c:pt>
                <c:pt idx="441">
                  <c:v>04-08-2022</c:v>
                </c:pt>
                <c:pt idx="442">
                  <c:v>05-08-2022</c:v>
                </c:pt>
                <c:pt idx="443">
                  <c:v>08-08-2022</c:v>
                </c:pt>
                <c:pt idx="444">
                  <c:v>09-08-2022</c:v>
                </c:pt>
                <c:pt idx="445">
                  <c:v>10-08-2022</c:v>
                </c:pt>
                <c:pt idx="446">
                  <c:v>11-08-2022</c:v>
                </c:pt>
                <c:pt idx="447">
                  <c:v>12-08-2022</c:v>
                </c:pt>
                <c:pt idx="448">
                  <c:v>15-08-2022</c:v>
                </c:pt>
                <c:pt idx="449">
                  <c:v>16-08-2022</c:v>
                </c:pt>
                <c:pt idx="450">
                  <c:v>17-08-2022</c:v>
                </c:pt>
                <c:pt idx="451">
                  <c:v>18-08-2022</c:v>
                </c:pt>
                <c:pt idx="452">
                  <c:v>19-08-2022</c:v>
                </c:pt>
                <c:pt idx="453">
                  <c:v>22-08-2022</c:v>
                </c:pt>
                <c:pt idx="454">
                  <c:v>23-08-2022</c:v>
                </c:pt>
                <c:pt idx="455">
                  <c:v>24-08-2022</c:v>
                </c:pt>
                <c:pt idx="456">
                  <c:v>25-08-2022</c:v>
                </c:pt>
                <c:pt idx="457">
                  <c:v>26-08-2022</c:v>
                </c:pt>
                <c:pt idx="458">
                  <c:v>29-08-2022</c:v>
                </c:pt>
                <c:pt idx="459">
                  <c:v>30-08-2022</c:v>
                </c:pt>
                <c:pt idx="460">
                  <c:v>31-08-2022</c:v>
                </c:pt>
                <c:pt idx="461">
                  <c:v>01-09-2022</c:v>
                </c:pt>
                <c:pt idx="462">
                  <c:v>02-09-2022</c:v>
                </c:pt>
                <c:pt idx="463">
                  <c:v>06-09-2022</c:v>
                </c:pt>
                <c:pt idx="464">
                  <c:v>07-09-2022</c:v>
                </c:pt>
                <c:pt idx="465">
                  <c:v>08-09-2022</c:v>
                </c:pt>
                <c:pt idx="466">
                  <c:v>09-09-2022</c:v>
                </c:pt>
                <c:pt idx="467">
                  <c:v>12-09-2022</c:v>
                </c:pt>
                <c:pt idx="468">
                  <c:v>13-09-2022</c:v>
                </c:pt>
                <c:pt idx="469">
                  <c:v>14-09-2022</c:v>
                </c:pt>
                <c:pt idx="470">
                  <c:v>15-09-2022</c:v>
                </c:pt>
                <c:pt idx="471">
                  <c:v>16-09-2022</c:v>
                </c:pt>
                <c:pt idx="472">
                  <c:v>19-09-2022</c:v>
                </c:pt>
                <c:pt idx="473">
                  <c:v>20-09-2022</c:v>
                </c:pt>
                <c:pt idx="474">
                  <c:v>21-09-2022</c:v>
                </c:pt>
                <c:pt idx="475">
                  <c:v>22-09-2022</c:v>
                </c:pt>
                <c:pt idx="476">
                  <c:v>23-09-2022</c:v>
                </c:pt>
                <c:pt idx="477">
                  <c:v>26-09-2022</c:v>
                </c:pt>
                <c:pt idx="478">
                  <c:v>27-09-2022</c:v>
                </c:pt>
                <c:pt idx="479">
                  <c:v>28-09-2022</c:v>
                </c:pt>
                <c:pt idx="480">
                  <c:v>29-09-2022</c:v>
                </c:pt>
                <c:pt idx="481">
                  <c:v>30-09-2022</c:v>
                </c:pt>
                <c:pt idx="482">
                  <c:v>03-10-2022</c:v>
                </c:pt>
                <c:pt idx="483">
                  <c:v>04-10-2022</c:v>
                </c:pt>
                <c:pt idx="484">
                  <c:v>05-10-2022</c:v>
                </c:pt>
                <c:pt idx="485">
                  <c:v>06-10-2022</c:v>
                </c:pt>
                <c:pt idx="486">
                  <c:v>07-10-2022</c:v>
                </c:pt>
                <c:pt idx="487">
                  <c:v>10-10-2022</c:v>
                </c:pt>
                <c:pt idx="488">
                  <c:v>11-10-2022</c:v>
                </c:pt>
                <c:pt idx="489">
                  <c:v>12-10-2022</c:v>
                </c:pt>
                <c:pt idx="490">
                  <c:v>13-10-2022</c:v>
                </c:pt>
                <c:pt idx="491">
                  <c:v>14-10-2022</c:v>
                </c:pt>
                <c:pt idx="492">
                  <c:v>17-10-2022</c:v>
                </c:pt>
                <c:pt idx="493">
                  <c:v>18-10-2022</c:v>
                </c:pt>
                <c:pt idx="494">
                  <c:v>19-10-2022</c:v>
                </c:pt>
                <c:pt idx="495">
                  <c:v>20-10-2022</c:v>
                </c:pt>
                <c:pt idx="496">
                  <c:v>21-10-2022</c:v>
                </c:pt>
                <c:pt idx="497">
                  <c:v>24-10-2022</c:v>
                </c:pt>
                <c:pt idx="498">
                  <c:v>25-10-2022</c:v>
                </c:pt>
                <c:pt idx="499">
                  <c:v>26-10-2022</c:v>
                </c:pt>
                <c:pt idx="500">
                  <c:v>27-10-2022</c:v>
                </c:pt>
                <c:pt idx="501">
                  <c:v>28-10-2022</c:v>
                </c:pt>
                <c:pt idx="502">
                  <c:v>31-10-2022</c:v>
                </c:pt>
                <c:pt idx="503">
                  <c:v>01-11-2022</c:v>
                </c:pt>
                <c:pt idx="504">
                  <c:v>02-11-2022</c:v>
                </c:pt>
                <c:pt idx="505">
                  <c:v>03-11-2022</c:v>
                </c:pt>
                <c:pt idx="506">
                  <c:v>04-11-2022</c:v>
                </c:pt>
                <c:pt idx="507">
                  <c:v>07-11-2022</c:v>
                </c:pt>
                <c:pt idx="508">
                  <c:v>08-11-2022</c:v>
                </c:pt>
                <c:pt idx="509">
                  <c:v>09-11-2022</c:v>
                </c:pt>
                <c:pt idx="510">
                  <c:v>10-11-2022</c:v>
                </c:pt>
                <c:pt idx="511">
                  <c:v>11-11-2022</c:v>
                </c:pt>
                <c:pt idx="512">
                  <c:v>14-11-2022</c:v>
                </c:pt>
                <c:pt idx="513">
                  <c:v>15-11-2022</c:v>
                </c:pt>
                <c:pt idx="514">
                  <c:v>16-11-2022</c:v>
                </c:pt>
                <c:pt idx="515">
                  <c:v>17-11-2022</c:v>
                </c:pt>
                <c:pt idx="516">
                  <c:v>18-11-2022</c:v>
                </c:pt>
                <c:pt idx="517">
                  <c:v>21-11-2022</c:v>
                </c:pt>
                <c:pt idx="518">
                  <c:v>22-11-2022</c:v>
                </c:pt>
                <c:pt idx="519">
                  <c:v>23-11-2022</c:v>
                </c:pt>
                <c:pt idx="520">
                  <c:v>25-11-2022</c:v>
                </c:pt>
                <c:pt idx="521">
                  <c:v>28-11-2022</c:v>
                </c:pt>
                <c:pt idx="522">
                  <c:v>29-11-2022</c:v>
                </c:pt>
                <c:pt idx="523">
                  <c:v>30-11-2022</c:v>
                </c:pt>
                <c:pt idx="524">
                  <c:v>01-12-2022</c:v>
                </c:pt>
                <c:pt idx="525">
                  <c:v>02-12-2022</c:v>
                </c:pt>
                <c:pt idx="526">
                  <c:v>05-12-2022</c:v>
                </c:pt>
                <c:pt idx="527">
                  <c:v>06-12-2022</c:v>
                </c:pt>
                <c:pt idx="528">
                  <c:v>07-12-2022</c:v>
                </c:pt>
                <c:pt idx="529">
                  <c:v>08-12-2022</c:v>
                </c:pt>
                <c:pt idx="530">
                  <c:v>09-12-2022</c:v>
                </c:pt>
                <c:pt idx="531">
                  <c:v>12-12-2022</c:v>
                </c:pt>
                <c:pt idx="532">
                  <c:v>13-12-2022</c:v>
                </c:pt>
                <c:pt idx="533">
                  <c:v>14-12-2022</c:v>
                </c:pt>
                <c:pt idx="534">
                  <c:v>15-12-2022</c:v>
                </c:pt>
                <c:pt idx="535">
                  <c:v>16-12-2022</c:v>
                </c:pt>
                <c:pt idx="536">
                  <c:v>19-12-2022</c:v>
                </c:pt>
                <c:pt idx="537">
                  <c:v>20-12-2022</c:v>
                </c:pt>
                <c:pt idx="538">
                  <c:v>21-12-2022</c:v>
                </c:pt>
                <c:pt idx="539">
                  <c:v>22-12-2022</c:v>
                </c:pt>
                <c:pt idx="540">
                  <c:v>23-12-2022</c:v>
                </c:pt>
                <c:pt idx="541">
                  <c:v>27-12-2022</c:v>
                </c:pt>
                <c:pt idx="542">
                  <c:v>28-12-2022</c:v>
                </c:pt>
                <c:pt idx="543">
                  <c:v>29-12-2022</c:v>
                </c:pt>
                <c:pt idx="544">
                  <c:v>30-12-2022</c:v>
                </c:pt>
                <c:pt idx="545">
                  <c:v>03-01-2023</c:v>
                </c:pt>
                <c:pt idx="546">
                  <c:v>04-01-2023</c:v>
                </c:pt>
                <c:pt idx="547">
                  <c:v>05-01-2023</c:v>
                </c:pt>
                <c:pt idx="548">
                  <c:v>06-01-2023</c:v>
                </c:pt>
                <c:pt idx="549">
                  <c:v>09-01-2023</c:v>
                </c:pt>
                <c:pt idx="550">
                  <c:v>10-01-2023</c:v>
                </c:pt>
                <c:pt idx="551">
                  <c:v>11-01-2023</c:v>
                </c:pt>
                <c:pt idx="552">
                  <c:v>12-01-2023</c:v>
                </c:pt>
                <c:pt idx="553">
                  <c:v>13-01-2023</c:v>
                </c:pt>
                <c:pt idx="554">
                  <c:v>17-01-2023</c:v>
                </c:pt>
                <c:pt idx="555">
                  <c:v>18-01-2023</c:v>
                </c:pt>
                <c:pt idx="556">
                  <c:v>19-01-2023</c:v>
                </c:pt>
                <c:pt idx="557">
                  <c:v>20-01-2023</c:v>
                </c:pt>
                <c:pt idx="558">
                  <c:v>23-01-2023</c:v>
                </c:pt>
                <c:pt idx="559">
                  <c:v>24-01-2023</c:v>
                </c:pt>
                <c:pt idx="560">
                  <c:v>25-01-2023</c:v>
                </c:pt>
                <c:pt idx="561">
                  <c:v>26-01-2023</c:v>
                </c:pt>
                <c:pt idx="562">
                  <c:v>27-01-2023</c:v>
                </c:pt>
                <c:pt idx="563">
                  <c:v>30-01-2023</c:v>
                </c:pt>
                <c:pt idx="564">
                  <c:v>31-01-2023</c:v>
                </c:pt>
                <c:pt idx="565">
                  <c:v>01-02-2023</c:v>
                </c:pt>
                <c:pt idx="566">
                  <c:v>02-02-2023</c:v>
                </c:pt>
                <c:pt idx="567">
                  <c:v>03-02-2023</c:v>
                </c:pt>
                <c:pt idx="568">
                  <c:v>06-02-2023</c:v>
                </c:pt>
                <c:pt idx="569">
                  <c:v>07-02-2023</c:v>
                </c:pt>
                <c:pt idx="570">
                  <c:v>08-02-2023</c:v>
                </c:pt>
                <c:pt idx="571">
                  <c:v>09-02-2023</c:v>
                </c:pt>
                <c:pt idx="572">
                  <c:v>10-02-2023</c:v>
                </c:pt>
                <c:pt idx="573">
                  <c:v>13-02-2023</c:v>
                </c:pt>
                <c:pt idx="574">
                  <c:v>14-02-2023</c:v>
                </c:pt>
                <c:pt idx="575">
                  <c:v>15-02-2023</c:v>
                </c:pt>
                <c:pt idx="576">
                  <c:v>16-02-2023</c:v>
                </c:pt>
                <c:pt idx="577">
                  <c:v>17-02-2023</c:v>
                </c:pt>
                <c:pt idx="578">
                  <c:v>21-02-2023</c:v>
                </c:pt>
                <c:pt idx="579">
                  <c:v>22-02-2023</c:v>
                </c:pt>
                <c:pt idx="580">
                  <c:v>23-02-2023</c:v>
                </c:pt>
                <c:pt idx="581">
                  <c:v>24-02-2023</c:v>
                </c:pt>
                <c:pt idx="582">
                  <c:v>27-02-2023</c:v>
                </c:pt>
                <c:pt idx="583">
                  <c:v>28-02-2023</c:v>
                </c:pt>
                <c:pt idx="584">
                  <c:v>01-03-2023</c:v>
                </c:pt>
                <c:pt idx="585">
                  <c:v>02-03-2023</c:v>
                </c:pt>
                <c:pt idx="586">
                  <c:v>03-03-2023</c:v>
                </c:pt>
                <c:pt idx="587">
                  <c:v>06-03-2023</c:v>
                </c:pt>
                <c:pt idx="588">
                  <c:v>07-03-2023</c:v>
                </c:pt>
                <c:pt idx="589">
                  <c:v>08-03-2023</c:v>
                </c:pt>
                <c:pt idx="590">
                  <c:v>09-03-2023</c:v>
                </c:pt>
                <c:pt idx="591">
                  <c:v>10-03-2023</c:v>
                </c:pt>
                <c:pt idx="592">
                  <c:v>13-03-2023</c:v>
                </c:pt>
                <c:pt idx="593">
                  <c:v>14-03-2023</c:v>
                </c:pt>
                <c:pt idx="594">
                  <c:v>15-03-2023</c:v>
                </c:pt>
                <c:pt idx="595">
                  <c:v>16-03-2023</c:v>
                </c:pt>
                <c:pt idx="596">
                  <c:v>17-03-2023</c:v>
                </c:pt>
                <c:pt idx="597">
                  <c:v>20-03-2023</c:v>
                </c:pt>
                <c:pt idx="598">
                  <c:v>21-03-2023</c:v>
                </c:pt>
                <c:pt idx="599">
                  <c:v>22-03-2023</c:v>
                </c:pt>
                <c:pt idx="600">
                  <c:v>23-03-2023</c:v>
                </c:pt>
                <c:pt idx="601">
                  <c:v>24-03-2023</c:v>
                </c:pt>
                <c:pt idx="602">
                  <c:v>27-03-2023</c:v>
                </c:pt>
                <c:pt idx="603">
                  <c:v>28-03-2023</c:v>
                </c:pt>
                <c:pt idx="604">
                  <c:v>29-03-2023</c:v>
                </c:pt>
                <c:pt idx="605">
                  <c:v>30-03-2023</c:v>
                </c:pt>
                <c:pt idx="606">
                  <c:v>31-03-2023</c:v>
                </c:pt>
                <c:pt idx="607">
                  <c:v>03-04-2023</c:v>
                </c:pt>
                <c:pt idx="608">
                  <c:v>04-04-2023</c:v>
                </c:pt>
                <c:pt idx="609">
                  <c:v>05-04-2023</c:v>
                </c:pt>
                <c:pt idx="610">
                  <c:v>06-04-2023</c:v>
                </c:pt>
                <c:pt idx="611">
                  <c:v>10-04-2023</c:v>
                </c:pt>
                <c:pt idx="612">
                  <c:v>11-04-2023</c:v>
                </c:pt>
                <c:pt idx="613">
                  <c:v>12-04-2023</c:v>
                </c:pt>
                <c:pt idx="614">
                  <c:v>13-04-2023</c:v>
                </c:pt>
                <c:pt idx="615">
                  <c:v>14-04-2023</c:v>
                </c:pt>
                <c:pt idx="616">
                  <c:v>17-04-2023</c:v>
                </c:pt>
                <c:pt idx="617">
                  <c:v>18-04-2023</c:v>
                </c:pt>
                <c:pt idx="618">
                  <c:v>19-04-2023</c:v>
                </c:pt>
                <c:pt idx="619">
                  <c:v>20-04-2023</c:v>
                </c:pt>
                <c:pt idx="620">
                  <c:v>21-04-2023</c:v>
                </c:pt>
                <c:pt idx="621">
                  <c:v>24-04-2023</c:v>
                </c:pt>
                <c:pt idx="622">
                  <c:v>25-04-2023</c:v>
                </c:pt>
                <c:pt idx="623">
                  <c:v>26-04-2023</c:v>
                </c:pt>
                <c:pt idx="624">
                  <c:v>27-04-2023</c:v>
                </c:pt>
                <c:pt idx="625">
                  <c:v>28-04-2023</c:v>
                </c:pt>
                <c:pt idx="626">
                  <c:v>01-05-2023</c:v>
                </c:pt>
                <c:pt idx="627">
                  <c:v>02-05-2023</c:v>
                </c:pt>
                <c:pt idx="628">
                  <c:v>03-05-2023</c:v>
                </c:pt>
                <c:pt idx="629">
                  <c:v>04-05-2023</c:v>
                </c:pt>
                <c:pt idx="630">
                  <c:v>05-05-2023</c:v>
                </c:pt>
                <c:pt idx="631">
                  <c:v>08-05-2023</c:v>
                </c:pt>
                <c:pt idx="632">
                  <c:v>09-05-2023</c:v>
                </c:pt>
                <c:pt idx="633">
                  <c:v>10-05-2023</c:v>
                </c:pt>
                <c:pt idx="634">
                  <c:v>11-05-2023</c:v>
                </c:pt>
                <c:pt idx="635">
                  <c:v>12-05-2023</c:v>
                </c:pt>
                <c:pt idx="636">
                  <c:v>15-05-2023</c:v>
                </c:pt>
                <c:pt idx="637">
                  <c:v>16-05-2023</c:v>
                </c:pt>
                <c:pt idx="638">
                  <c:v>17-05-2023</c:v>
                </c:pt>
                <c:pt idx="639">
                  <c:v>18-05-2023</c:v>
                </c:pt>
                <c:pt idx="640">
                  <c:v>19-05-2023</c:v>
                </c:pt>
                <c:pt idx="641">
                  <c:v>22-05-2023</c:v>
                </c:pt>
                <c:pt idx="642">
                  <c:v>23-05-2023</c:v>
                </c:pt>
                <c:pt idx="643">
                  <c:v>24-05-2023</c:v>
                </c:pt>
                <c:pt idx="644">
                  <c:v>25-05-2023</c:v>
                </c:pt>
                <c:pt idx="645">
                  <c:v>26-05-2023</c:v>
                </c:pt>
                <c:pt idx="646">
                  <c:v>30-05-2023</c:v>
                </c:pt>
                <c:pt idx="647">
                  <c:v>31-05-2023</c:v>
                </c:pt>
                <c:pt idx="648">
                  <c:v>01-06-2023</c:v>
                </c:pt>
                <c:pt idx="649">
                  <c:v>02-06-2023</c:v>
                </c:pt>
                <c:pt idx="650">
                  <c:v>05-06-2023</c:v>
                </c:pt>
                <c:pt idx="651">
                  <c:v>06-06-2023</c:v>
                </c:pt>
                <c:pt idx="652">
                  <c:v>07-06-2023</c:v>
                </c:pt>
                <c:pt idx="653">
                  <c:v>08-06-2023</c:v>
                </c:pt>
                <c:pt idx="654">
                  <c:v>09-06-2023</c:v>
                </c:pt>
                <c:pt idx="655">
                  <c:v>12-06-2023</c:v>
                </c:pt>
                <c:pt idx="656">
                  <c:v>13-06-2023</c:v>
                </c:pt>
                <c:pt idx="657">
                  <c:v>14-06-2023</c:v>
                </c:pt>
                <c:pt idx="658">
                  <c:v>15-06-2023</c:v>
                </c:pt>
                <c:pt idx="659">
                  <c:v>16-06-2023</c:v>
                </c:pt>
                <c:pt idx="660">
                  <c:v>20-06-2023</c:v>
                </c:pt>
                <c:pt idx="661">
                  <c:v>21-06-2023</c:v>
                </c:pt>
                <c:pt idx="662">
                  <c:v>22-06-2023</c:v>
                </c:pt>
                <c:pt idx="663">
                  <c:v>23-06-2023</c:v>
                </c:pt>
                <c:pt idx="664">
                  <c:v>26-06-2023</c:v>
                </c:pt>
                <c:pt idx="665">
                  <c:v>27-06-2023</c:v>
                </c:pt>
                <c:pt idx="666">
                  <c:v>28-06-2023</c:v>
                </c:pt>
                <c:pt idx="667">
                  <c:v>29-06-2023</c:v>
                </c:pt>
                <c:pt idx="668">
                  <c:v>30-06-2023</c:v>
                </c:pt>
                <c:pt idx="669">
                  <c:v>03-07-2023</c:v>
                </c:pt>
                <c:pt idx="670">
                  <c:v>05-07-2023</c:v>
                </c:pt>
                <c:pt idx="671">
                  <c:v>06-07-2023</c:v>
                </c:pt>
                <c:pt idx="672">
                  <c:v>07-07-2023</c:v>
                </c:pt>
                <c:pt idx="673">
                  <c:v>10-07-2023</c:v>
                </c:pt>
                <c:pt idx="674">
                  <c:v>11-07-2023</c:v>
                </c:pt>
                <c:pt idx="675">
                  <c:v>12-07-2023</c:v>
                </c:pt>
                <c:pt idx="676">
                  <c:v>13-07-2023</c:v>
                </c:pt>
                <c:pt idx="677">
                  <c:v>14-07-2023</c:v>
                </c:pt>
                <c:pt idx="678">
                  <c:v>17-07-2023</c:v>
                </c:pt>
                <c:pt idx="679">
                  <c:v>18-07-2023</c:v>
                </c:pt>
                <c:pt idx="680">
                  <c:v>19-07-2023</c:v>
                </c:pt>
                <c:pt idx="681">
                  <c:v>20-07-2023</c:v>
                </c:pt>
                <c:pt idx="682">
                  <c:v>21-07-2023</c:v>
                </c:pt>
                <c:pt idx="683">
                  <c:v>24-07-2023</c:v>
                </c:pt>
                <c:pt idx="684">
                  <c:v>25-07-2023</c:v>
                </c:pt>
                <c:pt idx="685">
                  <c:v>26-07-2023</c:v>
                </c:pt>
                <c:pt idx="686">
                  <c:v>27-07-2023</c:v>
                </c:pt>
                <c:pt idx="687">
                  <c:v>28-07-2023</c:v>
                </c:pt>
                <c:pt idx="688">
                  <c:v>31-07-2023</c:v>
                </c:pt>
                <c:pt idx="689">
                  <c:v>01-08-2023</c:v>
                </c:pt>
                <c:pt idx="690">
                  <c:v>02-08-2023</c:v>
                </c:pt>
                <c:pt idx="691">
                  <c:v>03-08-2023</c:v>
                </c:pt>
                <c:pt idx="692">
                  <c:v>04-08-2023</c:v>
                </c:pt>
                <c:pt idx="693">
                  <c:v>07-08-2023</c:v>
                </c:pt>
                <c:pt idx="694">
                  <c:v>08-08-2023</c:v>
                </c:pt>
                <c:pt idx="695">
                  <c:v>09-08-2023</c:v>
                </c:pt>
                <c:pt idx="696">
                  <c:v>10-08-2023</c:v>
                </c:pt>
                <c:pt idx="697">
                  <c:v>11-08-2023</c:v>
                </c:pt>
                <c:pt idx="698">
                  <c:v>14-08-2023</c:v>
                </c:pt>
                <c:pt idx="699">
                  <c:v>15-08-2023</c:v>
                </c:pt>
                <c:pt idx="700">
                  <c:v>16-08-2023</c:v>
                </c:pt>
                <c:pt idx="701">
                  <c:v>17-08-2023</c:v>
                </c:pt>
                <c:pt idx="702">
                  <c:v>18-08-2023</c:v>
                </c:pt>
                <c:pt idx="703">
                  <c:v>21-08-2023</c:v>
                </c:pt>
                <c:pt idx="704">
                  <c:v>22-08-2023</c:v>
                </c:pt>
                <c:pt idx="705">
                  <c:v>23-08-2023</c:v>
                </c:pt>
                <c:pt idx="706">
                  <c:v>24-08-2023</c:v>
                </c:pt>
                <c:pt idx="707">
                  <c:v>25-08-2023</c:v>
                </c:pt>
                <c:pt idx="708">
                  <c:v>28-08-2023</c:v>
                </c:pt>
                <c:pt idx="709">
                  <c:v>29-08-2023</c:v>
                </c:pt>
                <c:pt idx="710">
                  <c:v>30-08-2023</c:v>
                </c:pt>
                <c:pt idx="711">
                  <c:v>31-08-2023</c:v>
                </c:pt>
                <c:pt idx="712">
                  <c:v>01-09-2023</c:v>
                </c:pt>
                <c:pt idx="713">
                  <c:v>05-09-2023</c:v>
                </c:pt>
                <c:pt idx="714">
                  <c:v>06-09-2023</c:v>
                </c:pt>
                <c:pt idx="715">
                  <c:v>07-09-2023</c:v>
                </c:pt>
                <c:pt idx="716">
                  <c:v>08-09-2023</c:v>
                </c:pt>
                <c:pt idx="717">
                  <c:v>11-09-2023</c:v>
                </c:pt>
                <c:pt idx="718">
                  <c:v>12-09-2023</c:v>
                </c:pt>
                <c:pt idx="719">
                  <c:v>13-09-2023</c:v>
                </c:pt>
                <c:pt idx="720">
                  <c:v>14-09-2023</c:v>
                </c:pt>
                <c:pt idx="721">
                  <c:v>15-09-2023</c:v>
                </c:pt>
                <c:pt idx="722">
                  <c:v>18-09-2023</c:v>
                </c:pt>
                <c:pt idx="723">
                  <c:v>19-09-2023</c:v>
                </c:pt>
                <c:pt idx="724">
                  <c:v>20-09-2023</c:v>
                </c:pt>
                <c:pt idx="725">
                  <c:v>21-09-2023</c:v>
                </c:pt>
                <c:pt idx="726">
                  <c:v>22-09-2023</c:v>
                </c:pt>
                <c:pt idx="727">
                  <c:v>25-09-2023</c:v>
                </c:pt>
                <c:pt idx="728">
                  <c:v>26-09-2023</c:v>
                </c:pt>
                <c:pt idx="729">
                  <c:v>27-09-2023</c:v>
                </c:pt>
                <c:pt idx="730">
                  <c:v>28-09-2023</c:v>
                </c:pt>
                <c:pt idx="731">
                  <c:v>29-09-2023</c:v>
                </c:pt>
                <c:pt idx="732">
                  <c:v>02-10-2023</c:v>
                </c:pt>
                <c:pt idx="733">
                  <c:v>03-10-2023</c:v>
                </c:pt>
                <c:pt idx="734">
                  <c:v>04-10-2023</c:v>
                </c:pt>
                <c:pt idx="735">
                  <c:v>05-10-2023</c:v>
                </c:pt>
                <c:pt idx="736">
                  <c:v>06-10-2023</c:v>
                </c:pt>
                <c:pt idx="737">
                  <c:v>09-10-2023</c:v>
                </c:pt>
                <c:pt idx="738">
                  <c:v>10-10-2023</c:v>
                </c:pt>
                <c:pt idx="739">
                  <c:v>11-10-2023</c:v>
                </c:pt>
                <c:pt idx="740">
                  <c:v>12-10-2023</c:v>
                </c:pt>
                <c:pt idx="741">
                  <c:v>13-10-2023</c:v>
                </c:pt>
                <c:pt idx="742">
                  <c:v>16-10-2023</c:v>
                </c:pt>
                <c:pt idx="743">
                  <c:v>17-10-2023</c:v>
                </c:pt>
                <c:pt idx="744">
                  <c:v>18-10-2023</c:v>
                </c:pt>
                <c:pt idx="745">
                  <c:v>19-10-2023</c:v>
                </c:pt>
                <c:pt idx="746">
                  <c:v>20-10-2023</c:v>
                </c:pt>
                <c:pt idx="747">
                  <c:v>23-10-2023</c:v>
                </c:pt>
                <c:pt idx="748">
                  <c:v>24-10-2023</c:v>
                </c:pt>
                <c:pt idx="749">
                  <c:v>25-10-2023</c:v>
                </c:pt>
                <c:pt idx="750">
                  <c:v>26-10-2023</c:v>
                </c:pt>
                <c:pt idx="751">
                  <c:v>27-10-2023</c:v>
                </c:pt>
                <c:pt idx="752">
                  <c:v>30-10-2023</c:v>
                </c:pt>
                <c:pt idx="753">
                  <c:v>31-10-2023</c:v>
                </c:pt>
                <c:pt idx="754">
                  <c:v>01-11-2023</c:v>
                </c:pt>
                <c:pt idx="755">
                  <c:v>02-11-2023</c:v>
                </c:pt>
                <c:pt idx="756">
                  <c:v>03-11-2023</c:v>
                </c:pt>
                <c:pt idx="757">
                  <c:v>06-11-2023</c:v>
                </c:pt>
                <c:pt idx="758">
                  <c:v>07-11-2023</c:v>
                </c:pt>
                <c:pt idx="759">
                  <c:v>08-11-2023</c:v>
                </c:pt>
                <c:pt idx="760">
                  <c:v>09-11-2023</c:v>
                </c:pt>
                <c:pt idx="761">
                  <c:v>10-11-2023</c:v>
                </c:pt>
                <c:pt idx="762">
                  <c:v>13-11-2023</c:v>
                </c:pt>
                <c:pt idx="763">
                  <c:v>14-11-2023</c:v>
                </c:pt>
                <c:pt idx="764">
                  <c:v>15-11-2023</c:v>
                </c:pt>
                <c:pt idx="765">
                  <c:v>16-11-2023</c:v>
                </c:pt>
                <c:pt idx="766">
                  <c:v>17-11-2023</c:v>
                </c:pt>
                <c:pt idx="767">
                  <c:v>20-11-2023</c:v>
                </c:pt>
                <c:pt idx="768">
                  <c:v>21-11-2023</c:v>
                </c:pt>
                <c:pt idx="769">
                  <c:v>22-11-2023</c:v>
                </c:pt>
                <c:pt idx="770">
                  <c:v>24-11-2023</c:v>
                </c:pt>
                <c:pt idx="771">
                  <c:v>27-11-2023</c:v>
                </c:pt>
                <c:pt idx="772">
                  <c:v>28-11-2023</c:v>
                </c:pt>
                <c:pt idx="773">
                  <c:v>29-11-2023</c:v>
                </c:pt>
                <c:pt idx="774">
                  <c:v>30-11-2023</c:v>
                </c:pt>
                <c:pt idx="775">
                  <c:v>01-12-2023</c:v>
                </c:pt>
                <c:pt idx="776">
                  <c:v>04-12-2023</c:v>
                </c:pt>
                <c:pt idx="777">
                  <c:v>05-12-2023</c:v>
                </c:pt>
                <c:pt idx="778">
                  <c:v>06-12-2023</c:v>
                </c:pt>
                <c:pt idx="779">
                  <c:v>07-12-2023</c:v>
                </c:pt>
                <c:pt idx="780">
                  <c:v>08-12-2023</c:v>
                </c:pt>
                <c:pt idx="781">
                  <c:v>11-12-2023</c:v>
                </c:pt>
                <c:pt idx="782">
                  <c:v>12-12-2023</c:v>
                </c:pt>
                <c:pt idx="783">
                  <c:v>13-12-2023</c:v>
                </c:pt>
                <c:pt idx="784">
                  <c:v>14-12-2023</c:v>
                </c:pt>
                <c:pt idx="785">
                  <c:v>15-12-2023</c:v>
                </c:pt>
                <c:pt idx="786">
                  <c:v>18-12-2023</c:v>
                </c:pt>
                <c:pt idx="787">
                  <c:v>19-12-2023</c:v>
                </c:pt>
                <c:pt idx="788">
                  <c:v>20-12-2023</c:v>
                </c:pt>
                <c:pt idx="789">
                  <c:v>21-12-2023</c:v>
                </c:pt>
                <c:pt idx="790">
                  <c:v>22-12-2023</c:v>
                </c:pt>
                <c:pt idx="791">
                  <c:v>26-12-2023</c:v>
                </c:pt>
                <c:pt idx="792">
                  <c:v>27-12-2023</c:v>
                </c:pt>
                <c:pt idx="793">
                  <c:v>28-12-2023</c:v>
                </c:pt>
                <c:pt idx="794">
                  <c:v>29-12-2023</c:v>
                </c:pt>
                <c:pt idx="795">
                  <c:v>02-01-2024</c:v>
                </c:pt>
                <c:pt idx="796">
                  <c:v>03-01-2024</c:v>
                </c:pt>
                <c:pt idx="797">
                  <c:v>04-01-2024</c:v>
                </c:pt>
                <c:pt idx="798">
                  <c:v>05-01-2024</c:v>
                </c:pt>
                <c:pt idx="799">
                  <c:v>08-01-2024</c:v>
                </c:pt>
                <c:pt idx="800">
                  <c:v>09-01-2024</c:v>
                </c:pt>
                <c:pt idx="801">
                  <c:v>10-01-2024</c:v>
                </c:pt>
                <c:pt idx="802">
                  <c:v>11-01-2024</c:v>
                </c:pt>
                <c:pt idx="803">
                  <c:v>12-01-2024</c:v>
                </c:pt>
                <c:pt idx="804">
                  <c:v>16-01-2024</c:v>
                </c:pt>
                <c:pt idx="805">
                  <c:v>17-01-2024</c:v>
                </c:pt>
                <c:pt idx="806">
                  <c:v>18-01-2024</c:v>
                </c:pt>
                <c:pt idx="807">
                  <c:v>19-01-2024</c:v>
                </c:pt>
                <c:pt idx="808">
                  <c:v>22-01-2024</c:v>
                </c:pt>
                <c:pt idx="809">
                  <c:v>23-01-2024</c:v>
                </c:pt>
                <c:pt idx="810">
                  <c:v>24-01-2024</c:v>
                </c:pt>
                <c:pt idx="811">
                  <c:v>25-01-2024</c:v>
                </c:pt>
                <c:pt idx="812">
                  <c:v>26-01-2024</c:v>
                </c:pt>
                <c:pt idx="813">
                  <c:v>29-01-2024</c:v>
                </c:pt>
                <c:pt idx="814">
                  <c:v>30-01-2024</c:v>
                </c:pt>
                <c:pt idx="815">
                  <c:v>31-01-2024</c:v>
                </c:pt>
                <c:pt idx="816">
                  <c:v>01-02-2024</c:v>
                </c:pt>
                <c:pt idx="817">
                  <c:v>02-02-2024</c:v>
                </c:pt>
                <c:pt idx="818">
                  <c:v>05-02-2024</c:v>
                </c:pt>
                <c:pt idx="819">
                  <c:v>06-02-2024</c:v>
                </c:pt>
                <c:pt idx="820">
                  <c:v>07-02-2024</c:v>
                </c:pt>
                <c:pt idx="821">
                  <c:v>08-02-2024</c:v>
                </c:pt>
                <c:pt idx="822">
                  <c:v>09-02-2024</c:v>
                </c:pt>
                <c:pt idx="823">
                  <c:v>12-02-2024</c:v>
                </c:pt>
                <c:pt idx="824">
                  <c:v>13-02-2024</c:v>
                </c:pt>
                <c:pt idx="825">
                  <c:v>14-02-2024</c:v>
                </c:pt>
                <c:pt idx="826">
                  <c:v>15-02-2024</c:v>
                </c:pt>
                <c:pt idx="827">
                  <c:v>16-02-2024</c:v>
                </c:pt>
                <c:pt idx="828">
                  <c:v>20-02-2024</c:v>
                </c:pt>
                <c:pt idx="829">
                  <c:v>21-02-2024</c:v>
                </c:pt>
                <c:pt idx="830">
                  <c:v>22-02-2024</c:v>
                </c:pt>
                <c:pt idx="831">
                  <c:v>23-02-2024</c:v>
                </c:pt>
                <c:pt idx="832">
                  <c:v>26-02-2024</c:v>
                </c:pt>
                <c:pt idx="833">
                  <c:v>27-02-2024</c:v>
                </c:pt>
                <c:pt idx="834">
                  <c:v>28-02-2024</c:v>
                </c:pt>
                <c:pt idx="835">
                  <c:v>29-02-2024</c:v>
                </c:pt>
                <c:pt idx="836">
                  <c:v>01-03-2024</c:v>
                </c:pt>
                <c:pt idx="837">
                  <c:v>04-03-2024</c:v>
                </c:pt>
                <c:pt idx="838">
                  <c:v>05-03-2024</c:v>
                </c:pt>
                <c:pt idx="839">
                  <c:v>06-03-2024</c:v>
                </c:pt>
                <c:pt idx="840">
                  <c:v>07-03-2024</c:v>
                </c:pt>
                <c:pt idx="841">
                  <c:v>08-03-2024</c:v>
                </c:pt>
                <c:pt idx="842">
                  <c:v>11-03-2024</c:v>
                </c:pt>
                <c:pt idx="843">
                  <c:v>12-03-2024</c:v>
                </c:pt>
                <c:pt idx="844">
                  <c:v>13-03-2024</c:v>
                </c:pt>
                <c:pt idx="845">
                  <c:v>14-03-2024</c:v>
                </c:pt>
                <c:pt idx="846">
                  <c:v>15-03-2024</c:v>
                </c:pt>
                <c:pt idx="847">
                  <c:v>18-03-2024</c:v>
                </c:pt>
                <c:pt idx="848">
                  <c:v>19-03-2024</c:v>
                </c:pt>
                <c:pt idx="849">
                  <c:v>20-03-2024</c:v>
                </c:pt>
                <c:pt idx="850">
                  <c:v>21-03-2024</c:v>
                </c:pt>
                <c:pt idx="851">
                  <c:v>22-03-2024</c:v>
                </c:pt>
                <c:pt idx="852">
                  <c:v>25-03-2024</c:v>
                </c:pt>
                <c:pt idx="853">
                  <c:v>26-03-2024</c:v>
                </c:pt>
                <c:pt idx="854">
                  <c:v>27-03-2024</c:v>
                </c:pt>
                <c:pt idx="855">
                  <c:v>28-03-2024</c:v>
                </c:pt>
                <c:pt idx="856">
                  <c:v>01-04-2024</c:v>
                </c:pt>
                <c:pt idx="857">
                  <c:v>02-04-2024</c:v>
                </c:pt>
                <c:pt idx="858">
                  <c:v>03-04-2024</c:v>
                </c:pt>
                <c:pt idx="859">
                  <c:v>04-04-2024</c:v>
                </c:pt>
                <c:pt idx="860">
                  <c:v>05-04-2024</c:v>
                </c:pt>
                <c:pt idx="861">
                  <c:v>08-04-2024</c:v>
                </c:pt>
                <c:pt idx="862">
                  <c:v>09-04-2024</c:v>
                </c:pt>
                <c:pt idx="863">
                  <c:v>10-04-2024</c:v>
                </c:pt>
                <c:pt idx="864">
                  <c:v>11-04-2024</c:v>
                </c:pt>
                <c:pt idx="865">
                  <c:v>12-04-2024</c:v>
                </c:pt>
                <c:pt idx="866">
                  <c:v>15-04-2024</c:v>
                </c:pt>
                <c:pt idx="867">
                  <c:v>16-04-2024</c:v>
                </c:pt>
                <c:pt idx="868">
                  <c:v>17-04-2024</c:v>
                </c:pt>
                <c:pt idx="869">
                  <c:v>18-04-2024</c:v>
                </c:pt>
                <c:pt idx="870">
                  <c:v>19-04-2024</c:v>
                </c:pt>
                <c:pt idx="871">
                  <c:v>22-04-2024</c:v>
                </c:pt>
                <c:pt idx="872">
                  <c:v>23-04-2024</c:v>
                </c:pt>
                <c:pt idx="873">
                  <c:v>24-04-2024</c:v>
                </c:pt>
                <c:pt idx="874">
                  <c:v>25-04-2024</c:v>
                </c:pt>
                <c:pt idx="875">
                  <c:v>26-04-2024</c:v>
                </c:pt>
                <c:pt idx="876">
                  <c:v>29-04-2024</c:v>
                </c:pt>
                <c:pt idx="877">
                  <c:v>30-04-2024</c:v>
                </c:pt>
                <c:pt idx="878">
                  <c:v>01-05-2024</c:v>
                </c:pt>
                <c:pt idx="879">
                  <c:v>02-05-2024</c:v>
                </c:pt>
                <c:pt idx="880">
                  <c:v>03-05-2024</c:v>
                </c:pt>
                <c:pt idx="881">
                  <c:v>06-05-2024</c:v>
                </c:pt>
                <c:pt idx="882">
                  <c:v>07-05-2024</c:v>
                </c:pt>
                <c:pt idx="883">
                  <c:v>08-05-2024</c:v>
                </c:pt>
                <c:pt idx="884">
                  <c:v>09-05-2024</c:v>
                </c:pt>
                <c:pt idx="885">
                  <c:v>10-05-2024</c:v>
                </c:pt>
                <c:pt idx="886">
                  <c:v>13-05-2024</c:v>
                </c:pt>
                <c:pt idx="887">
                  <c:v>14-05-2024</c:v>
                </c:pt>
                <c:pt idx="888">
                  <c:v>15-05-2024</c:v>
                </c:pt>
                <c:pt idx="889">
                  <c:v>16-05-2024</c:v>
                </c:pt>
                <c:pt idx="890">
                  <c:v>17-05-2024</c:v>
                </c:pt>
                <c:pt idx="891">
                  <c:v>20-05-2024</c:v>
                </c:pt>
                <c:pt idx="892">
                  <c:v>21-05-2024</c:v>
                </c:pt>
                <c:pt idx="893">
                  <c:v>22-05-2024</c:v>
                </c:pt>
                <c:pt idx="894">
                  <c:v>23-05-2024</c:v>
                </c:pt>
                <c:pt idx="895">
                  <c:v>24-05-2024</c:v>
                </c:pt>
                <c:pt idx="896">
                  <c:v>28-05-2024</c:v>
                </c:pt>
                <c:pt idx="897">
                  <c:v>29-05-2024</c:v>
                </c:pt>
                <c:pt idx="898">
                  <c:v>30-05-2024</c:v>
                </c:pt>
                <c:pt idx="899">
                  <c:v>31-05-2024</c:v>
                </c:pt>
                <c:pt idx="900">
                  <c:v>03-06-2024</c:v>
                </c:pt>
                <c:pt idx="901">
                  <c:v>04-06-2024</c:v>
                </c:pt>
                <c:pt idx="902">
                  <c:v>05-06-2024</c:v>
                </c:pt>
                <c:pt idx="903">
                  <c:v>06-06-2024</c:v>
                </c:pt>
                <c:pt idx="904">
                  <c:v>07-06-2024</c:v>
                </c:pt>
                <c:pt idx="905">
                  <c:v>10-06-2024</c:v>
                </c:pt>
                <c:pt idx="906">
                  <c:v>11-06-2024</c:v>
                </c:pt>
                <c:pt idx="907">
                  <c:v>12-06-2024</c:v>
                </c:pt>
                <c:pt idx="908">
                  <c:v>13-06-2024</c:v>
                </c:pt>
                <c:pt idx="909">
                  <c:v>14-06-2024</c:v>
                </c:pt>
                <c:pt idx="910">
                  <c:v>17-06-2024</c:v>
                </c:pt>
                <c:pt idx="911">
                  <c:v>18-06-2024</c:v>
                </c:pt>
                <c:pt idx="912">
                  <c:v>20-06-2024</c:v>
                </c:pt>
                <c:pt idx="913">
                  <c:v>21-06-2024</c:v>
                </c:pt>
                <c:pt idx="914">
                  <c:v>24-06-2024</c:v>
                </c:pt>
                <c:pt idx="915">
                  <c:v>25-06-2024</c:v>
                </c:pt>
                <c:pt idx="916">
                  <c:v>26-06-2024</c:v>
                </c:pt>
                <c:pt idx="917">
                  <c:v>27-06-2024</c:v>
                </c:pt>
                <c:pt idx="918">
                  <c:v>28-06-2024</c:v>
                </c:pt>
                <c:pt idx="919">
                  <c:v>01-07-2024</c:v>
                </c:pt>
                <c:pt idx="920">
                  <c:v>02-07-2024</c:v>
                </c:pt>
                <c:pt idx="921">
                  <c:v>03-07-2024</c:v>
                </c:pt>
                <c:pt idx="922">
                  <c:v>05-07-2024</c:v>
                </c:pt>
                <c:pt idx="923">
                  <c:v>08-07-2024</c:v>
                </c:pt>
                <c:pt idx="924">
                  <c:v>09-07-2024</c:v>
                </c:pt>
                <c:pt idx="925">
                  <c:v>10-07-2024</c:v>
                </c:pt>
                <c:pt idx="926">
                  <c:v>11-07-2024</c:v>
                </c:pt>
                <c:pt idx="927">
                  <c:v>12-07-2024</c:v>
                </c:pt>
                <c:pt idx="928">
                  <c:v>15-07-2024</c:v>
                </c:pt>
                <c:pt idx="929">
                  <c:v>16-07-2024</c:v>
                </c:pt>
                <c:pt idx="930">
                  <c:v>17-07-2024</c:v>
                </c:pt>
                <c:pt idx="931">
                  <c:v>18-07-2024</c:v>
                </c:pt>
                <c:pt idx="932">
                  <c:v>19-07-2024</c:v>
                </c:pt>
                <c:pt idx="933">
                  <c:v>22-07-2024</c:v>
                </c:pt>
                <c:pt idx="934">
                  <c:v>23-07-2024</c:v>
                </c:pt>
                <c:pt idx="935">
                  <c:v>24-07-2024</c:v>
                </c:pt>
                <c:pt idx="936">
                  <c:v>25-07-2024</c:v>
                </c:pt>
                <c:pt idx="937">
                  <c:v>26-07-2024</c:v>
                </c:pt>
                <c:pt idx="938">
                  <c:v>29-07-2024</c:v>
                </c:pt>
                <c:pt idx="939">
                  <c:v>30-07-2024</c:v>
                </c:pt>
                <c:pt idx="940">
                  <c:v>31-07-2024</c:v>
                </c:pt>
                <c:pt idx="941">
                  <c:v>01-08-2024</c:v>
                </c:pt>
                <c:pt idx="942">
                  <c:v>02-08-2024</c:v>
                </c:pt>
                <c:pt idx="943">
                  <c:v>05-08-2024</c:v>
                </c:pt>
                <c:pt idx="944">
                  <c:v>06-08-2024</c:v>
                </c:pt>
                <c:pt idx="945">
                  <c:v>07-08-2024</c:v>
                </c:pt>
                <c:pt idx="946">
                  <c:v>08-08-2024</c:v>
                </c:pt>
                <c:pt idx="947">
                  <c:v>09-08-2024</c:v>
                </c:pt>
                <c:pt idx="948">
                  <c:v>12-08-2024</c:v>
                </c:pt>
                <c:pt idx="949">
                  <c:v>13-08-2024</c:v>
                </c:pt>
                <c:pt idx="950">
                  <c:v>14-08-2024</c:v>
                </c:pt>
                <c:pt idx="951">
                  <c:v>15-08-2024</c:v>
                </c:pt>
                <c:pt idx="952">
                  <c:v>16-08-2024</c:v>
                </c:pt>
                <c:pt idx="953">
                  <c:v>19-08-2024</c:v>
                </c:pt>
                <c:pt idx="954">
                  <c:v>20-08-2024</c:v>
                </c:pt>
                <c:pt idx="955">
                  <c:v>21-08-2024</c:v>
                </c:pt>
                <c:pt idx="956">
                  <c:v>22-08-2024</c:v>
                </c:pt>
                <c:pt idx="957">
                  <c:v>23-08-2024</c:v>
                </c:pt>
                <c:pt idx="958">
                  <c:v>26-08-2024</c:v>
                </c:pt>
                <c:pt idx="959">
                  <c:v>27-08-2024</c:v>
                </c:pt>
                <c:pt idx="960">
                  <c:v>28-08-2024</c:v>
                </c:pt>
                <c:pt idx="961">
                  <c:v>29-08-2024</c:v>
                </c:pt>
                <c:pt idx="962">
                  <c:v>30-08-2024</c:v>
                </c:pt>
                <c:pt idx="963">
                  <c:v>03-09-2024</c:v>
                </c:pt>
                <c:pt idx="964">
                  <c:v>04-09-2024</c:v>
                </c:pt>
                <c:pt idx="965">
                  <c:v>05-09-2024</c:v>
                </c:pt>
                <c:pt idx="966">
                  <c:v>06-09-2024</c:v>
                </c:pt>
                <c:pt idx="967">
                  <c:v>09-09-2024</c:v>
                </c:pt>
                <c:pt idx="968">
                  <c:v>10-09-2024</c:v>
                </c:pt>
                <c:pt idx="969">
                  <c:v>11-09-2024</c:v>
                </c:pt>
                <c:pt idx="970">
                  <c:v>12-09-2024</c:v>
                </c:pt>
                <c:pt idx="971">
                  <c:v>13-09-2024</c:v>
                </c:pt>
                <c:pt idx="972">
                  <c:v>16-09-2024</c:v>
                </c:pt>
                <c:pt idx="973">
                  <c:v>17-09-2024</c:v>
                </c:pt>
                <c:pt idx="974">
                  <c:v>18-09-2024</c:v>
                </c:pt>
                <c:pt idx="975">
                  <c:v>19-09-2024</c:v>
                </c:pt>
                <c:pt idx="976">
                  <c:v>20-09-2024</c:v>
                </c:pt>
                <c:pt idx="977">
                  <c:v>23-09-2024</c:v>
                </c:pt>
                <c:pt idx="978">
                  <c:v>24-09-2024</c:v>
                </c:pt>
                <c:pt idx="979">
                  <c:v>25-09-2024</c:v>
                </c:pt>
                <c:pt idx="980">
                  <c:v>26-09-2024</c:v>
                </c:pt>
                <c:pt idx="981">
                  <c:v>27-09-2024</c:v>
                </c:pt>
                <c:pt idx="982">
                  <c:v>30-09-2024</c:v>
                </c:pt>
                <c:pt idx="983">
                  <c:v>01-10-2024</c:v>
                </c:pt>
                <c:pt idx="984">
                  <c:v>02-10-2024</c:v>
                </c:pt>
                <c:pt idx="985">
                  <c:v>03-10-2024</c:v>
                </c:pt>
                <c:pt idx="986">
                  <c:v>04-10-2024</c:v>
                </c:pt>
                <c:pt idx="987">
                  <c:v>07-10-2024</c:v>
                </c:pt>
                <c:pt idx="988">
                  <c:v>08-10-2024</c:v>
                </c:pt>
                <c:pt idx="989">
                  <c:v>09-10-2024</c:v>
                </c:pt>
                <c:pt idx="990">
                  <c:v>10-10-2024</c:v>
                </c:pt>
                <c:pt idx="991">
                  <c:v>11-10-2024</c:v>
                </c:pt>
                <c:pt idx="992">
                  <c:v>14-10-2024</c:v>
                </c:pt>
                <c:pt idx="993">
                  <c:v>15-10-2024</c:v>
                </c:pt>
                <c:pt idx="994">
                  <c:v>16-10-2024</c:v>
                </c:pt>
                <c:pt idx="995">
                  <c:v>17-10-2024</c:v>
                </c:pt>
                <c:pt idx="996">
                  <c:v>18-10-2024</c:v>
                </c:pt>
                <c:pt idx="997">
                  <c:v>21-10-2024</c:v>
                </c:pt>
                <c:pt idx="998">
                  <c:v>22-10-2024</c:v>
                </c:pt>
                <c:pt idx="999">
                  <c:v>23-10-2024</c:v>
                </c:pt>
                <c:pt idx="1000">
                  <c:v>24-10-2024</c:v>
                </c:pt>
                <c:pt idx="1001">
                  <c:v>25-10-2024</c:v>
                </c:pt>
                <c:pt idx="1002">
                  <c:v>28-10-2024</c:v>
                </c:pt>
                <c:pt idx="1003">
                  <c:v>29-10-2024</c:v>
                </c:pt>
                <c:pt idx="1004">
                  <c:v>30-10-2024</c:v>
                </c:pt>
                <c:pt idx="1005">
                  <c:v>31-10-2024</c:v>
                </c:pt>
                <c:pt idx="1006">
                  <c:v>01-11-2024</c:v>
                </c:pt>
                <c:pt idx="1007">
                  <c:v>04-11-2024</c:v>
                </c:pt>
                <c:pt idx="1008">
                  <c:v>05-11-2024</c:v>
                </c:pt>
                <c:pt idx="1009">
                  <c:v>06-11-2024</c:v>
                </c:pt>
                <c:pt idx="1010">
                  <c:v>07-11-2024</c:v>
                </c:pt>
                <c:pt idx="1011">
                  <c:v>08-11-2024</c:v>
                </c:pt>
                <c:pt idx="1012">
                  <c:v>11-11-2024</c:v>
                </c:pt>
                <c:pt idx="1013">
                  <c:v>12-11-2024</c:v>
                </c:pt>
                <c:pt idx="1014">
                  <c:v>13-11-2024</c:v>
                </c:pt>
                <c:pt idx="1015">
                  <c:v>14-11-2024</c:v>
                </c:pt>
                <c:pt idx="1016">
                  <c:v>15-11-2024</c:v>
                </c:pt>
                <c:pt idx="1017">
                  <c:v>18-11-2024</c:v>
                </c:pt>
                <c:pt idx="1018">
                  <c:v>19-11-2024</c:v>
                </c:pt>
                <c:pt idx="1019">
                  <c:v>20-11-2024</c:v>
                </c:pt>
                <c:pt idx="1020">
                  <c:v>21-11-2024</c:v>
                </c:pt>
                <c:pt idx="1021">
                  <c:v>22-11-2024</c:v>
                </c:pt>
                <c:pt idx="1022">
                  <c:v>25-11-2024</c:v>
                </c:pt>
                <c:pt idx="1023">
                  <c:v>26-11-2024</c:v>
                </c:pt>
                <c:pt idx="1024">
                  <c:v>27-11-2024</c:v>
                </c:pt>
                <c:pt idx="1025">
                  <c:v>29-11-2024</c:v>
                </c:pt>
                <c:pt idx="1026">
                  <c:v>02-12-2024</c:v>
                </c:pt>
                <c:pt idx="1027">
                  <c:v>03-12-2024</c:v>
                </c:pt>
                <c:pt idx="1028">
                  <c:v>04-12-2024</c:v>
                </c:pt>
                <c:pt idx="1029">
                  <c:v>05-12-2024</c:v>
                </c:pt>
                <c:pt idx="1030">
                  <c:v>06-12-2024</c:v>
                </c:pt>
                <c:pt idx="1031">
                  <c:v>09-12-2024</c:v>
                </c:pt>
                <c:pt idx="1032">
                  <c:v>10-12-2024</c:v>
                </c:pt>
                <c:pt idx="1033">
                  <c:v>11-12-2024</c:v>
                </c:pt>
                <c:pt idx="1034">
                  <c:v>12-12-2024</c:v>
                </c:pt>
                <c:pt idx="1035">
                  <c:v>13-12-2024</c:v>
                </c:pt>
                <c:pt idx="1036">
                  <c:v>16-12-2024</c:v>
                </c:pt>
                <c:pt idx="1037">
                  <c:v>17-12-2024</c:v>
                </c:pt>
                <c:pt idx="1038">
                  <c:v>18-12-2024</c:v>
                </c:pt>
                <c:pt idx="1039">
                  <c:v>19-12-2024</c:v>
                </c:pt>
                <c:pt idx="1040">
                  <c:v>20-12-2024</c:v>
                </c:pt>
                <c:pt idx="1041">
                  <c:v>23-12-2024</c:v>
                </c:pt>
                <c:pt idx="1042">
                  <c:v>24-12-2024</c:v>
                </c:pt>
                <c:pt idx="1043">
                  <c:v>26-12-2024</c:v>
                </c:pt>
                <c:pt idx="1044">
                  <c:v>27-12-2024</c:v>
                </c:pt>
                <c:pt idx="1045">
                  <c:v>30-12-2024</c:v>
                </c:pt>
                <c:pt idx="1046">
                  <c:v>31-12-2024</c:v>
                </c:pt>
                <c:pt idx="1047">
                  <c:v>02-01-2025</c:v>
                </c:pt>
                <c:pt idx="1048">
                  <c:v>03-01-2025</c:v>
                </c:pt>
                <c:pt idx="1049">
                  <c:v>06-01-2025</c:v>
                </c:pt>
                <c:pt idx="1050">
                  <c:v>07-01-2025</c:v>
                </c:pt>
                <c:pt idx="1051">
                  <c:v>08-01-2025</c:v>
                </c:pt>
                <c:pt idx="1052">
                  <c:v>10-01-2025</c:v>
                </c:pt>
                <c:pt idx="1053">
                  <c:v>13-01-2025</c:v>
                </c:pt>
                <c:pt idx="1054">
                  <c:v>14-01-2025</c:v>
                </c:pt>
                <c:pt idx="1055">
                  <c:v>15-01-2025</c:v>
                </c:pt>
                <c:pt idx="1056">
                  <c:v>16-01-2025</c:v>
                </c:pt>
                <c:pt idx="1057">
                  <c:v>17-01-2025</c:v>
                </c:pt>
                <c:pt idx="1058">
                  <c:v>21-01-2025</c:v>
                </c:pt>
                <c:pt idx="1059">
                  <c:v>22-01-2025</c:v>
                </c:pt>
                <c:pt idx="1060">
                  <c:v>23-01-2025</c:v>
                </c:pt>
                <c:pt idx="1061">
                  <c:v>24-01-2025</c:v>
                </c:pt>
                <c:pt idx="1062">
                  <c:v>27-01-2025</c:v>
                </c:pt>
                <c:pt idx="1063">
                  <c:v>28-01-2025</c:v>
                </c:pt>
                <c:pt idx="1064">
                  <c:v>29-01-2025</c:v>
                </c:pt>
                <c:pt idx="1065">
                  <c:v>30-01-2025</c:v>
                </c:pt>
                <c:pt idx="1066">
                  <c:v>31-01-2025</c:v>
                </c:pt>
                <c:pt idx="1067">
                  <c:v>03-02-2025</c:v>
                </c:pt>
                <c:pt idx="1068">
                  <c:v>04-02-2025</c:v>
                </c:pt>
                <c:pt idx="1069">
                  <c:v>05-02-2025</c:v>
                </c:pt>
                <c:pt idx="1070">
                  <c:v>06-02-2025</c:v>
                </c:pt>
                <c:pt idx="1071">
                  <c:v>07-02-2025</c:v>
                </c:pt>
                <c:pt idx="1072">
                  <c:v>10-02-2025</c:v>
                </c:pt>
                <c:pt idx="1073">
                  <c:v>11-02-2025</c:v>
                </c:pt>
                <c:pt idx="1074">
                  <c:v>12-02-2025</c:v>
                </c:pt>
                <c:pt idx="1075">
                  <c:v>13-02-2025</c:v>
                </c:pt>
                <c:pt idx="1076">
                  <c:v>14-02-2025</c:v>
                </c:pt>
                <c:pt idx="1077">
                  <c:v>18-02-2025</c:v>
                </c:pt>
                <c:pt idx="1078">
                  <c:v>19-02-2025</c:v>
                </c:pt>
                <c:pt idx="1079">
                  <c:v>20-02-2025</c:v>
                </c:pt>
                <c:pt idx="1080">
                  <c:v>21-02-2025</c:v>
                </c:pt>
                <c:pt idx="1081">
                  <c:v>24-02-2025</c:v>
                </c:pt>
                <c:pt idx="1082">
                  <c:v>25-02-2025</c:v>
                </c:pt>
                <c:pt idx="1083">
                  <c:v>26-02-2025</c:v>
                </c:pt>
                <c:pt idx="1084">
                  <c:v>27-02-2025</c:v>
                </c:pt>
                <c:pt idx="1085">
                  <c:v>28-02-2025</c:v>
                </c:pt>
                <c:pt idx="1086">
                  <c:v>03-03-2025</c:v>
                </c:pt>
                <c:pt idx="1087">
                  <c:v>04-03-2025</c:v>
                </c:pt>
                <c:pt idx="1088">
                  <c:v>05-03-2025</c:v>
                </c:pt>
                <c:pt idx="1089">
                  <c:v>06-03-2025</c:v>
                </c:pt>
                <c:pt idx="1090">
                  <c:v>07-03-2025</c:v>
                </c:pt>
                <c:pt idx="1091">
                  <c:v>10-03-2025</c:v>
                </c:pt>
                <c:pt idx="1092">
                  <c:v>11-03-2025</c:v>
                </c:pt>
                <c:pt idx="1093">
                  <c:v>12-03-2025</c:v>
                </c:pt>
                <c:pt idx="1094">
                  <c:v>13-03-2025</c:v>
                </c:pt>
                <c:pt idx="1095">
                  <c:v>14-03-2025</c:v>
                </c:pt>
                <c:pt idx="1096">
                  <c:v>17-03-2025</c:v>
                </c:pt>
                <c:pt idx="1097">
                  <c:v>18-03-2025</c:v>
                </c:pt>
                <c:pt idx="1098">
                  <c:v>19-03-2025</c:v>
                </c:pt>
                <c:pt idx="1099">
                  <c:v>20-03-2025</c:v>
                </c:pt>
                <c:pt idx="1100">
                  <c:v>21-03-2025</c:v>
                </c:pt>
                <c:pt idx="1101">
                  <c:v>24-03-2025</c:v>
                </c:pt>
                <c:pt idx="1102">
                  <c:v>25-03-2025</c:v>
                </c:pt>
                <c:pt idx="1103">
                  <c:v>26-03-2025</c:v>
                </c:pt>
                <c:pt idx="1104">
                  <c:v>27-03-2025</c:v>
                </c:pt>
                <c:pt idx="1105">
                  <c:v>28-03-2025</c:v>
                </c:pt>
                <c:pt idx="1106">
                  <c:v>31-03-2025</c:v>
                </c:pt>
                <c:pt idx="1107">
                  <c:v>01-04-2025</c:v>
                </c:pt>
                <c:pt idx="1108">
                  <c:v>02-04-2025</c:v>
                </c:pt>
                <c:pt idx="1109">
                  <c:v>03-04-2025</c:v>
                </c:pt>
                <c:pt idx="1110">
                  <c:v>04-04-2025</c:v>
                </c:pt>
                <c:pt idx="1111">
                  <c:v>07-04-2025</c:v>
                </c:pt>
                <c:pt idx="1112">
                  <c:v>08-04-2025</c:v>
                </c:pt>
                <c:pt idx="1113">
                  <c:v>09-04-2025</c:v>
                </c:pt>
                <c:pt idx="1114">
                  <c:v>10-04-2025</c:v>
                </c:pt>
                <c:pt idx="1115">
                  <c:v>11-04-2025</c:v>
                </c:pt>
                <c:pt idx="1116">
                  <c:v>14-04-2025</c:v>
                </c:pt>
                <c:pt idx="1117">
                  <c:v>15-04-2025</c:v>
                </c:pt>
                <c:pt idx="1118">
                  <c:v>16-04-2025</c:v>
                </c:pt>
                <c:pt idx="1119">
                  <c:v>17-04-2025</c:v>
                </c:pt>
                <c:pt idx="1120">
                  <c:v>21-04-2025</c:v>
                </c:pt>
                <c:pt idx="1121">
                  <c:v>22-04-2025</c:v>
                </c:pt>
                <c:pt idx="1122">
                  <c:v>23-04-2025</c:v>
                </c:pt>
                <c:pt idx="1123">
                  <c:v>24-04-2025</c:v>
                </c:pt>
                <c:pt idx="1124">
                  <c:v>25-04-2025</c:v>
                </c:pt>
                <c:pt idx="1125">
                  <c:v>28-04-2025</c:v>
                </c:pt>
                <c:pt idx="1126">
                  <c:v>29-04-2025</c:v>
                </c:pt>
                <c:pt idx="1127">
                  <c:v>30-04-2025</c:v>
                </c:pt>
                <c:pt idx="1128">
                  <c:v>01-05-2025</c:v>
                </c:pt>
                <c:pt idx="1129">
                  <c:v>02-05-2025</c:v>
                </c:pt>
                <c:pt idx="1130">
                  <c:v>05-05-2025</c:v>
                </c:pt>
                <c:pt idx="1131">
                  <c:v>06-05-2025</c:v>
                </c:pt>
                <c:pt idx="1132">
                  <c:v>07-05-2025</c:v>
                </c:pt>
                <c:pt idx="1133">
                  <c:v>08-05-2025</c:v>
                </c:pt>
                <c:pt idx="1134">
                  <c:v>09-05-2025</c:v>
                </c:pt>
                <c:pt idx="1135">
                  <c:v>12-05-2025</c:v>
                </c:pt>
                <c:pt idx="1136">
                  <c:v>13-05-2025</c:v>
                </c:pt>
                <c:pt idx="1137">
                  <c:v>14-05-2025</c:v>
                </c:pt>
                <c:pt idx="1138">
                  <c:v>15-05-2025</c:v>
                </c:pt>
                <c:pt idx="1139">
                  <c:v>16-05-2025</c:v>
                </c:pt>
                <c:pt idx="1140">
                  <c:v>19-05-2025</c:v>
                </c:pt>
                <c:pt idx="1141">
                  <c:v>20-05-2025</c:v>
                </c:pt>
                <c:pt idx="1142">
                  <c:v>21-05-2025</c:v>
                </c:pt>
                <c:pt idx="1143">
                  <c:v>22-05-2025</c:v>
                </c:pt>
                <c:pt idx="1144">
                  <c:v>23-05-2025</c:v>
                </c:pt>
                <c:pt idx="1145">
                  <c:v>27-05-2025</c:v>
                </c:pt>
                <c:pt idx="1146">
                  <c:v>28-05-2025</c:v>
                </c:pt>
                <c:pt idx="1147">
                  <c:v>29-05-2025</c:v>
                </c:pt>
                <c:pt idx="1148">
                  <c:v>30-05-2025</c:v>
                </c:pt>
                <c:pt idx="1149">
                  <c:v>02-06-2025</c:v>
                </c:pt>
                <c:pt idx="1150">
                  <c:v>03-06-2025</c:v>
                </c:pt>
                <c:pt idx="1151">
                  <c:v>04-06-2025</c:v>
                </c:pt>
                <c:pt idx="1152">
                  <c:v>05-06-2025</c:v>
                </c:pt>
                <c:pt idx="1153">
                  <c:v>06-06-2025</c:v>
                </c:pt>
                <c:pt idx="1154">
                  <c:v>09-06-2025</c:v>
                </c:pt>
                <c:pt idx="1155">
                  <c:v>10-06-2025</c:v>
                </c:pt>
                <c:pt idx="1156">
                  <c:v>11-06-2025</c:v>
                </c:pt>
                <c:pt idx="1157">
                  <c:v>12-06-2025</c:v>
                </c:pt>
                <c:pt idx="1158">
                  <c:v>13-06-2025</c:v>
                </c:pt>
                <c:pt idx="1159">
                  <c:v>16-06-2025</c:v>
                </c:pt>
                <c:pt idx="1160">
                  <c:v>17-06-2025</c:v>
                </c:pt>
                <c:pt idx="1161">
                  <c:v>18-06-2025</c:v>
                </c:pt>
                <c:pt idx="1162">
                  <c:v>20-06-2025</c:v>
                </c:pt>
                <c:pt idx="1163">
                  <c:v>23-06-2025</c:v>
                </c:pt>
                <c:pt idx="1164">
                  <c:v>24-06-2025</c:v>
                </c:pt>
                <c:pt idx="1165">
                  <c:v>25-06-2025</c:v>
                </c:pt>
                <c:pt idx="1166">
                  <c:v>26-06-2025</c:v>
                </c:pt>
                <c:pt idx="1167">
                  <c:v>27-06-2025</c:v>
                </c:pt>
                <c:pt idx="1168">
                  <c:v>30-06-2025</c:v>
                </c:pt>
                <c:pt idx="1169">
                  <c:v>01-07-2025</c:v>
                </c:pt>
                <c:pt idx="1170">
                  <c:v>02-07-2025</c:v>
                </c:pt>
                <c:pt idx="1171">
                  <c:v>03-07-2025</c:v>
                </c:pt>
                <c:pt idx="1172">
                  <c:v>07-07-2025</c:v>
                </c:pt>
                <c:pt idx="1173">
                  <c:v>08-07-2025</c:v>
                </c:pt>
                <c:pt idx="1174">
                  <c:v>09-07-2025</c:v>
                </c:pt>
                <c:pt idx="1175">
                  <c:v>10-07-2025</c:v>
                </c:pt>
                <c:pt idx="1176">
                  <c:v>11-07-2025</c:v>
                </c:pt>
                <c:pt idx="1177">
                  <c:v>14-07-2025</c:v>
                </c:pt>
                <c:pt idx="1178">
                  <c:v>15-07-2025</c:v>
                </c:pt>
                <c:pt idx="1179">
                  <c:v>16-07-2025</c:v>
                </c:pt>
                <c:pt idx="1180">
                  <c:v>17-07-2025</c:v>
                </c:pt>
                <c:pt idx="1181">
                  <c:v>18-07-2025</c:v>
                </c:pt>
                <c:pt idx="1182">
                  <c:v>21-07-2025</c:v>
                </c:pt>
                <c:pt idx="1183">
                  <c:v>22-07-2025</c:v>
                </c:pt>
                <c:pt idx="1184">
                  <c:v>23-07-2025</c:v>
                </c:pt>
                <c:pt idx="1185">
                  <c:v>24-07-2025</c:v>
                </c:pt>
                <c:pt idx="1186">
                  <c:v>25-07-2025</c:v>
                </c:pt>
                <c:pt idx="1187">
                  <c:v>28-07-2025</c:v>
                </c:pt>
                <c:pt idx="1188">
                  <c:v>29-07-2025</c:v>
                </c:pt>
                <c:pt idx="1189">
                  <c:v>30-07-2025</c:v>
                </c:pt>
                <c:pt idx="1190">
                  <c:v>31-07-2025</c:v>
                </c:pt>
                <c:pt idx="1191">
                  <c:v>01-08-2025</c:v>
                </c:pt>
                <c:pt idx="1192">
                  <c:v>04-08-2025</c:v>
                </c:pt>
                <c:pt idx="1193">
                  <c:v>05-08-2025</c:v>
                </c:pt>
                <c:pt idx="1194">
                  <c:v>06-08-2025</c:v>
                </c:pt>
                <c:pt idx="1195">
                  <c:v>07-08-2025</c:v>
                </c:pt>
                <c:pt idx="1196">
                  <c:v>08-08-2025</c:v>
                </c:pt>
                <c:pt idx="1197">
                  <c:v>11-08-2025</c:v>
                </c:pt>
                <c:pt idx="1198">
                  <c:v>12-08-2025</c:v>
                </c:pt>
                <c:pt idx="1199">
                  <c:v>13-08-2025</c:v>
                </c:pt>
                <c:pt idx="1200">
                  <c:v>14-08-2025</c:v>
                </c:pt>
                <c:pt idx="1201">
                  <c:v>15-08-2025</c:v>
                </c:pt>
                <c:pt idx="1202">
                  <c:v>18-08-2025</c:v>
                </c:pt>
                <c:pt idx="1203">
                  <c:v>19-08-2025</c:v>
                </c:pt>
                <c:pt idx="1204">
                  <c:v>20-08-2025</c:v>
                </c:pt>
                <c:pt idx="1205">
                  <c:v>21-08-2025</c:v>
                </c:pt>
                <c:pt idx="1206">
                  <c:v>22-08-2025</c:v>
                </c:pt>
                <c:pt idx="1207">
                  <c:v>25-08-2025</c:v>
                </c:pt>
                <c:pt idx="1208">
                  <c:v>26-08-2025</c:v>
                </c:pt>
                <c:pt idx="1209">
                  <c:v>27-08-2025</c:v>
                </c:pt>
                <c:pt idx="1210">
                  <c:v>28-08-2025</c:v>
                </c:pt>
                <c:pt idx="1211">
                  <c:v>29-08-2025</c:v>
                </c:pt>
                <c:pt idx="1212">
                  <c:v>02-09-2025</c:v>
                </c:pt>
                <c:pt idx="1213">
                  <c:v>03-09-2025</c:v>
                </c:pt>
                <c:pt idx="1214">
                  <c:v>04-09-2025</c:v>
                </c:pt>
                <c:pt idx="1215">
                  <c:v>05-09-2025</c:v>
                </c:pt>
                <c:pt idx="1216">
                  <c:v>08-09-2025</c:v>
                </c:pt>
                <c:pt idx="1217">
                  <c:v>09-09-2025</c:v>
                </c:pt>
                <c:pt idx="1218">
                  <c:v>10-09-2025</c:v>
                </c:pt>
                <c:pt idx="1219">
                  <c:v>11-09-2025</c:v>
                </c:pt>
                <c:pt idx="1220">
                  <c:v>12-09-2025</c:v>
                </c:pt>
                <c:pt idx="1221">
                  <c:v>15-09-2025</c:v>
                </c:pt>
                <c:pt idx="1222">
                  <c:v>16-09-2025</c:v>
                </c:pt>
                <c:pt idx="1223">
                  <c:v>17-09-2025</c:v>
                </c:pt>
                <c:pt idx="1224">
                  <c:v>18-09-2025</c:v>
                </c:pt>
                <c:pt idx="1225">
                  <c:v>19-09-2025</c:v>
                </c:pt>
                <c:pt idx="1226">
                  <c:v>22-09-2025</c:v>
                </c:pt>
                <c:pt idx="1227">
                  <c:v>23-09-2025</c:v>
                </c:pt>
                <c:pt idx="1228">
                  <c:v>24-09-2025</c:v>
                </c:pt>
                <c:pt idx="1229">
                  <c:v>25-09-2025</c:v>
                </c:pt>
                <c:pt idx="1230">
                  <c:v>26-09-2025</c:v>
                </c:pt>
                <c:pt idx="1231">
                  <c:v>29-09-2025</c:v>
                </c:pt>
                <c:pt idx="1232">
                  <c:v>30-09-2025</c:v>
                </c:pt>
                <c:pt idx="1233">
                  <c:v>01-10-2025</c:v>
                </c:pt>
                <c:pt idx="1234">
                  <c:v>02-10-2025</c:v>
                </c:pt>
                <c:pt idx="1235">
                  <c:v>03-10-2025</c:v>
                </c:pt>
                <c:pt idx="1236">
                  <c:v>06-10-2025</c:v>
                </c:pt>
                <c:pt idx="1237">
                  <c:v>07-10-2025</c:v>
                </c:pt>
                <c:pt idx="1238">
                  <c:v>08-10-2025</c:v>
                </c:pt>
                <c:pt idx="1239">
                  <c:v>09-10-2025</c:v>
                </c:pt>
                <c:pt idx="1240">
                  <c:v>10-10-2025</c:v>
                </c:pt>
                <c:pt idx="1241">
                  <c:v>13-10-2025</c:v>
                </c:pt>
                <c:pt idx="1242">
                  <c:v>14-10-2025</c:v>
                </c:pt>
                <c:pt idx="1243">
                  <c:v>15-10-2025</c:v>
                </c:pt>
                <c:pt idx="1244">
                  <c:v>16-10-2025</c:v>
                </c:pt>
                <c:pt idx="1245">
                  <c:v>17-10-2025</c:v>
                </c:pt>
                <c:pt idx="1246">
                  <c:v>20-10-2025</c:v>
                </c:pt>
                <c:pt idx="1247">
                  <c:v>21-10-2025</c:v>
                </c:pt>
                <c:pt idx="1248">
                  <c:v>22-10-2025</c:v>
                </c:pt>
                <c:pt idx="1249">
                  <c:v>23-10-2025</c:v>
                </c:pt>
                <c:pt idx="1250">
                  <c:v>24-10-2025</c:v>
                </c:pt>
                <c:pt idx="1251">
                  <c:v>27-10-2025</c:v>
                </c:pt>
                <c:pt idx="1252">
                  <c:v>28-10-2025</c:v>
                </c:pt>
                <c:pt idx="1253">
                  <c:v>29-10-2025</c:v>
                </c:pt>
                <c:pt idx="1254">
                  <c:v>30-10-2025</c:v>
                </c:pt>
                <c:pt idx="1255">
                  <c:v>31-10-2025</c:v>
                </c:pt>
              </c:strCache>
            </c:strRef>
          </c:cat>
          <c:val>
            <c:numRef>
              <c:f>'Close_Moving_Averages'!$H$4:$H$1260</c:f>
              <c:numCache>
                <c:formatCode>General</c:formatCode>
                <c:ptCount val="1256"/>
                <c:pt idx="0">
                  <c:v>330.2</c:v>
                </c:pt>
                <c:pt idx="1">
                  <c:v>336.03</c:v>
                </c:pt>
                <c:pt idx="2">
                  <c:v>343.54</c:v>
                </c:pt>
                <c:pt idx="3">
                  <c:v>350.24</c:v>
                </c:pt>
                <c:pt idx="4">
                  <c:v>350.16</c:v>
                </c:pt>
                <c:pt idx="5">
                  <c:v>354.56</c:v>
                </c:pt>
                <c:pt idx="6">
                  <c:v>354.04</c:v>
                </c:pt>
                <c:pt idx="7">
                  <c:v>356.67</c:v>
                </c:pt>
                <c:pt idx="8">
                  <c:v>353.21</c:v>
                </c:pt>
                <c:pt idx="9">
                  <c:v>358.1</c:v>
                </c:pt>
                <c:pt idx="10">
                  <c:v>362.57</c:v>
                </c:pt>
                <c:pt idx="11">
                  <c:v>360.62</c:v>
                </c:pt>
                <c:pt idx="12">
                  <c:v>356.28</c:v>
                </c:pt>
                <c:pt idx="13">
                  <c:v>357.78</c:v>
                </c:pt>
                <c:pt idx="14">
                  <c:v>355.33</c:v>
                </c:pt>
                <c:pt idx="15">
                  <c:v>357.46</c:v>
                </c:pt>
                <c:pt idx="16">
                  <c:v>363.22</c:v>
                </c:pt>
                <c:pt idx="17">
                  <c:v>362.66</c:v>
                </c:pt>
                <c:pt idx="18">
                  <c:v>363.67</c:v>
                </c:pt>
                <c:pt idx="19">
                  <c:v>362.06</c:v>
                </c:pt>
                <c:pt idx="20">
                  <c:v>366.02</c:v>
                </c:pt>
                <c:pt idx="21">
                  <c:v>366.79</c:v>
                </c:pt>
                <c:pt idx="22">
                  <c:v>366.69</c:v>
                </c:pt>
                <c:pt idx="23">
                  <c:v>369.85</c:v>
                </c:pt>
                <c:pt idx="24">
                  <c:v>369.09</c:v>
                </c:pt>
                <c:pt idx="25">
                  <c:v>370.17</c:v>
                </c:pt>
                <c:pt idx="26">
                  <c:v>366.85</c:v>
                </c:pt>
                <c:pt idx="27">
                  <c:v>366.73</c:v>
                </c:pt>
                <c:pt idx="28">
                  <c:v>366.3</c:v>
                </c:pt>
                <c:pt idx="29">
                  <c:v>364.66</c:v>
                </c:pt>
                <c:pt idx="30">
                  <c:v>369.59</c:v>
                </c:pt>
                <c:pt idx="31">
                  <c:v>370.17</c:v>
                </c:pt>
                <c:pt idx="32">
                  <c:v>372.24</c:v>
                </c:pt>
                <c:pt idx="33">
                  <c:v>369.18</c:v>
                </c:pt>
                <c:pt idx="34">
                  <c:v>367.86</c:v>
                </c:pt>
                <c:pt idx="35">
                  <c:v>367.24</c:v>
                </c:pt>
                <c:pt idx="36">
                  <c:v>367.57</c:v>
                </c:pt>
                <c:pt idx="37">
                  <c:v>369</c:v>
                </c:pt>
                <c:pt idx="38">
                  <c:v>372.17</c:v>
                </c:pt>
                <c:pt idx="39">
                  <c:v>371.46</c:v>
                </c:pt>
                <c:pt idx="40">
                  <c:v>371.99</c:v>
                </c:pt>
                <c:pt idx="41">
                  <c:v>373.88</c:v>
                </c:pt>
                <c:pt idx="42">
                  <c:v>368.79</c:v>
                </c:pt>
                <c:pt idx="43">
                  <c:v>371.33</c:v>
                </c:pt>
                <c:pt idx="44">
                  <c:v>373.55</c:v>
                </c:pt>
                <c:pt idx="45">
                  <c:v>379.1</c:v>
                </c:pt>
                <c:pt idx="46">
                  <c:v>381.26</c:v>
                </c:pt>
                <c:pt idx="47">
                  <c:v>378.69</c:v>
                </c:pt>
                <c:pt idx="48">
                  <c:v>378.77</c:v>
                </c:pt>
                <c:pt idx="49">
                  <c:v>379.79</c:v>
                </c:pt>
                <c:pt idx="50">
                  <c:v>378.46</c:v>
                </c:pt>
                <c:pt idx="51">
                  <c:v>375.7</c:v>
                </c:pt>
                <c:pt idx="52">
                  <c:v>378.65</c:v>
                </c:pt>
                <c:pt idx="53">
                  <c:v>383.89</c:v>
                </c:pt>
                <c:pt idx="54">
                  <c:v>384.24</c:v>
                </c:pt>
                <c:pt idx="55">
                  <c:v>382.88</c:v>
                </c:pt>
                <c:pt idx="56">
                  <c:v>384.39</c:v>
                </c:pt>
                <c:pt idx="57">
                  <c:v>383.79</c:v>
                </c:pt>
                <c:pt idx="58">
                  <c:v>374.41</c:v>
                </c:pt>
                <c:pt idx="59">
                  <c:v>377.63</c:v>
                </c:pt>
                <c:pt idx="60">
                  <c:v>370.07</c:v>
                </c:pt>
                <c:pt idx="61">
                  <c:v>376.23</c:v>
                </c:pt>
                <c:pt idx="62">
                  <c:v>381.55</c:v>
                </c:pt>
                <c:pt idx="63">
                  <c:v>381.85</c:v>
                </c:pt>
                <c:pt idx="64">
                  <c:v>386.19</c:v>
                </c:pt>
                <c:pt idx="65">
                  <c:v>387.71</c:v>
                </c:pt>
                <c:pt idx="66">
                  <c:v>390.51</c:v>
                </c:pt>
                <c:pt idx="67">
                  <c:v>390.25</c:v>
                </c:pt>
                <c:pt idx="68">
                  <c:v>390.08</c:v>
                </c:pt>
                <c:pt idx="69">
                  <c:v>390.71</c:v>
                </c:pt>
                <c:pt idx="70">
                  <c:v>392.64</c:v>
                </c:pt>
                <c:pt idx="71">
                  <c:v>392.3</c:v>
                </c:pt>
                <c:pt idx="72">
                  <c:v>392.39</c:v>
                </c:pt>
                <c:pt idx="73">
                  <c:v>390.72</c:v>
                </c:pt>
                <c:pt idx="74">
                  <c:v>390.03</c:v>
                </c:pt>
                <c:pt idx="75">
                  <c:v>387.03</c:v>
                </c:pt>
                <c:pt idx="76">
                  <c:v>387.5</c:v>
                </c:pt>
                <c:pt idx="77">
                  <c:v>391.77</c:v>
                </c:pt>
                <c:pt idx="78">
                  <c:v>382.33</c:v>
                </c:pt>
                <c:pt idx="79">
                  <c:v>380.36</c:v>
                </c:pt>
                <c:pt idx="80">
                  <c:v>389.58</c:v>
                </c:pt>
                <c:pt idx="81">
                  <c:v>386.54</c:v>
                </c:pt>
                <c:pt idx="82">
                  <c:v>381.42</c:v>
                </c:pt>
                <c:pt idx="83">
                  <c:v>376.7</c:v>
                </c:pt>
                <c:pt idx="84">
                  <c:v>383.63</c:v>
                </c:pt>
                <c:pt idx="85">
                  <c:v>381.72</c:v>
                </c:pt>
                <c:pt idx="86">
                  <c:v>387.17</c:v>
                </c:pt>
                <c:pt idx="87">
                  <c:v>389.58</c:v>
                </c:pt>
                <c:pt idx="88">
                  <c:v>393.53</c:v>
                </c:pt>
                <c:pt idx="89">
                  <c:v>394.06</c:v>
                </c:pt>
                <c:pt idx="90">
                  <c:v>396.41</c:v>
                </c:pt>
                <c:pt idx="91">
                  <c:v>395.91</c:v>
                </c:pt>
                <c:pt idx="92">
                  <c:v>397.26</c:v>
                </c:pt>
                <c:pt idx="93">
                  <c:v>391.48</c:v>
                </c:pt>
                <c:pt idx="94">
                  <c:v>389.48</c:v>
                </c:pt>
                <c:pt idx="95">
                  <c:v>392.59</c:v>
                </c:pt>
                <c:pt idx="96">
                  <c:v>389.5</c:v>
                </c:pt>
                <c:pt idx="97">
                  <c:v>387.52</c:v>
                </c:pt>
                <c:pt idx="98">
                  <c:v>389.7</c:v>
                </c:pt>
                <c:pt idx="99">
                  <c:v>395.98</c:v>
                </c:pt>
                <c:pt idx="100">
                  <c:v>395.78</c:v>
                </c:pt>
                <c:pt idx="101">
                  <c:v>394.73</c:v>
                </c:pt>
                <c:pt idx="102">
                  <c:v>396.33</c:v>
                </c:pt>
                <c:pt idx="103">
                  <c:v>400.61</c:v>
                </c:pt>
                <c:pt idx="104">
                  <c:v>406.36</c:v>
                </c:pt>
                <c:pt idx="105">
                  <c:v>406.12</c:v>
                </c:pt>
                <c:pt idx="106">
                  <c:v>406.59</c:v>
                </c:pt>
                <c:pt idx="107">
                  <c:v>408.52</c:v>
                </c:pt>
                <c:pt idx="108">
                  <c:v>411.49</c:v>
                </c:pt>
                <c:pt idx="109">
                  <c:v>411.64</c:v>
                </c:pt>
                <c:pt idx="110">
                  <c:v>412.86</c:v>
                </c:pt>
                <c:pt idx="111">
                  <c:v>411.45</c:v>
                </c:pt>
                <c:pt idx="112">
                  <c:v>415.87</c:v>
                </c:pt>
                <c:pt idx="113">
                  <c:v>417.26</c:v>
                </c:pt>
                <c:pt idx="114">
                  <c:v>415.21</c:v>
                </c:pt>
                <c:pt idx="115">
                  <c:v>412.17</c:v>
                </c:pt>
                <c:pt idx="116">
                  <c:v>416.07</c:v>
                </c:pt>
                <c:pt idx="117">
                  <c:v>412.27</c:v>
                </c:pt>
                <c:pt idx="118">
                  <c:v>416.74</c:v>
                </c:pt>
                <c:pt idx="119">
                  <c:v>417.61</c:v>
                </c:pt>
                <c:pt idx="120">
                  <c:v>417.52</c:v>
                </c:pt>
                <c:pt idx="121">
                  <c:v>417.4</c:v>
                </c:pt>
                <c:pt idx="122">
                  <c:v>420.06</c:v>
                </c:pt>
                <c:pt idx="123">
                  <c:v>417.3</c:v>
                </c:pt>
                <c:pt idx="124">
                  <c:v>418.2</c:v>
                </c:pt>
                <c:pt idx="125">
                  <c:v>415.62</c:v>
                </c:pt>
                <c:pt idx="126">
                  <c:v>415.75</c:v>
                </c:pt>
                <c:pt idx="127">
                  <c:v>419.07</c:v>
                </c:pt>
                <c:pt idx="128">
                  <c:v>422.12</c:v>
                </c:pt>
                <c:pt idx="129">
                  <c:v>417.94</c:v>
                </c:pt>
                <c:pt idx="130">
                  <c:v>414.21</c:v>
                </c:pt>
                <c:pt idx="131">
                  <c:v>405.41</c:v>
                </c:pt>
                <c:pt idx="132">
                  <c:v>410.28</c:v>
                </c:pt>
                <c:pt idx="133">
                  <c:v>416.58</c:v>
                </c:pt>
                <c:pt idx="134">
                  <c:v>415.52</c:v>
                </c:pt>
                <c:pt idx="135">
                  <c:v>411.94</c:v>
                </c:pt>
                <c:pt idx="136">
                  <c:v>410.86</c:v>
                </c:pt>
                <c:pt idx="137">
                  <c:v>415.28</c:v>
                </c:pt>
                <c:pt idx="138">
                  <c:v>414.94</c:v>
                </c:pt>
                <c:pt idx="139">
                  <c:v>419.17</c:v>
                </c:pt>
                <c:pt idx="140">
                  <c:v>418.24</c:v>
                </c:pt>
                <c:pt idx="141">
                  <c:v>419.07</c:v>
                </c:pt>
                <c:pt idx="142">
                  <c:v>419.29</c:v>
                </c:pt>
                <c:pt idx="143">
                  <c:v>420.04</c:v>
                </c:pt>
                <c:pt idx="144">
                  <c:v>419.67</c:v>
                </c:pt>
                <c:pt idx="145">
                  <c:v>420.33</c:v>
                </c:pt>
                <c:pt idx="146">
                  <c:v>418.77</c:v>
                </c:pt>
                <c:pt idx="147">
                  <c:v>422.6</c:v>
                </c:pt>
                <c:pt idx="148">
                  <c:v>422.19</c:v>
                </c:pt>
                <c:pt idx="149">
                  <c:v>422.28</c:v>
                </c:pt>
                <c:pt idx="150">
                  <c:v>421.65</c:v>
                </c:pt>
                <c:pt idx="151">
                  <c:v>423.61</c:v>
                </c:pt>
                <c:pt idx="152">
                  <c:v>424.31</c:v>
                </c:pt>
                <c:pt idx="153">
                  <c:v>425.26</c:v>
                </c:pt>
                <c:pt idx="154">
                  <c:v>424.48</c:v>
                </c:pt>
                <c:pt idx="155">
                  <c:v>422.11</c:v>
                </c:pt>
                <c:pt idx="156">
                  <c:v>421.97</c:v>
                </c:pt>
                <c:pt idx="157">
                  <c:v>414.92</c:v>
                </c:pt>
                <c:pt idx="158">
                  <c:v>420.86</c:v>
                </c:pt>
                <c:pt idx="159">
                  <c:v>423.11</c:v>
                </c:pt>
                <c:pt idx="160">
                  <c:v>422.6</c:v>
                </c:pt>
                <c:pt idx="161">
                  <c:v>425.1</c:v>
                </c:pt>
                <c:pt idx="162">
                  <c:v>426.61</c:v>
                </c:pt>
                <c:pt idx="163">
                  <c:v>427.47</c:v>
                </c:pt>
                <c:pt idx="164">
                  <c:v>427.7</c:v>
                </c:pt>
                <c:pt idx="165">
                  <c:v>428.06</c:v>
                </c:pt>
                <c:pt idx="166">
                  <c:v>430.43</c:v>
                </c:pt>
                <c:pt idx="167">
                  <c:v>433.72</c:v>
                </c:pt>
                <c:pt idx="168">
                  <c:v>432.93</c:v>
                </c:pt>
                <c:pt idx="169">
                  <c:v>434.46</c:v>
                </c:pt>
                <c:pt idx="170">
                  <c:v>430.92</c:v>
                </c:pt>
                <c:pt idx="171">
                  <c:v>435.52</c:v>
                </c:pt>
                <c:pt idx="172">
                  <c:v>437.08</c:v>
                </c:pt>
                <c:pt idx="173">
                  <c:v>435.59</c:v>
                </c:pt>
                <c:pt idx="174">
                  <c:v>436.24</c:v>
                </c:pt>
                <c:pt idx="175">
                  <c:v>434.75</c:v>
                </c:pt>
                <c:pt idx="176">
                  <c:v>431.34</c:v>
                </c:pt>
                <c:pt idx="177">
                  <c:v>424.97</c:v>
                </c:pt>
                <c:pt idx="178">
                  <c:v>431.06</c:v>
                </c:pt>
                <c:pt idx="179">
                  <c:v>434.55</c:v>
                </c:pt>
                <c:pt idx="180">
                  <c:v>435.46</c:v>
                </c:pt>
                <c:pt idx="181">
                  <c:v>439.94</c:v>
                </c:pt>
                <c:pt idx="182">
                  <c:v>441.02</c:v>
                </c:pt>
                <c:pt idx="183">
                  <c:v>439.01</c:v>
                </c:pt>
                <c:pt idx="184">
                  <c:v>438.83</c:v>
                </c:pt>
                <c:pt idx="185">
                  <c:v>440.65</c:v>
                </c:pt>
                <c:pt idx="186">
                  <c:v>438.51</c:v>
                </c:pt>
                <c:pt idx="187">
                  <c:v>437.59</c:v>
                </c:pt>
                <c:pt idx="188">
                  <c:v>441.15</c:v>
                </c:pt>
                <c:pt idx="189">
                  <c:v>438.98</c:v>
                </c:pt>
                <c:pt idx="190">
                  <c:v>441.76</c:v>
                </c:pt>
                <c:pt idx="191">
                  <c:v>442.49</c:v>
                </c:pt>
                <c:pt idx="192">
                  <c:v>442.13</c:v>
                </c:pt>
                <c:pt idx="193">
                  <c:v>442.68</c:v>
                </c:pt>
                <c:pt idx="194">
                  <c:v>443.78</c:v>
                </c:pt>
                <c:pt idx="195">
                  <c:v>445.11</c:v>
                </c:pt>
                <c:pt idx="196">
                  <c:v>445.92</c:v>
                </c:pt>
                <c:pt idx="197">
                  <c:v>446.97</c:v>
                </c:pt>
                <c:pt idx="198">
                  <c:v>444.04</c:v>
                </c:pt>
                <c:pt idx="199">
                  <c:v>439.18</c:v>
                </c:pt>
                <c:pt idx="200">
                  <c:v>439.86</c:v>
                </c:pt>
                <c:pt idx="201">
                  <c:v>443.36</c:v>
                </c:pt>
                <c:pt idx="202">
                  <c:v>447.26</c:v>
                </c:pt>
                <c:pt idx="203">
                  <c:v>447.97</c:v>
                </c:pt>
                <c:pt idx="204">
                  <c:v>448.91</c:v>
                </c:pt>
                <c:pt idx="205">
                  <c:v>446.26</c:v>
                </c:pt>
                <c:pt idx="206">
                  <c:v>450.25</c:v>
                </c:pt>
                <c:pt idx="207">
                  <c:v>452.23</c:v>
                </c:pt>
                <c:pt idx="208">
                  <c:v>451.56</c:v>
                </c:pt>
                <c:pt idx="209">
                  <c:v>451.8</c:v>
                </c:pt>
                <c:pt idx="210">
                  <c:v>453.19</c:v>
                </c:pt>
                <c:pt idx="211">
                  <c:v>453.08</c:v>
                </c:pt>
                <c:pt idx="212">
                  <c:v>451.46</c:v>
                </c:pt>
                <c:pt idx="213">
                  <c:v>450.91</c:v>
                </c:pt>
                <c:pt idx="214">
                  <c:v>448.98</c:v>
                </c:pt>
                <c:pt idx="215">
                  <c:v>445.44</c:v>
                </c:pt>
                <c:pt idx="216">
                  <c:v>446.58</c:v>
                </c:pt>
                <c:pt idx="217">
                  <c:v>444.17</c:v>
                </c:pt>
                <c:pt idx="218">
                  <c:v>447.88</c:v>
                </c:pt>
                <c:pt idx="219">
                  <c:v>447.17</c:v>
                </c:pt>
                <c:pt idx="220">
                  <c:v>441.4</c:v>
                </c:pt>
                <c:pt idx="221">
                  <c:v>434.04</c:v>
                </c:pt>
                <c:pt idx="222">
                  <c:v>433.63</c:v>
                </c:pt>
                <c:pt idx="223">
                  <c:v>437.86</c:v>
                </c:pt>
                <c:pt idx="224">
                  <c:v>443.18</c:v>
                </c:pt>
                <c:pt idx="225">
                  <c:v>443.91</c:v>
                </c:pt>
                <c:pt idx="226">
                  <c:v>442.64</c:v>
                </c:pt>
                <c:pt idx="227">
                  <c:v>433.72</c:v>
                </c:pt>
                <c:pt idx="228">
                  <c:v>434.45</c:v>
                </c:pt>
                <c:pt idx="229">
                  <c:v>429.14</c:v>
                </c:pt>
                <c:pt idx="230">
                  <c:v>434.24</c:v>
                </c:pt>
                <c:pt idx="231">
                  <c:v>428.64</c:v>
                </c:pt>
                <c:pt idx="232">
                  <c:v>433.1</c:v>
                </c:pt>
                <c:pt idx="233">
                  <c:v>434.9</c:v>
                </c:pt>
                <c:pt idx="234">
                  <c:v>438.66</c:v>
                </c:pt>
                <c:pt idx="235">
                  <c:v>437.86</c:v>
                </c:pt>
                <c:pt idx="236">
                  <c:v>434.69</c:v>
                </c:pt>
                <c:pt idx="237">
                  <c:v>433.62</c:v>
                </c:pt>
                <c:pt idx="238">
                  <c:v>435.18</c:v>
                </c:pt>
                <c:pt idx="239">
                  <c:v>442.5</c:v>
                </c:pt>
                <c:pt idx="240">
                  <c:v>445.87</c:v>
                </c:pt>
                <c:pt idx="241">
                  <c:v>447.19</c:v>
                </c:pt>
                <c:pt idx="242">
                  <c:v>450.64</c:v>
                </c:pt>
                <c:pt idx="243">
                  <c:v>452.41</c:v>
                </c:pt>
                <c:pt idx="244">
                  <c:v>453.59</c:v>
                </c:pt>
                <c:pt idx="245">
                  <c:v>453.12</c:v>
                </c:pt>
                <c:pt idx="246">
                  <c:v>455.55</c:v>
                </c:pt>
                <c:pt idx="247">
                  <c:v>455.96</c:v>
                </c:pt>
                <c:pt idx="248">
                  <c:v>453.94</c:v>
                </c:pt>
                <c:pt idx="249">
                  <c:v>458.32</c:v>
                </c:pt>
                <c:pt idx="250">
                  <c:v>459.25</c:v>
                </c:pt>
                <c:pt idx="251">
                  <c:v>460.04</c:v>
                </c:pt>
                <c:pt idx="252">
                  <c:v>461.9</c:v>
                </c:pt>
                <c:pt idx="253">
                  <c:v>464.72</c:v>
                </c:pt>
                <c:pt idx="254">
                  <c:v>466.91</c:v>
                </c:pt>
                <c:pt idx="255">
                  <c:v>468.53</c:v>
                </c:pt>
                <c:pt idx="256">
                  <c:v>468.93</c:v>
                </c:pt>
                <c:pt idx="257">
                  <c:v>467.38</c:v>
                </c:pt>
                <c:pt idx="258">
                  <c:v>463.62</c:v>
                </c:pt>
                <c:pt idx="259">
                  <c:v>463.77</c:v>
                </c:pt>
                <c:pt idx="260">
                  <c:v>467.27</c:v>
                </c:pt>
                <c:pt idx="261">
                  <c:v>467.43</c:v>
                </c:pt>
                <c:pt idx="262">
                  <c:v>469.28</c:v>
                </c:pt>
                <c:pt idx="263">
                  <c:v>468.14</c:v>
                </c:pt>
                <c:pt idx="264">
                  <c:v>469.73</c:v>
                </c:pt>
                <c:pt idx="265">
                  <c:v>468.89</c:v>
                </c:pt>
                <c:pt idx="266">
                  <c:v>467.57</c:v>
                </c:pt>
                <c:pt idx="267">
                  <c:v>468.19</c:v>
                </c:pt>
                <c:pt idx="268">
                  <c:v>469.44</c:v>
                </c:pt>
                <c:pt idx="269">
                  <c:v>458.97</c:v>
                </c:pt>
                <c:pt idx="270">
                  <c:v>464.6</c:v>
                </c:pt>
                <c:pt idx="271">
                  <c:v>455.56</c:v>
                </c:pt>
                <c:pt idx="272">
                  <c:v>450.5</c:v>
                </c:pt>
                <c:pt idx="273">
                  <c:v>457.4</c:v>
                </c:pt>
                <c:pt idx="274">
                  <c:v>453.42</c:v>
                </c:pt>
                <c:pt idx="275">
                  <c:v>458.79</c:v>
                </c:pt>
                <c:pt idx="276">
                  <c:v>468.28</c:v>
                </c:pt>
                <c:pt idx="277">
                  <c:v>469.52</c:v>
                </c:pt>
                <c:pt idx="278">
                  <c:v>466.35</c:v>
                </c:pt>
                <c:pt idx="279">
                  <c:v>470.74</c:v>
                </c:pt>
                <c:pt idx="280">
                  <c:v>466.57</c:v>
                </c:pt>
                <c:pt idx="281">
                  <c:v>463.36</c:v>
                </c:pt>
                <c:pt idx="282">
                  <c:v>470.6</c:v>
                </c:pt>
                <c:pt idx="283">
                  <c:v>466.45</c:v>
                </c:pt>
                <c:pt idx="284">
                  <c:v>459.87</c:v>
                </c:pt>
                <c:pt idx="285">
                  <c:v>454.98</c:v>
                </c:pt>
                <c:pt idx="286">
                  <c:v>463.06</c:v>
                </c:pt>
                <c:pt idx="287">
                  <c:v>467.69</c:v>
                </c:pt>
                <c:pt idx="288">
                  <c:v>470.6</c:v>
                </c:pt>
                <c:pt idx="289">
                  <c:v>477.26</c:v>
                </c:pt>
                <c:pt idx="290">
                  <c:v>476.87</c:v>
                </c:pt>
                <c:pt idx="291">
                  <c:v>477.48</c:v>
                </c:pt>
                <c:pt idx="292">
                  <c:v>476.16</c:v>
                </c:pt>
                <c:pt idx="293">
                  <c:v>474.96</c:v>
                </c:pt>
                <c:pt idx="294">
                  <c:v>477.71</c:v>
                </c:pt>
                <c:pt idx="295">
                  <c:v>477.55</c:v>
                </c:pt>
                <c:pt idx="296">
                  <c:v>468.38</c:v>
                </c:pt>
                <c:pt idx="297">
                  <c:v>467.94</c:v>
                </c:pt>
                <c:pt idx="298">
                  <c:v>466.09</c:v>
                </c:pt>
                <c:pt idx="299">
                  <c:v>465.51</c:v>
                </c:pt>
                <c:pt idx="300">
                  <c:v>469.75</c:v>
                </c:pt>
                <c:pt idx="301">
                  <c:v>471.02</c:v>
                </c:pt>
                <c:pt idx="302">
                  <c:v>464.53</c:v>
                </c:pt>
                <c:pt idx="303">
                  <c:v>464.72</c:v>
                </c:pt>
                <c:pt idx="304">
                  <c:v>456.49</c:v>
                </c:pt>
                <c:pt idx="305">
                  <c:v>451.75</c:v>
                </c:pt>
                <c:pt idx="306">
                  <c:v>446.75</c:v>
                </c:pt>
                <c:pt idx="307">
                  <c:v>437.98</c:v>
                </c:pt>
                <c:pt idx="308">
                  <c:v>439.84</c:v>
                </c:pt>
                <c:pt idx="309">
                  <c:v>434.47</c:v>
                </c:pt>
                <c:pt idx="310">
                  <c:v>433.38</c:v>
                </c:pt>
                <c:pt idx="311">
                  <c:v>431.24</c:v>
                </c:pt>
                <c:pt idx="312">
                  <c:v>441.95</c:v>
                </c:pt>
                <c:pt idx="313">
                  <c:v>449.91</c:v>
                </c:pt>
                <c:pt idx="314">
                  <c:v>452.95</c:v>
                </c:pt>
                <c:pt idx="315">
                  <c:v>457.35</c:v>
                </c:pt>
                <c:pt idx="316">
                  <c:v>446.6</c:v>
                </c:pt>
                <c:pt idx="317">
                  <c:v>448.7</c:v>
                </c:pt>
                <c:pt idx="318">
                  <c:v>447.26</c:v>
                </c:pt>
                <c:pt idx="319">
                  <c:v>450.94</c:v>
                </c:pt>
                <c:pt idx="320">
                  <c:v>457.54</c:v>
                </c:pt>
                <c:pt idx="321">
                  <c:v>449.32</c:v>
                </c:pt>
                <c:pt idx="322">
                  <c:v>440.46</c:v>
                </c:pt>
                <c:pt idx="323">
                  <c:v>439.02</c:v>
                </c:pt>
                <c:pt idx="324">
                  <c:v>446.1</c:v>
                </c:pt>
                <c:pt idx="325">
                  <c:v>446.6</c:v>
                </c:pt>
                <c:pt idx="326">
                  <c:v>437.06</c:v>
                </c:pt>
                <c:pt idx="327">
                  <c:v>434.23</c:v>
                </c:pt>
                <c:pt idx="328">
                  <c:v>429.57</c:v>
                </c:pt>
                <c:pt idx="329">
                  <c:v>421.95</c:v>
                </c:pt>
                <c:pt idx="330">
                  <c:v>428.3</c:v>
                </c:pt>
                <c:pt idx="331">
                  <c:v>437.75</c:v>
                </c:pt>
                <c:pt idx="332">
                  <c:v>436.63</c:v>
                </c:pt>
                <c:pt idx="333">
                  <c:v>429.98</c:v>
                </c:pt>
                <c:pt idx="334">
                  <c:v>437.89</c:v>
                </c:pt>
                <c:pt idx="335">
                  <c:v>435.71</c:v>
                </c:pt>
                <c:pt idx="336">
                  <c:v>432.17</c:v>
                </c:pt>
                <c:pt idx="337">
                  <c:v>419.43</c:v>
                </c:pt>
                <c:pt idx="338">
                  <c:v>416.25</c:v>
                </c:pt>
                <c:pt idx="339">
                  <c:v>427.41</c:v>
                </c:pt>
                <c:pt idx="340">
                  <c:v>425.48</c:v>
                </c:pt>
                <c:pt idx="341">
                  <c:v>420.07</c:v>
                </c:pt>
                <c:pt idx="342">
                  <c:v>417</c:v>
                </c:pt>
                <c:pt idx="343">
                  <c:v>426.17</c:v>
                </c:pt>
                <c:pt idx="344">
                  <c:v>435.62</c:v>
                </c:pt>
                <c:pt idx="345">
                  <c:v>441.07</c:v>
                </c:pt>
                <c:pt idx="346">
                  <c:v>444.52</c:v>
                </c:pt>
                <c:pt idx="347">
                  <c:v>444.39</c:v>
                </c:pt>
                <c:pt idx="348">
                  <c:v>449.59</c:v>
                </c:pt>
                <c:pt idx="349">
                  <c:v>443.8</c:v>
                </c:pt>
                <c:pt idx="350">
                  <c:v>450.49</c:v>
                </c:pt>
                <c:pt idx="351">
                  <c:v>452.69</c:v>
                </c:pt>
                <c:pt idx="352">
                  <c:v>455.91</c:v>
                </c:pt>
                <c:pt idx="353">
                  <c:v>461.55</c:v>
                </c:pt>
                <c:pt idx="354">
                  <c:v>458.7</c:v>
                </c:pt>
                <c:pt idx="355">
                  <c:v>451.64</c:v>
                </c:pt>
                <c:pt idx="356">
                  <c:v>452.92</c:v>
                </c:pt>
                <c:pt idx="357">
                  <c:v>456.8</c:v>
                </c:pt>
                <c:pt idx="358">
                  <c:v>451.03</c:v>
                </c:pt>
                <c:pt idx="359">
                  <c:v>446.52</c:v>
                </c:pt>
                <c:pt idx="360">
                  <c:v>448.77</c:v>
                </c:pt>
                <c:pt idx="361">
                  <c:v>447.57</c:v>
                </c:pt>
                <c:pt idx="362">
                  <c:v>439.92</c:v>
                </c:pt>
                <c:pt idx="363">
                  <c:v>438.29</c:v>
                </c:pt>
                <c:pt idx="364">
                  <c:v>443.31</c:v>
                </c:pt>
                <c:pt idx="365">
                  <c:v>437.79</c:v>
                </c:pt>
                <c:pt idx="366">
                  <c:v>437.97</c:v>
                </c:pt>
                <c:pt idx="367">
                  <c:v>445.04</c:v>
                </c:pt>
                <c:pt idx="368">
                  <c:v>444.71</c:v>
                </c:pt>
                <c:pt idx="369">
                  <c:v>438.06</c:v>
                </c:pt>
                <c:pt idx="370">
                  <c:v>426.04</c:v>
                </c:pt>
                <c:pt idx="371">
                  <c:v>428.51</c:v>
                </c:pt>
                <c:pt idx="372">
                  <c:v>416.1</c:v>
                </c:pt>
                <c:pt idx="373">
                  <c:v>417.27</c:v>
                </c:pt>
                <c:pt idx="374">
                  <c:v>427.81</c:v>
                </c:pt>
                <c:pt idx="375">
                  <c:v>412</c:v>
                </c:pt>
                <c:pt idx="376">
                  <c:v>414.48</c:v>
                </c:pt>
                <c:pt idx="377">
                  <c:v>416.38</c:v>
                </c:pt>
                <c:pt idx="378">
                  <c:v>429.06</c:v>
                </c:pt>
                <c:pt idx="379">
                  <c:v>413.81</c:v>
                </c:pt>
                <c:pt idx="380">
                  <c:v>411.34</c:v>
                </c:pt>
                <c:pt idx="381">
                  <c:v>398.17</c:v>
                </c:pt>
                <c:pt idx="382">
                  <c:v>399.09</c:v>
                </c:pt>
                <c:pt idx="383">
                  <c:v>392.75</c:v>
                </c:pt>
                <c:pt idx="384">
                  <c:v>392.34</c:v>
                </c:pt>
                <c:pt idx="385">
                  <c:v>401.72</c:v>
                </c:pt>
                <c:pt idx="386">
                  <c:v>400.09</c:v>
                </c:pt>
                <c:pt idx="387">
                  <c:v>408.32</c:v>
                </c:pt>
                <c:pt idx="388">
                  <c:v>391.86</c:v>
                </c:pt>
                <c:pt idx="389">
                  <c:v>389.46</c:v>
                </c:pt>
                <c:pt idx="390">
                  <c:v>389.63</c:v>
                </c:pt>
                <c:pt idx="391">
                  <c:v>396.92</c:v>
                </c:pt>
                <c:pt idx="392">
                  <c:v>393.89</c:v>
                </c:pt>
                <c:pt idx="393">
                  <c:v>397.37</c:v>
                </c:pt>
                <c:pt idx="394">
                  <c:v>405.31</c:v>
                </c:pt>
                <c:pt idx="395">
                  <c:v>415.26</c:v>
                </c:pt>
                <c:pt idx="396">
                  <c:v>412.93</c:v>
                </c:pt>
                <c:pt idx="397">
                  <c:v>409.59</c:v>
                </c:pt>
                <c:pt idx="398">
                  <c:v>417.39</c:v>
                </c:pt>
                <c:pt idx="399">
                  <c:v>410.54</c:v>
                </c:pt>
                <c:pt idx="400">
                  <c:v>411.79</c:v>
                </c:pt>
                <c:pt idx="401">
                  <c:v>415.74</c:v>
                </c:pt>
                <c:pt idx="402">
                  <c:v>411.22</c:v>
                </c:pt>
                <c:pt idx="403">
                  <c:v>401.44</c:v>
                </c:pt>
                <c:pt idx="404">
                  <c:v>389.8</c:v>
                </c:pt>
                <c:pt idx="405">
                  <c:v>375</c:v>
                </c:pt>
                <c:pt idx="406">
                  <c:v>373.87</c:v>
                </c:pt>
                <c:pt idx="407">
                  <c:v>379.2</c:v>
                </c:pt>
                <c:pt idx="408">
                  <c:v>366.65</c:v>
                </c:pt>
                <c:pt idx="409">
                  <c:v>365.86</c:v>
                </c:pt>
                <c:pt idx="410">
                  <c:v>375.07</c:v>
                </c:pt>
                <c:pt idx="411">
                  <c:v>374.39</c:v>
                </c:pt>
                <c:pt idx="412">
                  <c:v>378.06</c:v>
                </c:pt>
                <c:pt idx="413">
                  <c:v>390.08</c:v>
                </c:pt>
                <c:pt idx="414">
                  <c:v>388.59</c:v>
                </c:pt>
                <c:pt idx="415">
                  <c:v>380.65</c:v>
                </c:pt>
                <c:pt idx="416">
                  <c:v>380.34</c:v>
                </c:pt>
                <c:pt idx="417">
                  <c:v>377.25</c:v>
                </c:pt>
                <c:pt idx="418">
                  <c:v>381.24</c:v>
                </c:pt>
                <c:pt idx="419">
                  <c:v>381.96</c:v>
                </c:pt>
                <c:pt idx="420">
                  <c:v>383.25</c:v>
                </c:pt>
                <c:pt idx="421">
                  <c:v>388.99</c:v>
                </c:pt>
                <c:pt idx="422">
                  <c:v>388.67</c:v>
                </c:pt>
                <c:pt idx="423">
                  <c:v>384.23</c:v>
                </c:pt>
                <c:pt idx="424">
                  <c:v>380.83</c:v>
                </c:pt>
                <c:pt idx="425">
                  <c:v>378.83</c:v>
                </c:pt>
                <c:pt idx="426">
                  <c:v>377.91</c:v>
                </c:pt>
                <c:pt idx="427">
                  <c:v>385.13</c:v>
                </c:pt>
                <c:pt idx="428">
                  <c:v>381.95</c:v>
                </c:pt>
                <c:pt idx="429">
                  <c:v>392.27</c:v>
                </c:pt>
                <c:pt idx="430">
                  <c:v>394.77</c:v>
                </c:pt>
                <c:pt idx="431">
                  <c:v>398.79</c:v>
                </c:pt>
                <c:pt idx="432">
                  <c:v>395.09</c:v>
                </c:pt>
                <c:pt idx="433">
                  <c:v>395.57</c:v>
                </c:pt>
                <c:pt idx="434">
                  <c:v>390.89</c:v>
                </c:pt>
                <c:pt idx="435">
                  <c:v>401.04</c:v>
                </c:pt>
                <c:pt idx="436">
                  <c:v>406.07</c:v>
                </c:pt>
                <c:pt idx="437">
                  <c:v>411.99</c:v>
                </c:pt>
                <c:pt idx="438">
                  <c:v>410.77</c:v>
                </c:pt>
                <c:pt idx="439">
                  <c:v>408.06</c:v>
                </c:pt>
                <c:pt idx="440">
                  <c:v>414.45</c:v>
                </c:pt>
                <c:pt idx="441">
                  <c:v>414.17</c:v>
                </c:pt>
                <c:pt idx="442">
                  <c:v>413.47</c:v>
                </c:pt>
                <c:pt idx="443">
                  <c:v>412.99</c:v>
                </c:pt>
                <c:pt idx="444">
                  <c:v>411.35</c:v>
                </c:pt>
                <c:pt idx="445">
                  <c:v>419.99</c:v>
                </c:pt>
                <c:pt idx="446">
                  <c:v>419.99</c:v>
                </c:pt>
                <c:pt idx="447">
                  <c:v>427.1</c:v>
                </c:pt>
                <c:pt idx="448">
                  <c:v>428.86</c:v>
                </c:pt>
                <c:pt idx="449">
                  <c:v>429.7</c:v>
                </c:pt>
                <c:pt idx="450">
                  <c:v>426.65</c:v>
                </c:pt>
                <c:pt idx="451">
                  <c:v>427.89</c:v>
                </c:pt>
                <c:pt idx="452">
                  <c:v>422.14</c:v>
                </c:pt>
                <c:pt idx="453">
                  <c:v>413.35</c:v>
                </c:pt>
                <c:pt idx="454">
                  <c:v>412.35</c:v>
                </c:pt>
                <c:pt idx="455">
                  <c:v>413.67</c:v>
                </c:pt>
                <c:pt idx="456">
                  <c:v>419.51</c:v>
                </c:pt>
                <c:pt idx="457">
                  <c:v>405.31</c:v>
                </c:pt>
                <c:pt idx="458">
                  <c:v>402.63</c:v>
                </c:pt>
                <c:pt idx="459">
                  <c:v>398.21</c:v>
                </c:pt>
                <c:pt idx="460">
                  <c:v>395.18</c:v>
                </c:pt>
                <c:pt idx="461">
                  <c:v>396.42</c:v>
                </c:pt>
                <c:pt idx="462">
                  <c:v>392.24</c:v>
                </c:pt>
                <c:pt idx="463">
                  <c:v>390.76</c:v>
                </c:pt>
                <c:pt idx="464">
                  <c:v>397.78</c:v>
                </c:pt>
                <c:pt idx="465">
                  <c:v>400.38</c:v>
                </c:pt>
                <c:pt idx="466">
                  <c:v>406.6</c:v>
                </c:pt>
                <c:pt idx="467">
                  <c:v>410.97</c:v>
                </c:pt>
                <c:pt idx="468">
                  <c:v>393.1</c:v>
                </c:pt>
                <c:pt idx="469">
                  <c:v>394.6</c:v>
                </c:pt>
                <c:pt idx="470">
                  <c:v>390.12</c:v>
                </c:pt>
                <c:pt idx="471">
                  <c:v>385.56</c:v>
                </c:pt>
                <c:pt idx="472">
                  <c:v>388.55</c:v>
                </c:pt>
                <c:pt idx="473">
                  <c:v>384.09</c:v>
                </c:pt>
                <c:pt idx="474">
                  <c:v>377.39</c:v>
                </c:pt>
                <c:pt idx="475">
                  <c:v>374.22</c:v>
                </c:pt>
                <c:pt idx="476">
                  <c:v>367.95</c:v>
                </c:pt>
                <c:pt idx="477">
                  <c:v>364.31</c:v>
                </c:pt>
                <c:pt idx="478">
                  <c:v>363.38</c:v>
                </c:pt>
                <c:pt idx="479">
                  <c:v>370.53</c:v>
                </c:pt>
                <c:pt idx="480">
                  <c:v>362.79</c:v>
                </c:pt>
                <c:pt idx="481">
                  <c:v>357.18</c:v>
                </c:pt>
                <c:pt idx="482">
                  <c:v>366.61</c:v>
                </c:pt>
                <c:pt idx="483">
                  <c:v>377.97</c:v>
                </c:pt>
                <c:pt idx="484">
                  <c:v>377.09</c:v>
                </c:pt>
                <c:pt idx="485">
                  <c:v>373.2</c:v>
                </c:pt>
                <c:pt idx="486">
                  <c:v>362.79</c:v>
                </c:pt>
                <c:pt idx="487">
                  <c:v>360.02</c:v>
                </c:pt>
                <c:pt idx="488">
                  <c:v>357.74</c:v>
                </c:pt>
                <c:pt idx="489">
                  <c:v>356.56</c:v>
                </c:pt>
                <c:pt idx="490">
                  <c:v>365.97</c:v>
                </c:pt>
                <c:pt idx="491">
                  <c:v>357.63</c:v>
                </c:pt>
                <c:pt idx="492">
                  <c:v>366.82</c:v>
                </c:pt>
                <c:pt idx="493">
                  <c:v>371.13</c:v>
                </c:pt>
                <c:pt idx="494">
                  <c:v>368.5</c:v>
                </c:pt>
                <c:pt idx="495">
                  <c:v>365.41</c:v>
                </c:pt>
                <c:pt idx="496">
                  <c:v>374.29</c:v>
                </c:pt>
                <c:pt idx="497">
                  <c:v>378.87</c:v>
                </c:pt>
                <c:pt idx="498">
                  <c:v>384.92</c:v>
                </c:pt>
                <c:pt idx="499">
                  <c:v>382.02</c:v>
                </c:pt>
                <c:pt idx="500">
                  <c:v>379.98</c:v>
                </c:pt>
                <c:pt idx="501">
                  <c:v>389.02</c:v>
                </c:pt>
                <c:pt idx="502">
                  <c:v>386.21</c:v>
                </c:pt>
                <c:pt idx="503">
                  <c:v>384.52</c:v>
                </c:pt>
                <c:pt idx="504">
                  <c:v>374.87</c:v>
                </c:pt>
                <c:pt idx="505">
                  <c:v>371.01</c:v>
                </c:pt>
                <c:pt idx="506">
                  <c:v>376.35</c:v>
                </c:pt>
                <c:pt idx="507">
                  <c:v>379.95</c:v>
                </c:pt>
                <c:pt idx="508">
                  <c:v>382</c:v>
                </c:pt>
                <c:pt idx="509">
                  <c:v>374.13</c:v>
                </c:pt>
                <c:pt idx="510">
                  <c:v>394.69</c:v>
                </c:pt>
                <c:pt idx="511">
                  <c:v>398.51</c:v>
                </c:pt>
                <c:pt idx="512">
                  <c:v>395.12</c:v>
                </c:pt>
                <c:pt idx="513">
                  <c:v>398.49</c:v>
                </c:pt>
                <c:pt idx="514">
                  <c:v>395.45</c:v>
                </c:pt>
                <c:pt idx="515">
                  <c:v>394.24</c:v>
                </c:pt>
                <c:pt idx="516">
                  <c:v>396.03</c:v>
                </c:pt>
                <c:pt idx="517">
                  <c:v>394.59</c:v>
                </c:pt>
                <c:pt idx="518">
                  <c:v>399.9</c:v>
                </c:pt>
                <c:pt idx="519">
                  <c:v>402.42</c:v>
                </c:pt>
                <c:pt idx="520">
                  <c:v>402.33</c:v>
                </c:pt>
                <c:pt idx="521">
                  <c:v>395.91</c:v>
                </c:pt>
                <c:pt idx="522">
                  <c:v>395.23</c:v>
                </c:pt>
                <c:pt idx="523">
                  <c:v>407.68</c:v>
                </c:pt>
                <c:pt idx="524">
                  <c:v>407.38</c:v>
                </c:pt>
                <c:pt idx="525">
                  <c:v>406.91</c:v>
                </c:pt>
                <c:pt idx="526">
                  <c:v>399.59</c:v>
                </c:pt>
                <c:pt idx="527">
                  <c:v>393.83</c:v>
                </c:pt>
                <c:pt idx="528">
                  <c:v>393.16</c:v>
                </c:pt>
                <c:pt idx="529">
                  <c:v>396.24</c:v>
                </c:pt>
                <c:pt idx="530">
                  <c:v>393.28</c:v>
                </c:pt>
                <c:pt idx="531">
                  <c:v>398.95</c:v>
                </c:pt>
                <c:pt idx="532">
                  <c:v>401.97</c:v>
                </c:pt>
                <c:pt idx="533">
                  <c:v>399.4</c:v>
                </c:pt>
                <c:pt idx="534">
                  <c:v>389.63</c:v>
                </c:pt>
                <c:pt idx="535">
                  <c:v>383.27</c:v>
                </c:pt>
                <c:pt idx="536">
                  <c:v>380.02</c:v>
                </c:pt>
                <c:pt idx="537">
                  <c:v>380.54</c:v>
                </c:pt>
                <c:pt idx="538">
                  <c:v>386.23</c:v>
                </c:pt>
                <c:pt idx="539">
                  <c:v>380.72</c:v>
                </c:pt>
                <c:pt idx="540">
                  <c:v>382.91</c:v>
                </c:pt>
                <c:pt idx="541">
                  <c:v>381.4</c:v>
                </c:pt>
                <c:pt idx="542">
                  <c:v>376.66</c:v>
                </c:pt>
                <c:pt idx="543">
                  <c:v>383.44</c:v>
                </c:pt>
                <c:pt idx="544">
                  <c:v>382.43</c:v>
                </c:pt>
                <c:pt idx="545">
                  <c:v>380.82</c:v>
                </c:pt>
                <c:pt idx="546">
                  <c:v>383.76</c:v>
                </c:pt>
                <c:pt idx="547">
                  <c:v>379.38</c:v>
                </c:pt>
                <c:pt idx="548">
                  <c:v>388.08</c:v>
                </c:pt>
                <c:pt idx="549">
                  <c:v>387.86</c:v>
                </c:pt>
                <c:pt idx="550">
                  <c:v>390.58</c:v>
                </c:pt>
                <c:pt idx="551">
                  <c:v>395.52</c:v>
                </c:pt>
                <c:pt idx="552">
                  <c:v>396.96</c:v>
                </c:pt>
                <c:pt idx="553">
                  <c:v>398.5</c:v>
                </c:pt>
                <c:pt idx="554">
                  <c:v>397.77</c:v>
                </c:pt>
                <c:pt idx="555">
                  <c:v>391.49</c:v>
                </c:pt>
                <c:pt idx="556">
                  <c:v>388.64</c:v>
                </c:pt>
                <c:pt idx="557">
                  <c:v>395.88</c:v>
                </c:pt>
                <c:pt idx="558">
                  <c:v>400.63</c:v>
                </c:pt>
                <c:pt idx="559">
                  <c:v>400.2</c:v>
                </c:pt>
                <c:pt idx="560">
                  <c:v>400.35</c:v>
                </c:pt>
                <c:pt idx="561">
                  <c:v>404.75</c:v>
                </c:pt>
                <c:pt idx="562">
                  <c:v>405.68</c:v>
                </c:pt>
                <c:pt idx="563">
                  <c:v>400.59</c:v>
                </c:pt>
                <c:pt idx="564">
                  <c:v>406.48</c:v>
                </c:pt>
                <c:pt idx="565">
                  <c:v>410.8</c:v>
                </c:pt>
                <c:pt idx="566">
                  <c:v>416.78</c:v>
                </c:pt>
                <c:pt idx="567">
                  <c:v>412.35</c:v>
                </c:pt>
                <c:pt idx="568">
                  <c:v>409.83</c:v>
                </c:pt>
                <c:pt idx="569">
                  <c:v>415.19</c:v>
                </c:pt>
                <c:pt idx="570">
                  <c:v>410.65</c:v>
                </c:pt>
                <c:pt idx="571">
                  <c:v>407.09</c:v>
                </c:pt>
                <c:pt idx="572">
                  <c:v>408.04</c:v>
                </c:pt>
                <c:pt idx="573">
                  <c:v>412.83</c:v>
                </c:pt>
                <c:pt idx="574">
                  <c:v>412.64</c:v>
                </c:pt>
                <c:pt idx="575">
                  <c:v>413.98</c:v>
                </c:pt>
                <c:pt idx="576">
                  <c:v>408.28</c:v>
                </c:pt>
                <c:pt idx="577">
                  <c:v>407.26</c:v>
                </c:pt>
                <c:pt idx="578">
                  <c:v>399.09</c:v>
                </c:pt>
                <c:pt idx="579">
                  <c:v>398.54</c:v>
                </c:pt>
                <c:pt idx="580">
                  <c:v>400.66</c:v>
                </c:pt>
                <c:pt idx="581">
                  <c:v>396.38</c:v>
                </c:pt>
                <c:pt idx="582">
                  <c:v>397.73</c:v>
                </c:pt>
                <c:pt idx="583">
                  <c:v>396.26</c:v>
                </c:pt>
                <c:pt idx="584">
                  <c:v>394.74</c:v>
                </c:pt>
                <c:pt idx="585">
                  <c:v>397.81</c:v>
                </c:pt>
                <c:pt idx="586">
                  <c:v>404.19</c:v>
                </c:pt>
                <c:pt idx="587">
                  <c:v>404.47</c:v>
                </c:pt>
                <c:pt idx="588">
                  <c:v>398.27</c:v>
                </c:pt>
                <c:pt idx="589">
                  <c:v>398.92</c:v>
                </c:pt>
                <c:pt idx="590">
                  <c:v>391.56</c:v>
                </c:pt>
                <c:pt idx="591">
                  <c:v>385.91</c:v>
                </c:pt>
                <c:pt idx="592">
                  <c:v>385.36</c:v>
                </c:pt>
                <c:pt idx="593">
                  <c:v>391.73</c:v>
                </c:pt>
                <c:pt idx="594">
                  <c:v>389.28</c:v>
                </c:pt>
                <c:pt idx="595">
                  <c:v>396.11</c:v>
                </c:pt>
                <c:pt idx="596">
                  <c:v>389.99</c:v>
                </c:pt>
                <c:pt idx="597">
                  <c:v>393.74</c:v>
                </c:pt>
                <c:pt idx="598">
                  <c:v>398.91</c:v>
                </c:pt>
                <c:pt idx="599">
                  <c:v>392.11</c:v>
                </c:pt>
                <c:pt idx="600">
                  <c:v>393.17</c:v>
                </c:pt>
                <c:pt idx="601">
                  <c:v>395.75</c:v>
                </c:pt>
                <c:pt idx="602">
                  <c:v>396.49</c:v>
                </c:pt>
                <c:pt idx="603">
                  <c:v>395.6</c:v>
                </c:pt>
                <c:pt idx="604">
                  <c:v>401.35</c:v>
                </c:pt>
                <c:pt idx="605">
                  <c:v>403.7</c:v>
                </c:pt>
                <c:pt idx="606">
                  <c:v>409.39</c:v>
                </c:pt>
                <c:pt idx="607">
                  <c:v>410.95</c:v>
                </c:pt>
                <c:pt idx="608">
                  <c:v>408.67</c:v>
                </c:pt>
                <c:pt idx="609">
                  <c:v>407.6</c:v>
                </c:pt>
                <c:pt idx="610">
                  <c:v>409.19</c:v>
                </c:pt>
                <c:pt idx="611">
                  <c:v>409.61</c:v>
                </c:pt>
                <c:pt idx="612">
                  <c:v>409.72</c:v>
                </c:pt>
                <c:pt idx="613">
                  <c:v>408.05</c:v>
                </c:pt>
                <c:pt idx="614">
                  <c:v>413.47</c:v>
                </c:pt>
                <c:pt idx="615">
                  <c:v>412.46</c:v>
                </c:pt>
                <c:pt idx="616">
                  <c:v>413.94</c:v>
                </c:pt>
                <c:pt idx="617">
                  <c:v>414.21</c:v>
                </c:pt>
                <c:pt idx="618">
                  <c:v>414.14</c:v>
                </c:pt>
                <c:pt idx="619">
                  <c:v>411.88</c:v>
                </c:pt>
                <c:pt idx="620">
                  <c:v>412.2</c:v>
                </c:pt>
                <c:pt idx="621">
                  <c:v>412.63</c:v>
                </c:pt>
                <c:pt idx="622">
                  <c:v>406.08</c:v>
                </c:pt>
                <c:pt idx="623">
                  <c:v>404.36</c:v>
                </c:pt>
                <c:pt idx="624">
                  <c:v>412.41</c:v>
                </c:pt>
                <c:pt idx="625">
                  <c:v>415.93</c:v>
                </c:pt>
                <c:pt idx="626">
                  <c:v>415.51</c:v>
                </c:pt>
                <c:pt idx="627">
                  <c:v>410.84</c:v>
                </c:pt>
                <c:pt idx="628">
                  <c:v>408.02</c:v>
                </c:pt>
                <c:pt idx="629">
                  <c:v>405.13</c:v>
                </c:pt>
                <c:pt idx="630">
                  <c:v>412.63</c:v>
                </c:pt>
                <c:pt idx="631">
                  <c:v>412.74</c:v>
                </c:pt>
                <c:pt idx="632">
                  <c:v>410.93</c:v>
                </c:pt>
                <c:pt idx="633">
                  <c:v>412.85</c:v>
                </c:pt>
                <c:pt idx="634">
                  <c:v>412.13</c:v>
                </c:pt>
                <c:pt idx="635">
                  <c:v>411.59</c:v>
                </c:pt>
                <c:pt idx="636">
                  <c:v>413.01</c:v>
                </c:pt>
                <c:pt idx="637">
                  <c:v>410.25</c:v>
                </c:pt>
                <c:pt idx="638">
                  <c:v>415.23</c:v>
                </c:pt>
                <c:pt idx="639">
                  <c:v>419.23</c:v>
                </c:pt>
                <c:pt idx="640">
                  <c:v>418.62</c:v>
                </c:pt>
                <c:pt idx="641">
                  <c:v>418.79</c:v>
                </c:pt>
                <c:pt idx="642">
                  <c:v>414.09</c:v>
                </c:pt>
                <c:pt idx="643">
                  <c:v>411.09</c:v>
                </c:pt>
                <c:pt idx="644">
                  <c:v>414.65</c:v>
                </c:pt>
                <c:pt idx="645">
                  <c:v>420.02</c:v>
                </c:pt>
                <c:pt idx="646">
                  <c:v>420.18</c:v>
                </c:pt>
                <c:pt idx="647">
                  <c:v>417.85</c:v>
                </c:pt>
                <c:pt idx="648">
                  <c:v>421.82</c:v>
                </c:pt>
                <c:pt idx="649">
                  <c:v>427.92</c:v>
                </c:pt>
                <c:pt idx="650">
                  <c:v>427.1</c:v>
                </c:pt>
                <c:pt idx="651">
                  <c:v>428.03</c:v>
                </c:pt>
                <c:pt idx="652">
                  <c:v>426.55</c:v>
                </c:pt>
                <c:pt idx="653">
                  <c:v>429.13</c:v>
                </c:pt>
                <c:pt idx="654">
                  <c:v>429.9</c:v>
                </c:pt>
                <c:pt idx="655">
                  <c:v>433.8</c:v>
                </c:pt>
                <c:pt idx="656">
                  <c:v>436.66</c:v>
                </c:pt>
                <c:pt idx="657">
                  <c:v>437.18</c:v>
                </c:pt>
                <c:pt idx="658">
                  <c:v>442.6</c:v>
                </c:pt>
                <c:pt idx="659">
                  <c:v>439.46</c:v>
                </c:pt>
                <c:pt idx="660">
                  <c:v>437.18</c:v>
                </c:pt>
                <c:pt idx="661">
                  <c:v>434.94</c:v>
                </c:pt>
                <c:pt idx="662">
                  <c:v>436.51</c:v>
                </c:pt>
                <c:pt idx="663">
                  <c:v>433.21</c:v>
                </c:pt>
                <c:pt idx="664">
                  <c:v>431.44</c:v>
                </c:pt>
                <c:pt idx="665">
                  <c:v>436.17</c:v>
                </c:pt>
                <c:pt idx="666">
                  <c:v>436.39</c:v>
                </c:pt>
                <c:pt idx="667">
                  <c:v>438.11</c:v>
                </c:pt>
                <c:pt idx="668">
                  <c:v>443.28</c:v>
                </c:pt>
                <c:pt idx="669">
                  <c:v>443.79</c:v>
                </c:pt>
                <c:pt idx="670">
                  <c:v>443.13</c:v>
                </c:pt>
                <c:pt idx="671">
                  <c:v>439.66</c:v>
                </c:pt>
                <c:pt idx="672">
                  <c:v>438.55</c:v>
                </c:pt>
                <c:pt idx="673">
                  <c:v>439.66</c:v>
                </c:pt>
                <c:pt idx="674">
                  <c:v>442.46</c:v>
                </c:pt>
                <c:pt idx="675">
                  <c:v>446.02</c:v>
                </c:pt>
                <c:pt idx="676">
                  <c:v>449.56</c:v>
                </c:pt>
                <c:pt idx="677">
                  <c:v>449.28</c:v>
                </c:pt>
                <c:pt idx="678">
                  <c:v>450.84</c:v>
                </c:pt>
                <c:pt idx="679">
                  <c:v>454.19</c:v>
                </c:pt>
                <c:pt idx="680">
                  <c:v>455.2</c:v>
                </c:pt>
                <c:pt idx="681">
                  <c:v>452.18</c:v>
                </c:pt>
                <c:pt idx="682">
                  <c:v>452.18</c:v>
                </c:pt>
                <c:pt idx="683">
                  <c:v>454.2</c:v>
                </c:pt>
                <c:pt idx="684">
                  <c:v>455.44</c:v>
                </c:pt>
                <c:pt idx="685">
                  <c:v>455.51</c:v>
                </c:pt>
                <c:pt idx="686">
                  <c:v>452.49</c:v>
                </c:pt>
                <c:pt idx="687">
                  <c:v>456.92</c:v>
                </c:pt>
                <c:pt idx="688">
                  <c:v>457.79</c:v>
                </c:pt>
                <c:pt idx="689">
                  <c:v>456.48</c:v>
                </c:pt>
                <c:pt idx="690">
                  <c:v>450.13</c:v>
                </c:pt>
                <c:pt idx="691">
                  <c:v>448.84</c:v>
                </c:pt>
                <c:pt idx="692">
                  <c:v>446.81</c:v>
                </c:pt>
                <c:pt idx="693">
                  <c:v>450.71</c:v>
                </c:pt>
                <c:pt idx="694">
                  <c:v>448.75</c:v>
                </c:pt>
                <c:pt idx="695">
                  <c:v>445.75</c:v>
                </c:pt>
                <c:pt idx="696">
                  <c:v>445.91</c:v>
                </c:pt>
                <c:pt idx="697">
                  <c:v>445.65</c:v>
                </c:pt>
                <c:pt idx="698">
                  <c:v>448.11</c:v>
                </c:pt>
                <c:pt idx="699">
                  <c:v>442.89</c:v>
                </c:pt>
                <c:pt idx="700">
                  <c:v>439.64</c:v>
                </c:pt>
                <c:pt idx="701">
                  <c:v>436.29</c:v>
                </c:pt>
                <c:pt idx="702">
                  <c:v>436.5</c:v>
                </c:pt>
                <c:pt idx="703">
                  <c:v>439.34</c:v>
                </c:pt>
                <c:pt idx="704">
                  <c:v>438.15</c:v>
                </c:pt>
                <c:pt idx="705">
                  <c:v>443.03</c:v>
                </c:pt>
                <c:pt idx="706">
                  <c:v>436.89</c:v>
                </c:pt>
                <c:pt idx="707">
                  <c:v>439.97</c:v>
                </c:pt>
                <c:pt idx="708">
                  <c:v>442.76</c:v>
                </c:pt>
                <c:pt idx="709">
                  <c:v>449.16</c:v>
                </c:pt>
                <c:pt idx="710">
                  <c:v>451.01</c:v>
                </c:pt>
                <c:pt idx="711">
                  <c:v>450.35</c:v>
                </c:pt>
                <c:pt idx="712">
                  <c:v>451.19</c:v>
                </c:pt>
                <c:pt idx="713">
                  <c:v>449.24</c:v>
                </c:pt>
                <c:pt idx="714">
                  <c:v>446.22</c:v>
                </c:pt>
                <c:pt idx="715">
                  <c:v>444.85</c:v>
                </c:pt>
                <c:pt idx="716">
                  <c:v>445.52</c:v>
                </c:pt>
                <c:pt idx="717">
                  <c:v>448.45</c:v>
                </c:pt>
                <c:pt idx="718">
                  <c:v>445.99</c:v>
                </c:pt>
                <c:pt idx="719">
                  <c:v>446.51</c:v>
                </c:pt>
                <c:pt idx="720">
                  <c:v>450.36</c:v>
                </c:pt>
                <c:pt idx="721">
                  <c:v>443.37</c:v>
                </c:pt>
                <c:pt idx="722">
                  <c:v>443.63</c:v>
                </c:pt>
                <c:pt idx="723">
                  <c:v>442.71</c:v>
                </c:pt>
                <c:pt idx="724">
                  <c:v>438.64</c:v>
                </c:pt>
                <c:pt idx="725">
                  <c:v>431.39</c:v>
                </c:pt>
                <c:pt idx="726">
                  <c:v>430.42</c:v>
                </c:pt>
                <c:pt idx="727">
                  <c:v>432.23</c:v>
                </c:pt>
                <c:pt idx="728">
                  <c:v>425.88</c:v>
                </c:pt>
                <c:pt idx="729">
                  <c:v>426.05</c:v>
                </c:pt>
                <c:pt idx="730">
                  <c:v>428.52</c:v>
                </c:pt>
                <c:pt idx="731">
                  <c:v>427.48</c:v>
                </c:pt>
                <c:pt idx="732">
                  <c:v>427.31</c:v>
                </c:pt>
                <c:pt idx="733">
                  <c:v>421.59</c:v>
                </c:pt>
                <c:pt idx="734">
                  <c:v>424.66</c:v>
                </c:pt>
                <c:pt idx="735">
                  <c:v>424.5</c:v>
                </c:pt>
                <c:pt idx="736">
                  <c:v>429.54</c:v>
                </c:pt>
                <c:pt idx="737">
                  <c:v>432.29</c:v>
                </c:pt>
                <c:pt idx="738">
                  <c:v>434.54</c:v>
                </c:pt>
                <c:pt idx="739">
                  <c:v>436.32</c:v>
                </c:pt>
                <c:pt idx="740">
                  <c:v>433.66</c:v>
                </c:pt>
                <c:pt idx="741">
                  <c:v>431.5</c:v>
                </c:pt>
                <c:pt idx="742">
                  <c:v>436.04</c:v>
                </c:pt>
                <c:pt idx="743">
                  <c:v>436.02</c:v>
                </c:pt>
                <c:pt idx="744">
                  <c:v>430.21</c:v>
                </c:pt>
                <c:pt idx="745">
                  <c:v>426.43</c:v>
                </c:pt>
                <c:pt idx="746">
                  <c:v>421.19</c:v>
                </c:pt>
                <c:pt idx="747">
                  <c:v>420.46</c:v>
                </c:pt>
                <c:pt idx="748">
                  <c:v>423.63</c:v>
                </c:pt>
                <c:pt idx="749">
                  <c:v>417.55</c:v>
                </c:pt>
                <c:pt idx="750">
                  <c:v>412.55</c:v>
                </c:pt>
                <c:pt idx="751">
                  <c:v>410.68</c:v>
                </c:pt>
                <c:pt idx="752">
                  <c:v>415.59</c:v>
                </c:pt>
                <c:pt idx="753">
                  <c:v>418.2</c:v>
                </c:pt>
                <c:pt idx="754">
                  <c:v>422.66</c:v>
                </c:pt>
                <c:pt idx="755">
                  <c:v>430.76</c:v>
                </c:pt>
                <c:pt idx="756">
                  <c:v>434.69</c:v>
                </c:pt>
                <c:pt idx="757">
                  <c:v>435.69</c:v>
                </c:pt>
                <c:pt idx="758">
                  <c:v>436.93</c:v>
                </c:pt>
                <c:pt idx="759">
                  <c:v>437.25</c:v>
                </c:pt>
                <c:pt idx="760">
                  <c:v>433.84</c:v>
                </c:pt>
                <c:pt idx="761">
                  <c:v>440.61</c:v>
                </c:pt>
                <c:pt idx="762">
                  <c:v>440.19</c:v>
                </c:pt>
                <c:pt idx="763">
                  <c:v>448.73</c:v>
                </c:pt>
                <c:pt idx="764">
                  <c:v>449.68</c:v>
                </c:pt>
                <c:pt idx="765">
                  <c:v>450.23</c:v>
                </c:pt>
                <c:pt idx="766">
                  <c:v>450.79</c:v>
                </c:pt>
                <c:pt idx="767">
                  <c:v>454.26</c:v>
                </c:pt>
                <c:pt idx="768">
                  <c:v>453.27</c:v>
                </c:pt>
                <c:pt idx="769">
                  <c:v>455.02</c:v>
                </c:pt>
                <c:pt idx="770">
                  <c:v>455.3</c:v>
                </c:pt>
                <c:pt idx="771">
                  <c:v>454.48</c:v>
                </c:pt>
                <c:pt idx="772">
                  <c:v>454.93</c:v>
                </c:pt>
                <c:pt idx="773">
                  <c:v>454.61</c:v>
                </c:pt>
                <c:pt idx="774">
                  <c:v>456.4</c:v>
                </c:pt>
                <c:pt idx="775">
                  <c:v>459.1</c:v>
                </c:pt>
                <c:pt idx="776">
                  <c:v>456.69</c:v>
                </c:pt>
                <c:pt idx="777">
                  <c:v>456.6</c:v>
                </c:pt>
                <c:pt idx="778">
                  <c:v>454.76</c:v>
                </c:pt>
                <c:pt idx="779">
                  <c:v>458.23</c:v>
                </c:pt>
                <c:pt idx="780">
                  <c:v>460.2</c:v>
                </c:pt>
                <c:pt idx="781">
                  <c:v>461.99</c:v>
                </c:pt>
                <c:pt idx="782">
                  <c:v>464.1</c:v>
                </c:pt>
                <c:pt idx="783">
                  <c:v>470.5</c:v>
                </c:pt>
                <c:pt idx="784">
                  <c:v>472.01</c:v>
                </c:pt>
                <c:pt idx="785">
                  <c:v>469.33</c:v>
                </c:pt>
                <c:pt idx="786">
                  <c:v>471.97</c:v>
                </c:pt>
                <c:pt idx="787">
                  <c:v>474.84</c:v>
                </c:pt>
                <c:pt idx="788">
                  <c:v>468.26</c:v>
                </c:pt>
                <c:pt idx="789">
                  <c:v>472.7</c:v>
                </c:pt>
                <c:pt idx="790">
                  <c:v>473.65</c:v>
                </c:pt>
                <c:pt idx="791">
                  <c:v>475.65</c:v>
                </c:pt>
                <c:pt idx="792">
                  <c:v>476.51</c:v>
                </c:pt>
                <c:pt idx="793">
                  <c:v>476.69</c:v>
                </c:pt>
                <c:pt idx="794">
                  <c:v>475.31</c:v>
                </c:pt>
                <c:pt idx="795">
                  <c:v>472.65</c:v>
                </c:pt>
                <c:pt idx="796">
                  <c:v>468.79</c:v>
                </c:pt>
                <c:pt idx="797">
                  <c:v>467.28</c:v>
                </c:pt>
                <c:pt idx="798">
                  <c:v>467.92</c:v>
                </c:pt>
                <c:pt idx="799">
                  <c:v>474.6</c:v>
                </c:pt>
                <c:pt idx="800">
                  <c:v>473.88</c:v>
                </c:pt>
                <c:pt idx="801">
                  <c:v>476.56</c:v>
                </c:pt>
                <c:pt idx="802">
                  <c:v>476.35</c:v>
                </c:pt>
                <c:pt idx="803">
                  <c:v>476.68</c:v>
                </c:pt>
                <c:pt idx="804">
                  <c:v>474.93</c:v>
                </c:pt>
                <c:pt idx="805">
                  <c:v>472.29</c:v>
                </c:pt>
                <c:pt idx="806">
                  <c:v>476.49</c:v>
                </c:pt>
                <c:pt idx="807">
                  <c:v>482.43</c:v>
                </c:pt>
                <c:pt idx="808">
                  <c:v>483.45</c:v>
                </c:pt>
                <c:pt idx="809">
                  <c:v>484.86</c:v>
                </c:pt>
                <c:pt idx="810">
                  <c:v>485.39</c:v>
                </c:pt>
                <c:pt idx="811">
                  <c:v>488.03</c:v>
                </c:pt>
                <c:pt idx="812">
                  <c:v>487.41</c:v>
                </c:pt>
                <c:pt idx="813">
                  <c:v>491.27</c:v>
                </c:pt>
                <c:pt idx="814">
                  <c:v>490.89</c:v>
                </c:pt>
                <c:pt idx="815">
                  <c:v>482.88</c:v>
                </c:pt>
                <c:pt idx="816">
                  <c:v>489.2</c:v>
                </c:pt>
                <c:pt idx="817">
                  <c:v>494.35</c:v>
                </c:pt>
                <c:pt idx="818">
                  <c:v>492.55</c:v>
                </c:pt>
                <c:pt idx="819">
                  <c:v>493.98</c:v>
                </c:pt>
                <c:pt idx="820">
                  <c:v>498.1</c:v>
                </c:pt>
                <c:pt idx="821">
                  <c:v>498.32</c:v>
                </c:pt>
                <c:pt idx="822">
                  <c:v>501.2</c:v>
                </c:pt>
                <c:pt idx="823">
                  <c:v>500.98</c:v>
                </c:pt>
                <c:pt idx="824">
                  <c:v>494.08</c:v>
                </c:pt>
                <c:pt idx="825">
                  <c:v>498.57</c:v>
                </c:pt>
                <c:pt idx="826">
                  <c:v>502.01</c:v>
                </c:pt>
                <c:pt idx="827">
                  <c:v>499.51</c:v>
                </c:pt>
                <c:pt idx="828">
                  <c:v>496.76</c:v>
                </c:pt>
                <c:pt idx="829">
                  <c:v>497.21</c:v>
                </c:pt>
                <c:pt idx="830">
                  <c:v>507.5</c:v>
                </c:pt>
                <c:pt idx="831">
                  <c:v>507.85</c:v>
                </c:pt>
                <c:pt idx="832">
                  <c:v>505.99</c:v>
                </c:pt>
                <c:pt idx="833">
                  <c:v>506.93</c:v>
                </c:pt>
                <c:pt idx="834">
                  <c:v>506.26</c:v>
                </c:pt>
                <c:pt idx="835">
                  <c:v>508.08</c:v>
                </c:pt>
                <c:pt idx="836">
                  <c:v>512.85</c:v>
                </c:pt>
                <c:pt idx="837">
                  <c:v>512.29999999999995</c:v>
                </c:pt>
                <c:pt idx="838">
                  <c:v>507.18</c:v>
                </c:pt>
                <c:pt idx="839">
                  <c:v>509.75</c:v>
                </c:pt>
                <c:pt idx="840">
                  <c:v>514.80999999999995</c:v>
                </c:pt>
                <c:pt idx="841">
                  <c:v>511.72</c:v>
                </c:pt>
                <c:pt idx="842">
                  <c:v>511.28</c:v>
                </c:pt>
                <c:pt idx="843">
                  <c:v>516.78</c:v>
                </c:pt>
                <c:pt idx="844">
                  <c:v>515.97</c:v>
                </c:pt>
                <c:pt idx="845">
                  <c:v>514.95000000000005</c:v>
                </c:pt>
                <c:pt idx="846">
                  <c:v>509.83</c:v>
                </c:pt>
                <c:pt idx="847">
                  <c:v>512.86</c:v>
                </c:pt>
                <c:pt idx="848">
                  <c:v>515.71</c:v>
                </c:pt>
                <c:pt idx="849">
                  <c:v>520.48</c:v>
                </c:pt>
                <c:pt idx="850">
                  <c:v>522.20000000000005</c:v>
                </c:pt>
                <c:pt idx="851">
                  <c:v>521.21</c:v>
                </c:pt>
                <c:pt idx="852">
                  <c:v>519.77</c:v>
                </c:pt>
                <c:pt idx="853">
                  <c:v>518.80999999999995</c:v>
                </c:pt>
                <c:pt idx="854">
                  <c:v>523.16999999999996</c:v>
                </c:pt>
                <c:pt idx="855">
                  <c:v>523.07000000000005</c:v>
                </c:pt>
                <c:pt idx="856">
                  <c:v>522.16</c:v>
                </c:pt>
                <c:pt idx="857">
                  <c:v>518.84</c:v>
                </c:pt>
                <c:pt idx="858">
                  <c:v>519.41</c:v>
                </c:pt>
                <c:pt idx="859">
                  <c:v>513.07000000000005</c:v>
                </c:pt>
                <c:pt idx="860">
                  <c:v>518.42999999999995</c:v>
                </c:pt>
                <c:pt idx="861">
                  <c:v>518.72</c:v>
                </c:pt>
                <c:pt idx="862">
                  <c:v>519.32000000000005</c:v>
                </c:pt>
                <c:pt idx="863">
                  <c:v>514.12</c:v>
                </c:pt>
                <c:pt idx="864">
                  <c:v>518</c:v>
                </c:pt>
                <c:pt idx="865">
                  <c:v>510.85</c:v>
                </c:pt>
                <c:pt idx="866">
                  <c:v>504.45</c:v>
                </c:pt>
                <c:pt idx="867">
                  <c:v>503.53</c:v>
                </c:pt>
                <c:pt idx="868">
                  <c:v>500.55</c:v>
                </c:pt>
                <c:pt idx="869">
                  <c:v>499.52</c:v>
                </c:pt>
                <c:pt idx="870">
                  <c:v>495.16</c:v>
                </c:pt>
                <c:pt idx="871">
                  <c:v>499.72</c:v>
                </c:pt>
                <c:pt idx="872">
                  <c:v>505.65</c:v>
                </c:pt>
                <c:pt idx="873">
                  <c:v>505.41</c:v>
                </c:pt>
                <c:pt idx="874">
                  <c:v>503.49</c:v>
                </c:pt>
                <c:pt idx="875">
                  <c:v>508.26</c:v>
                </c:pt>
                <c:pt idx="876">
                  <c:v>510.06</c:v>
                </c:pt>
                <c:pt idx="877">
                  <c:v>501.98</c:v>
                </c:pt>
                <c:pt idx="878">
                  <c:v>500.35</c:v>
                </c:pt>
                <c:pt idx="879">
                  <c:v>505.03</c:v>
                </c:pt>
                <c:pt idx="880">
                  <c:v>511.29</c:v>
                </c:pt>
                <c:pt idx="881">
                  <c:v>516.57000000000005</c:v>
                </c:pt>
                <c:pt idx="882">
                  <c:v>517.14</c:v>
                </c:pt>
                <c:pt idx="883">
                  <c:v>517.19000000000005</c:v>
                </c:pt>
                <c:pt idx="884">
                  <c:v>520.16999999999996</c:v>
                </c:pt>
                <c:pt idx="885">
                  <c:v>520.84</c:v>
                </c:pt>
                <c:pt idx="886">
                  <c:v>520.91</c:v>
                </c:pt>
                <c:pt idx="887">
                  <c:v>523.29999999999995</c:v>
                </c:pt>
                <c:pt idx="888">
                  <c:v>529.78</c:v>
                </c:pt>
                <c:pt idx="889">
                  <c:v>528.69000000000005</c:v>
                </c:pt>
                <c:pt idx="890">
                  <c:v>529.45000000000005</c:v>
                </c:pt>
                <c:pt idx="891">
                  <c:v>530.05999999999995</c:v>
                </c:pt>
                <c:pt idx="892">
                  <c:v>531.36</c:v>
                </c:pt>
                <c:pt idx="893">
                  <c:v>529.83000000000004</c:v>
                </c:pt>
                <c:pt idx="894">
                  <c:v>525.96</c:v>
                </c:pt>
                <c:pt idx="895">
                  <c:v>529.44000000000005</c:v>
                </c:pt>
                <c:pt idx="896">
                  <c:v>529.80999999999995</c:v>
                </c:pt>
                <c:pt idx="897">
                  <c:v>526.1</c:v>
                </c:pt>
                <c:pt idx="898">
                  <c:v>522.61</c:v>
                </c:pt>
                <c:pt idx="899">
                  <c:v>527.37</c:v>
                </c:pt>
                <c:pt idx="900">
                  <c:v>527.79999999999995</c:v>
                </c:pt>
                <c:pt idx="901">
                  <c:v>528.39</c:v>
                </c:pt>
                <c:pt idx="902">
                  <c:v>534.66999999999996</c:v>
                </c:pt>
                <c:pt idx="903">
                  <c:v>534.66</c:v>
                </c:pt>
                <c:pt idx="904">
                  <c:v>534.01</c:v>
                </c:pt>
                <c:pt idx="905">
                  <c:v>535.66</c:v>
                </c:pt>
                <c:pt idx="906">
                  <c:v>536.95000000000005</c:v>
                </c:pt>
                <c:pt idx="907">
                  <c:v>541.36</c:v>
                </c:pt>
                <c:pt idx="908">
                  <c:v>542.45000000000005</c:v>
                </c:pt>
                <c:pt idx="909">
                  <c:v>542.78</c:v>
                </c:pt>
                <c:pt idx="910">
                  <c:v>547.1</c:v>
                </c:pt>
                <c:pt idx="911">
                  <c:v>548.49</c:v>
                </c:pt>
                <c:pt idx="912">
                  <c:v>547</c:v>
                </c:pt>
                <c:pt idx="913">
                  <c:v>544.51</c:v>
                </c:pt>
                <c:pt idx="914">
                  <c:v>542.74</c:v>
                </c:pt>
                <c:pt idx="915">
                  <c:v>544.83000000000004</c:v>
                </c:pt>
                <c:pt idx="916">
                  <c:v>545.51</c:v>
                </c:pt>
                <c:pt idx="917">
                  <c:v>546.37</c:v>
                </c:pt>
                <c:pt idx="918">
                  <c:v>544.22</c:v>
                </c:pt>
                <c:pt idx="919">
                  <c:v>545.34</c:v>
                </c:pt>
                <c:pt idx="920">
                  <c:v>549.01</c:v>
                </c:pt>
                <c:pt idx="921">
                  <c:v>551.46</c:v>
                </c:pt>
                <c:pt idx="922">
                  <c:v>554.64</c:v>
                </c:pt>
                <c:pt idx="923">
                  <c:v>555.28</c:v>
                </c:pt>
                <c:pt idx="924">
                  <c:v>555.82000000000005</c:v>
                </c:pt>
                <c:pt idx="925">
                  <c:v>561.32000000000005</c:v>
                </c:pt>
                <c:pt idx="926">
                  <c:v>556.48</c:v>
                </c:pt>
                <c:pt idx="927">
                  <c:v>559.99</c:v>
                </c:pt>
                <c:pt idx="928">
                  <c:v>561.53</c:v>
                </c:pt>
                <c:pt idx="929">
                  <c:v>564.86</c:v>
                </c:pt>
                <c:pt idx="930">
                  <c:v>556.94000000000005</c:v>
                </c:pt>
                <c:pt idx="931">
                  <c:v>552.66</c:v>
                </c:pt>
                <c:pt idx="932">
                  <c:v>548.99</c:v>
                </c:pt>
                <c:pt idx="933">
                  <c:v>554.65</c:v>
                </c:pt>
                <c:pt idx="934">
                  <c:v>553.78</c:v>
                </c:pt>
                <c:pt idx="935">
                  <c:v>541.23</c:v>
                </c:pt>
                <c:pt idx="936">
                  <c:v>538.41</c:v>
                </c:pt>
                <c:pt idx="937">
                  <c:v>544.44000000000005</c:v>
                </c:pt>
                <c:pt idx="938">
                  <c:v>544.76</c:v>
                </c:pt>
                <c:pt idx="939">
                  <c:v>542</c:v>
                </c:pt>
                <c:pt idx="940">
                  <c:v>550.80999999999995</c:v>
                </c:pt>
                <c:pt idx="941">
                  <c:v>543.01</c:v>
                </c:pt>
                <c:pt idx="942">
                  <c:v>532.9</c:v>
                </c:pt>
                <c:pt idx="943">
                  <c:v>517.38</c:v>
                </c:pt>
                <c:pt idx="944">
                  <c:v>522.15</c:v>
                </c:pt>
                <c:pt idx="945">
                  <c:v>518.66</c:v>
                </c:pt>
                <c:pt idx="946">
                  <c:v>530.65</c:v>
                </c:pt>
                <c:pt idx="947">
                  <c:v>532.99</c:v>
                </c:pt>
                <c:pt idx="948">
                  <c:v>533.27</c:v>
                </c:pt>
                <c:pt idx="949">
                  <c:v>542.04</c:v>
                </c:pt>
                <c:pt idx="950">
                  <c:v>543.75</c:v>
                </c:pt>
                <c:pt idx="951">
                  <c:v>553.07000000000005</c:v>
                </c:pt>
                <c:pt idx="952">
                  <c:v>554.30999999999995</c:v>
                </c:pt>
                <c:pt idx="953">
                  <c:v>559.61</c:v>
                </c:pt>
                <c:pt idx="954">
                  <c:v>558.70000000000005</c:v>
                </c:pt>
                <c:pt idx="955">
                  <c:v>560.62</c:v>
                </c:pt>
                <c:pt idx="956">
                  <c:v>556.22</c:v>
                </c:pt>
                <c:pt idx="957">
                  <c:v>562.13</c:v>
                </c:pt>
                <c:pt idx="958">
                  <c:v>560.79</c:v>
                </c:pt>
                <c:pt idx="959">
                  <c:v>561.55999999999995</c:v>
                </c:pt>
                <c:pt idx="960">
                  <c:v>558.29999999999995</c:v>
                </c:pt>
                <c:pt idx="961">
                  <c:v>558.35</c:v>
                </c:pt>
                <c:pt idx="962">
                  <c:v>563.67999999999995</c:v>
                </c:pt>
                <c:pt idx="963">
                  <c:v>552.08000000000004</c:v>
                </c:pt>
                <c:pt idx="964">
                  <c:v>550.95000000000005</c:v>
                </c:pt>
                <c:pt idx="965">
                  <c:v>549.61</c:v>
                </c:pt>
                <c:pt idx="966">
                  <c:v>540.36</c:v>
                </c:pt>
                <c:pt idx="967">
                  <c:v>546.41</c:v>
                </c:pt>
                <c:pt idx="968">
                  <c:v>548.79</c:v>
                </c:pt>
                <c:pt idx="969">
                  <c:v>554.41999999999996</c:v>
                </c:pt>
                <c:pt idx="970">
                  <c:v>559.09</c:v>
                </c:pt>
                <c:pt idx="971">
                  <c:v>562.01</c:v>
                </c:pt>
                <c:pt idx="972">
                  <c:v>562.84</c:v>
                </c:pt>
                <c:pt idx="973">
                  <c:v>563.07000000000005</c:v>
                </c:pt>
                <c:pt idx="974">
                  <c:v>561.4</c:v>
                </c:pt>
                <c:pt idx="975">
                  <c:v>570.98</c:v>
                </c:pt>
                <c:pt idx="976">
                  <c:v>568.25</c:v>
                </c:pt>
                <c:pt idx="977">
                  <c:v>569.66999999999996</c:v>
                </c:pt>
                <c:pt idx="978">
                  <c:v>571.29999999999995</c:v>
                </c:pt>
                <c:pt idx="979">
                  <c:v>570.04</c:v>
                </c:pt>
                <c:pt idx="980">
                  <c:v>572.29999999999995</c:v>
                </c:pt>
                <c:pt idx="981">
                  <c:v>571.47</c:v>
                </c:pt>
                <c:pt idx="982">
                  <c:v>573.76</c:v>
                </c:pt>
                <c:pt idx="983">
                  <c:v>568.62</c:v>
                </c:pt>
                <c:pt idx="984">
                  <c:v>568.86</c:v>
                </c:pt>
                <c:pt idx="985">
                  <c:v>567.82000000000005</c:v>
                </c:pt>
                <c:pt idx="986">
                  <c:v>572.98</c:v>
                </c:pt>
                <c:pt idx="987">
                  <c:v>567.79999999999995</c:v>
                </c:pt>
                <c:pt idx="988">
                  <c:v>573.16999999999996</c:v>
                </c:pt>
                <c:pt idx="989">
                  <c:v>577.14</c:v>
                </c:pt>
                <c:pt idx="990">
                  <c:v>576.13</c:v>
                </c:pt>
                <c:pt idx="991">
                  <c:v>579.58000000000004</c:v>
                </c:pt>
                <c:pt idx="992">
                  <c:v>584.32000000000005</c:v>
                </c:pt>
                <c:pt idx="993">
                  <c:v>579.78</c:v>
                </c:pt>
                <c:pt idx="994">
                  <c:v>582.29999999999995</c:v>
                </c:pt>
                <c:pt idx="995">
                  <c:v>582.35</c:v>
                </c:pt>
                <c:pt idx="996">
                  <c:v>584.59</c:v>
                </c:pt>
                <c:pt idx="997">
                  <c:v>583.63</c:v>
                </c:pt>
                <c:pt idx="998">
                  <c:v>583.32000000000005</c:v>
                </c:pt>
                <c:pt idx="999">
                  <c:v>577.99</c:v>
                </c:pt>
                <c:pt idx="1000">
                  <c:v>579.24</c:v>
                </c:pt>
                <c:pt idx="1001">
                  <c:v>579.04</c:v>
                </c:pt>
                <c:pt idx="1002">
                  <c:v>580.83000000000004</c:v>
                </c:pt>
                <c:pt idx="1003">
                  <c:v>581.77</c:v>
                </c:pt>
                <c:pt idx="1004">
                  <c:v>580.01</c:v>
                </c:pt>
                <c:pt idx="1005">
                  <c:v>568.64</c:v>
                </c:pt>
                <c:pt idx="1006">
                  <c:v>571.04</c:v>
                </c:pt>
                <c:pt idx="1007">
                  <c:v>569.80999999999995</c:v>
                </c:pt>
                <c:pt idx="1008">
                  <c:v>576.70000000000005</c:v>
                </c:pt>
                <c:pt idx="1009">
                  <c:v>591.04</c:v>
                </c:pt>
                <c:pt idx="1010">
                  <c:v>595.61</c:v>
                </c:pt>
                <c:pt idx="1011">
                  <c:v>598.19000000000005</c:v>
                </c:pt>
                <c:pt idx="1012">
                  <c:v>598.76</c:v>
                </c:pt>
                <c:pt idx="1013">
                  <c:v>596.9</c:v>
                </c:pt>
                <c:pt idx="1014">
                  <c:v>597.19000000000005</c:v>
                </c:pt>
                <c:pt idx="1015">
                  <c:v>593.35</c:v>
                </c:pt>
                <c:pt idx="1016">
                  <c:v>585.75</c:v>
                </c:pt>
                <c:pt idx="1017">
                  <c:v>588.15</c:v>
                </c:pt>
                <c:pt idx="1018">
                  <c:v>590.29999999999995</c:v>
                </c:pt>
                <c:pt idx="1019">
                  <c:v>590.5</c:v>
                </c:pt>
                <c:pt idx="1020">
                  <c:v>593.66999999999996</c:v>
                </c:pt>
                <c:pt idx="1021">
                  <c:v>595.51</c:v>
                </c:pt>
                <c:pt idx="1022">
                  <c:v>597.53</c:v>
                </c:pt>
                <c:pt idx="1023">
                  <c:v>600.65</c:v>
                </c:pt>
                <c:pt idx="1024">
                  <c:v>598.83000000000004</c:v>
                </c:pt>
                <c:pt idx="1025">
                  <c:v>602.54999999999995</c:v>
                </c:pt>
                <c:pt idx="1026">
                  <c:v>603.63</c:v>
                </c:pt>
                <c:pt idx="1027">
                  <c:v>603.91</c:v>
                </c:pt>
                <c:pt idx="1028">
                  <c:v>607.66</c:v>
                </c:pt>
                <c:pt idx="1029">
                  <c:v>606.66</c:v>
                </c:pt>
                <c:pt idx="1030">
                  <c:v>607.80999999999995</c:v>
                </c:pt>
                <c:pt idx="1031">
                  <c:v>604.67999999999995</c:v>
                </c:pt>
                <c:pt idx="1032">
                  <c:v>602.79999999999995</c:v>
                </c:pt>
                <c:pt idx="1033">
                  <c:v>607.46</c:v>
                </c:pt>
                <c:pt idx="1034">
                  <c:v>604.33000000000004</c:v>
                </c:pt>
                <c:pt idx="1035">
                  <c:v>604.21</c:v>
                </c:pt>
                <c:pt idx="1036">
                  <c:v>606.79</c:v>
                </c:pt>
                <c:pt idx="1037">
                  <c:v>604.29</c:v>
                </c:pt>
                <c:pt idx="1038">
                  <c:v>586.28</c:v>
                </c:pt>
                <c:pt idx="1039">
                  <c:v>586.1</c:v>
                </c:pt>
                <c:pt idx="1040">
                  <c:v>591.15</c:v>
                </c:pt>
                <c:pt idx="1041">
                  <c:v>594.69000000000005</c:v>
                </c:pt>
                <c:pt idx="1042">
                  <c:v>601.29999999999995</c:v>
                </c:pt>
                <c:pt idx="1043">
                  <c:v>601.34</c:v>
                </c:pt>
                <c:pt idx="1044">
                  <c:v>595.01</c:v>
                </c:pt>
                <c:pt idx="1045">
                  <c:v>588.22</c:v>
                </c:pt>
                <c:pt idx="1046">
                  <c:v>586.08000000000004</c:v>
                </c:pt>
                <c:pt idx="1047">
                  <c:v>584.64</c:v>
                </c:pt>
                <c:pt idx="1048">
                  <c:v>591.95000000000005</c:v>
                </c:pt>
                <c:pt idx="1049">
                  <c:v>595.36</c:v>
                </c:pt>
                <c:pt idx="1050">
                  <c:v>588.63</c:v>
                </c:pt>
                <c:pt idx="1051">
                  <c:v>589.49</c:v>
                </c:pt>
                <c:pt idx="1052">
                  <c:v>580.49</c:v>
                </c:pt>
                <c:pt idx="1053">
                  <c:v>581.39</c:v>
                </c:pt>
                <c:pt idx="1054">
                  <c:v>582.19000000000005</c:v>
                </c:pt>
                <c:pt idx="1055">
                  <c:v>592.78</c:v>
                </c:pt>
                <c:pt idx="1056">
                  <c:v>591.64</c:v>
                </c:pt>
                <c:pt idx="1057">
                  <c:v>597.58000000000004</c:v>
                </c:pt>
                <c:pt idx="1058">
                  <c:v>603.04999999999995</c:v>
                </c:pt>
                <c:pt idx="1059">
                  <c:v>606.44000000000005</c:v>
                </c:pt>
                <c:pt idx="1060">
                  <c:v>609.75</c:v>
                </c:pt>
                <c:pt idx="1061">
                  <c:v>607.97</c:v>
                </c:pt>
                <c:pt idx="1062">
                  <c:v>599.37</c:v>
                </c:pt>
                <c:pt idx="1063">
                  <c:v>604.52</c:v>
                </c:pt>
                <c:pt idx="1064">
                  <c:v>601.80999999999995</c:v>
                </c:pt>
                <c:pt idx="1065">
                  <c:v>605.04</c:v>
                </c:pt>
                <c:pt idx="1066">
                  <c:v>601.82000000000005</c:v>
                </c:pt>
                <c:pt idx="1067">
                  <c:v>597.77</c:v>
                </c:pt>
                <c:pt idx="1068">
                  <c:v>601.78</c:v>
                </c:pt>
                <c:pt idx="1069">
                  <c:v>604.22</c:v>
                </c:pt>
                <c:pt idx="1070">
                  <c:v>606.32000000000005</c:v>
                </c:pt>
                <c:pt idx="1071">
                  <c:v>600.77</c:v>
                </c:pt>
                <c:pt idx="1072">
                  <c:v>604.85</c:v>
                </c:pt>
                <c:pt idx="1073">
                  <c:v>605.30999999999995</c:v>
                </c:pt>
                <c:pt idx="1074">
                  <c:v>603.36</c:v>
                </c:pt>
                <c:pt idx="1075">
                  <c:v>609.73</c:v>
                </c:pt>
                <c:pt idx="1076">
                  <c:v>609.70000000000005</c:v>
                </c:pt>
                <c:pt idx="1077">
                  <c:v>611.49</c:v>
                </c:pt>
                <c:pt idx="1078">
                  <c:v>612.92999999999995</c:v>
                </c:pt>
                <c:pt idx="1079">
                  <c:v>610.38</c:v>
                </c:pt>
                <c:pt idx="1080">
                  <c:v>599.94000000000005</c:v>
                </c:pt>
                <c:pt idx="1081">
                  <c:v>597.21</c:v>
                </c:pt>
                <c:pt idx="1082">
                  <c:v>594.24</c:v>
                </c:pt>
                <c:pt idx="1083">
                  <c:v>594.54</c:v>
                </c:pt>
                <c:pt idx="1084">
                  <c:v>585.04999999999995</c:v>
                </c:pt>
                <c:pt idx="1085">
                  <c:v>594.17999999999995</c:v>
                </c:pt>
                <c:pt idx="1086">
                  <c:v>583.77</c:v>
                </c:pt>
                <c:pt idx="1087">
                  <c:v>576.86</c:v>
                </c:pt>
                <c:pt idx="1088">
                  <c:v>583.05999999999995</c:v>
                </c:pt>
                <c:pt idx="1089">
                  <c:v>572.71</c:v>
                </c:pt>
                <c:pt idx="1090">
                  <c:v>575.91999999999996</c:v>
                </c:pt>
                <c:pt idx="1091">
                  <c:v>560.58000000000004</c:v>
                </c:pt>
                <c:pt idx="1092">
                  <c:v>555.91999999999996</c:v>
                </c:pt>
                <c:pt idx="1093">
                  <c:v>558.87</c:v>
                </c:pt>
                <c:pt idx="1094">
                  <c:v>551.41999999999996</c:v>
                </c:pt>
                <c:pt idx="1095">
                  <c:v>562.80999999999995</c:v>
                </c:pt>
                <c:pt idx="1096">
                  <c:v>567.15</c:v>
                </c:pt>
                <c:pt idx="1097">
                  <c:v>561.02</c:v>
                </c:pt>
                <c:pt idx="1098">
                  <c:v>567.13</c:v>
                </c:pt>
                <c:pt idx="1099">
                  <c:v>565.49</c:v>
                </c:pt>
                <c:pt idx="1100">
                  <c:v>563.98</c:v>
                </c:pt>
                <c:pt idx="1101">
                  <c:v>574.08000000000004</c:v>
                </c:pt>
                <c:pt idx="1102">
                  <c:v>575.46</c:v>
                </c:pt>
                <c:pt idx="1103">
                  <c:v>568.59</c:v>
                </c:pt>
                <c:pt idx="1104">
                  <c:v>567.08000000000004</c:v>
                </c:pt>
                <c:pt idx="1105">
                  <c:v>555.66</c:v>
                </c:pt>
                <c:pt idx="1106">
                  <c:v>559.39</c:v>
                </c:pt>
                <c:pt idx="1107">
                  <c:v>560.97</c:v>
                </c:pt>
                <c:pt idx="1108">
                  <c:v>564.52</c:v>
                </c:pt>
                <c:pt idx="1109">
                  <c:v>536.70000000000005</c:v>
                </c:pt>
                <c:pt idx="1110">
                  <c:v>505.28</c:v>
                </c:pt>
                <c:pt idx="1111">
                  <c:v>504.38</c:v>
                </c:pt>
                <c:pt idx="1112">
                  <c:v>496.48</c:v>
                </c:pt>
                <c:pt idx="1113">
                  <c:v>548.62</c:v>
                </c:pt>
                <c:pt idx="1114">
                  <c:v>524.58000000000004</c:v>
                </c:pt>
                <c:pt idx="1115">
                  <c:v>533.94000000000005</c:v>
                </c:pt>
                <c:pt idx="1116">
                  <c:v>539.12</c:v>
                </c:pt>
                <c:pt idx="1117">
                  <c:v>537.61</c:v>
                </c:pt>
                <c:pt idx="1118">
                  <c:v>525.66</c:v>
                </c:pt>
                <c:pt idx="1119">
                  <c:v>526.41</c:v>
                </c:pt>
                <c:pt idx="1120">
                  <c:v>513.88</c:v>
                </c:pt>
                <c:pt idx="1121">
                  <c:v>527.25</c:v>
                </c:pt>
                <c:pt idx="1122">
                  <c:v>535.41999999999996</c:v>
                </c:pt>
                <c:pt idx="1123">
                  <c:v>546.69000000000005</c:v>
                </c:pt>
                <c:pt idx="1124">
                  <c:v>550.64</c:v>
                </c:pt>
                <c:pt idx="1125">
                  <c:v>550.85</c:v>
                </c:pt>
                <c:pt idx="1126">
                  <c:v>554.32000000000005</c:v>
                </c:pt>
                <c:pt idx="1127">
                  <c:v>554.54</c:v>
                </c:pt>
                <c:pt idx="1128">
                  <c:v>558.47</c:v>
                </c:pt>
                <c:pt idx="1129">
                  <c:v>566.76</c:v>
                </c:pt>
                <c:pt idx="1130">
                  <c:v>563.51</c:v>
                </c:pt>
                <c:pt idx="1131">
                  <c:v>558.79999999999995</c:v>
                </c:pt>
                <c:pt idx="1132">
                  <c:v>561.15</c:v>
                </c:pt>
                <c:pt idx="1133">
                  <c:v>565.05999999999995</c:v>
                </c:pt>
                <c:pt idx="1134">
                  <c:v>564.34</c:v>
                </c:pt>
                <c:pt idx="1135">
                  <c:v>582.99</c:v>
                </c:pt>
                <c:pt idx="1136">
                  <c:v>586.84</c:v>
                </c:pt>
                <c:pt idx="1137">
                  <c:v>587.59</c:v>
                </c:pt>
                <c:pt idx="1138">
                  <c:v>590.46</c:v>
                </c:pt>
                <c:pt idx="1139">
                  <c:v>594.20000000000005</c:v>
                </c:pt>
                <c:pt idx="1140">
                  <c:v>594.85</c:v>
                </c:pt>
                <c:pt idx="1141">
                  <c:v>592.85</c:v>
                </c:pt>
                <c:pt idx="1142">
                  <c:v>582.86</c:v>
                </c:pt>
                <c:pt idx="1143">
                  <c:v>583.09</c:v>
                </c:pt>
                <c:pt idx="1144">
                  <c:v>579.11</c:v>
                </c:pt>
                <c:pt idx="1145">
                  <c:v>591.15</c:v>
                </c:pt>
                <c:pt idx="1146">
                  <c:v>587.73</c:v>
                </c:pt>
                <c:pt idx="1147">
                  <c:v>590.04999999999995</c:v>
                </c:pt>
                <c:pt idx="1148">
                  <c:v>589.39</c:v>
                </c:pt>
                <c:pt idx="1149">
                  <c:v>592.71</c:v>
                </c:pt>
                <c:pt idx="1150">
                  <c:v>596.09</c:v>
                </c:pt>
                <c:pt idx="1151">
                  <c:v>595.92999999999995</c:v>
                </c:pt>
                <c:pt idx="1152">
                  <c:v>593.04999999999995</c:v>
                </c:pt>
                <c:pt idx="1153">
                  <c:v>599.14</c:v>
                </c:pt>
                <c:pt idx="1154">
                  <c:v>599.67999999999995</c:v>
                </c:pt>
                <c:pt idx="1155">
                  <c:v>603.08000000000004</c:v>
                </c:pt>
                <c:pt idx="1156">
                  <c:v>601.36</c:v>
                </c:pt>
                <c:pt idx="1157">
                  <c:v>603.75</c:v>
                </c:pt>
                <c:pt idx="1158">
                  <c:v>597</c:v>
                </c:pt>
                <c:pt idx="1159">
                  <c:v>602.67999999999995</c:v>
                </c:pt>
                <c:pt idx="1160">
                  <c:v>597.53</c:v>
                </c:pt>
                <c:pt idx="1161">
                  <c:v>597.44000000000005</c:v>
                </c:pt>
                <c:pt idx="1162">
                  <c:v>594.28</c:v>
                </c:pt>
                <c:pt idx="1163">
                  <c:v>600.15</c:v>
                </c:pt>
                <c:pt idx="1164">
                  <c:v>606.78</c:v>
                </c:pt>
                <c:pt idx="1165">
                  <c:v>607.12</c:v>
                </c:pt>
                <c:pt idx="1166">
                  <c:v>611.87</c:v>
                </c:pt>
                <c:pt idx="1167">
                  <c:v>614.91</c:v>
                </c:pt>
                <c:pt idx="1168">
                  <c:v>617.85</c:v>
                </c:pt>
                <c:pt idx="1169">
                  <c:v>617.65</c:v>
                </c:pt>
                <c:pt idx="1170">
                  <c:v>620.45000000000005</c:v>
                </c:pt>
                <c:pt idx="1171">
                  <c:v>625.34</c:v>
                </c:pt>
                <c:pt idx="1172">
                  <c:v>620.67999999999995</c:v>
                </c:pt>
                <c:pt idx="1173">
                  <c:v>620.34</c:v>
                </c:pt>
                <c:pt idx="1174">
                  <c:v>624.05999999999995</c:v>
                </c:pt>
                <c:pt idx="1175">
                  <c:v>625.82000000000005</c:v>
                </c:pt>
                <c:pt idx="1176">
                  <c:v>623.62</c:v>
                </c:pt>
                <c:pt idx="1177">
                  <c:v>624.80999999999995</c:v>
                </c:pt>
                <c:pt idx="1178">
                  <c:v>622.14</c:v>
                </c:pt>
                <c:pt idx="1179">
                  <c:v>624.22</c:v>
                </c:pt>
                <c:pt idx="1180">
                  <c:v>628.04</c:v>
                </c:pt>
                <c:pt idx="1181">
                  <c:v>627.58000000000004</c:v>
                </c:pt>
                <c:pt idx="1182">
                  <c:v>628.77</c:v>
                </c:pt>
                <c:pt idx="1183">
                  <c:v>628.86</c:v>
                </c:pt>
                <c:pt idx="1184">
                  <c:v>634.21</c:v>
                </c:pt>
                <c:pt idx="1185">
                  <c:v>634.41999999999996</c:v>
                </c:pt>
                <c:pt idx="1186">
                  <c:v>637.1</c:v>
                </c:pt>
                <c:pt idx="1187">
                  <c:v>636.94000000000005</c:v>
                </c:pt>
                <c:pt idx="1188">
                  <c:v>635.26</c:v>
                </c:pt>
                <c:pt idx="1189">
                  <c:v>634.46</c:v>
                </c:pt>
                <c:pt idx="1190">
                  <c:v>632.08000000000004</c:v>
                </c:pt>
                <c:pt idx="1191">
                  <c:v>621.72</c:v>
                </c:pt>
                <c:pt idx="1192">
                  <c:v>631.16999999999996</c:v>
                </c:pt>
                <c:pt idx="1193">
                  <c:v>627.97</c:v>
                </c:pt>
                <c:pt idx="1194">
                  <c:v>632.78</c:v>
                </c:pt>
                <c:pt idx="1195">
                  <c:v>632.25</c:v>
                </c:pt>
                <c:pt idx="1196">
                  <c:v>637.17999999999995</c:v>
                </c:pt>
                <c:pt idx="1197">
                  <c:v>635.91999999999996</c:v>
                </c:pt>
                <c:pt idx="1198">
                  <c:v>642.69000000000005</c:v>
                </c:pt>
                <c:pt idx="1199">
                  <c:v>644.89</c:v>
                </c:pt>
                <c:pt idx="1200">
                  <c:v>644.95000000000005</c:v>
                </c:pt>
                <c:pt idx="1201">
                  <c:v>643.44000000000005</c:v>
                </c:pt>
                <c:pt idx="1202">
                  <c:v>643.29999999999995</c:v>
                </c:pt>
                <c:pt idx="1203">
                  <c:v>639.80999999999995</c:v>
                </c:pt>
                <c:pt idx="1204">
                  <c:v>638.11</c:v>
                </c:pt>
                <c:pt idx="1205">
                  <c:v>635.54999999999995</c:v>
                </c:pt>
                <c:pt idx="1206">
                  <c:v>645.30999999999995</c:v>
                </c:pt>
                <c:pt idx="1207">
                  <c:v>642.47</c:v>
                </c:pt>
                <c:pt idx="1208">
                  <c:v>645.16</c:v>
                </c:pt>
                <c:pt idx="1209">
                  <c:v>646.63</c:v>
                </c:pt>
                <c:pt idx="1210">
                  <c:v>648.91999999999996</c:v>
                </c:pt>
                <c:pt idx="1211">
                  <c:v>645.04999999999995</c:v>
                </c:pt>
                <c:pt idx="1212">
                  <c:v>640.27</c:v>
                </c:pt>
                <c:pt idx="1213">
                  <c:v>643.74</c:v>
                </c:pt>
                <c:pt idx="1214">
                  <c:v>649.12</c:v>
                </c:pt>
                <c:pt idx="1215">
                  <c:v>647.24</c:v>
                </c:pt>
                <c:pt idx="1216">
                  <c:v>648.83000000000004</c:v>
                </c:pt>
                <c:pt idx="1217">
                  <c:v>650.33000000000004</c:v>
                </c:pt>
                <c:pt idx="1218">
                  <c:v>652.21</c:v>
                </c:pt>
                <c:pt idx="1219">
                  <c:v>657.63</c:v>
                </c:pt>
                <c:pt idx="1220">
                  <c:v>657.41</c:v>
                </c:pt>
                <c:pt idx="1221">
                  <c:v>660.91</c:v>
                </c:pt>
                <c:pt idx="1222">
                  <c:v>660</c:v>
                </c:pt>
                <c:pt idx="1223">
                  <c:v>659.18</c:v>
                </c:pt>
                <c:pt idx="1224">
                  <c:v>662.26</c:v>
                </c:pt>
                <c:pt idx="1225">
                  <c:v>663.7</c:v>
                </c:pt>
                <c:pt idx="1226">
                  <c:v>666.84</c:v>
                </c:pt>
                <c:pt idx="1227">
                  <c:v>663.21</c:v>
                </c:pt>
                <c:pt idx="1228">
                  <c:v>661.1</c:v>
                </c:pt>
                <c:pt idx="1229">
                  <c:v>658.05</c:v>
                </c:pt>
                <c:pt idx="1230">
                  <c:v>661.82</c:v>
                </c:pt>
                <c:pt idx="1231">
                  <c:v>663.68</c:v>
                </c:pt>
                <c:pt idx="1232">
                  <c:v>666.18</c:v>
                </c:pt>
                <c:pt idx="1233">
                  <c:v>668.45</c:v>
                </c:pt>
                <c:pt idx="1234">
                  <c:v>669.22</c:v>
                </c:pt>
                <c:pt idx="1235">
                  <c:v>669.21</c:v>
                </c:pt>
                <c:pt idx="1236">
                  <c:v>671.61</c:v>
                </c:pt>
                <c:pt idx="1237">
                  <c:v>669.12</c:v>
                </c:pt>
                <c:pt idx="1238">
                  <c:v>673.11</c:v>
                </c:pt>
                <c:pt idx="1239">
                  <c:v>671.16</c:v>
                </c:pt>
                <c:pt idx="1240">
                  <c:v>653.02</c:v>
                </c:pt>
                <c:pt idx="1241">
                  <c:v>663.04</c:v>
                </c:pt>
                <c:pt idx="1242">
                  <c:v>662.23</c:v>
                </c:pt>
                <c:pt idx="1243">
                  <c:v>665.17</c:v>
                </c:pt>
                <c:pt idx="1244">
                  <c:v>660.64</c:v>
                </c:pt>
                <c:pt idx="1245">
                  <c:v>664.39</c:v>
                </c:pt>
                <c:pt idx="1246">
                  <c:v>671.3</c:v>
                </c:pt>
                <c:pt idx="1247">
                  <c:v>671.29</c:v>
                </c:pt>
                <c:pt idx="1248">
                  <c:v>667.8</c:v>
                </c:pt>
                <c:pt idx="1249">
                  <c:v>671.76</c:v>
                </c:pt>
                <c:pt idx="1250">
                  <c:v>677.25</c:v>
                </c:pt>
                <c:pt idx="1251">
                  <c:v>685.24</c:v>
                </c:pt>
                <c:pt idx="1252">
                  <c:v>687.06</c:v>
                </c:pt>
                <c:pt idx="1253">
                  <c:v>687.39</c:v>
                </c:pt>
                <c:pt idx="1254">
                  <c:v>679.83</c:v>
                </c:pt>
                <c:pt idx="1255">
                  <c:v>682.06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2E-4261-8625-5EF5589F650F}"/>
            </c:ext>
          </c:extLst>
        </c:ser>
        <c:ser>
          <c:idx val="1"/>
          <c:order val="1"/>
          <c:tx>
            <c:strRef>
              <c:f>'Close_Moving_Averages'!$I$3</c:f>
              <c:strCache>
                <c:ptCount val="1"/>
                <c:pt idx="0">
                  <c:v>50Day-MA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'Close_Moving_Averages'!$G$4:$G$1260</c:f>
              <c:strCache>
                <c:ptCount val="1256"/>
                <c:pt idx="0">
                  <c:v>02-11-2020</c:v>
                </c:pt>
                <c:pt idx="1">
                  <c:v>03-11-2020</c:v>
                </c:pt>
                <c:pt idx="2">
                  <c:v>04-11-2020</c:v>
                </c:pt>
                <c:pt idx="3">
                  <c:v>05-11-2020</c:v>
                </c:pt>
                <c:pt idx="4">
                  <c:v>06-11-2020</c:v>
                </c:pt>
                <c:pt idx="5">
                  <c:v>09-11-2020</c:v>
                </c:pt>
                <c:pt idx="6">
                  <c:v>10-11-2020</c:v>
                </c:pt>
                <c:pt idx="7">
                  <c:v>11-11-2020</c:v>
                </c:pt>
                <c:pt idx="8">
                  <c:v>12-11-2020</c:v>
                </c:pt>
                <c:pt idx="9">
                  <c:v>13-11-2020</c:v>
                </c:pt>
                <c:pt idx="10">
                  <c:v>16-11-2020</c:v>
                </c:pt>
                <c:pt idx="11">
                  <c:v>17-11-2020</c:v>
                </c:pt>
                <c:pt idx="12">
                  <c:v>18-11-2020</c:v>
                </c:pt>
                <c:pt idx="13">
                  <c:v>19-11-2020</c:v>
                </c:pt>
                <c:pt idx="14">
                  <c:v>20-11-2020</c:v>
                </c:pt>
                <c:pt idx="15">
                  <c:v>23-11-2020</c:v>
                </c:pt>
                <c:pt idx="16">
                  <c:v>24-11-2020</c:v>
                </c:pt>
                <c:pt idx="17">
                  <c:v>25-11-2020</c:v>
                </c:pt>
                <c:pt idx="18">
                  <c:v>27-11-2020</c:v>
                </c:pt>
                <c:pt idx="19">
                  <c:v>30-11-2020</c:v>
                </c:pt>
                <c:pt idx="20">
                  <c:v>01-12-2020</c:v>
                </c:pt>
                <c:pt idx="21">
                  <c:v>02-12-2020</c:v>
                </c:pt>
                <c:pt idx="22">
                  <c:v>03-12-2020</c:v>
                </c:pt>
                <c:pt idx="23">
                  <c:v>04-12-2020</c:v>
                </c:pt>
                <c:pt idx="24">
                  <c:v>07-12-2020</c:v>
                </c:pt>
                <c:pt idx="25">
                  <c:v>08-12-2020</c:v>
                </c:pt>
                <c:pt idx="26">
                  <c:v>09-12-2020</c:v>
                </c:pt>
                <c:pt idx="27">
                  <c:v>10-12-2020</c:v>
                </c:pt>
                <c:pt idx="28">
                  <c:v>11-12-2020</c:v>
                </c:pt>
                <c:pt idx="29">
                  <c:v>14-12-2020</c:v>
                </c:pt>
                <c:pt idx="30">
                  <c:v>15-12-2020</c:v>
                </c:pt>
                <c:pt idx="31">
                  <c:v>16-12-2020</c:v>
                </c:pt>
                <c:pt idx="32">
                  <c:v>17-12-2020</c:v>
                </c:pt>
                <c:pt idx="33">
                  <c:v>18-12-2020</c:v>
                </c:pt>
                <c:pt idx="34">
                  <c:v>21-12-2020</c:v>
                </c:pt>
                <c:pt idx="35">
                  <c:v>22-12-2020</c:v>
                </c:pt>
                <c:pt idx="36">
                  <c:v>23-12-2020</c:v>
                </c:pt>
                <c:pt idx="37">
                  <c:v>24-12-2020</c:v>
                </c:pt>
                <c:pt idx="38">
                  <c:v>28-12-2020</c:v>
                </c:pt>
                <c:pt idx="39">
                  <c:v>29-12-2020</c:v>
                </c:pt>
                <c:pt idx="40">
                  <c:v>30-12-2020</c:v>
                </c:pt>
                <c:pt idx="41">
                  <c:v>31-12-2020</c:v>
                </c:pt>
                <c:pt idx="42">
                  <c:v>04-01-2021</c:v>
                </c:pt>
                <c:pt idx="43">
                  <c:v>05-01-2021</c:v>
                </c:pt>
                <c:pt idx="44">
                  <c:v>06-01-2021</c:v>
                </c:pt>
                <c:pt idx="45">
                  <c:v>07-01-2021</c:v>
                </c:pt>
                <c:pt idx="46">
                  <c:v>08-01-2021</c:v>
                </c:pt>
                <c:pt idx="47">
                  <c:v>11-01-2021</c:v>
                </c:pt>
                <c:pt idx="48">
                  <c:v>12-01-2021</c:v>
                </c:pt>
                <c:pt idx="49">
                  <c:v>13-01-2021</c:v>
                </c:pt>
                <c:pt idx="50">
                  <c:v>14-01-2021</c:v>
                </c:pt>
                <c:pt idx="51">
                  <c:v>15-01-2021</c:v>
                </c:pt>
                <c:pt idx="52">
                  <c:v>19-01-2021</c:v>
                </c:pt>
                <c:pt idx="53">
                  <c:v>20-01-2021</c:v>
                </c:pt>
                <c:pt idx="54">
                  <c:v>21-01-2021</c:v>
                </c:pt>
                <c:pt idx="55">
                  <c:v>22-01-2021</c:v>
                </c:pt>
                <c:pt idx="56">
                  <c:v>25-01-2021</c:v>
                </c:pt>
                <c:pt idx="57">
                  <c:v>26-01-2021</c:v>
                </c:pt>
                <c:pt idx="58">
                  <c:v>27-01-2021</c:v>
                </c:pt>
                <c:pt idx="59">
                  <c:v>28-01-2021</c:v>
                </c:pt>
                <c:pt idx="60">
                  <c:v>29-01-2021</c:v>
                </c:pt>
                <c:pt idx="61">
                  <c:v>01-02-2021</c:v>
                </c:pt>
                <c:pt idx="62">
                  <c:v>02-02-2021</c:v>
                </c:pt>
                <c:pt idx="63">
                  <c:v>03-02-2021</c:v>
                </c:pt>
                <c:pt idx="64">
                  <c:v>04-02-2021</c:v>
                </c:pt>
                <c:pt idx="65">
                  <c:v>05-02-2021</c:v>
                </c:pt>
                <c:pt idx="66">
                  <c:v>08-02-2021</c:v>
                </c:pt>
                <c:pt idx="67">
                  <c:v>09-02-2021</c:v>
                </c:pt>
                <c:pt idx="68">
                  <c:v>10-02-2021</c:v>
                </c:pt>
                <c:pt idx="69">
                  <c:v>11-02-2021</c:v>
                </c:pt>
                <c:pt idx="70">
                  <c:v>12-02-2021</c:v>
                </c:pt>
                <c:pt idx="71">
                  <c:v>16-02-2021</c:v>
                </c:pt>
                <c:pt idx="72">
                  <c:v>17-02-2021</c:v>
                </c:pt>
                <c:pt idx="73">
                  <c:v>18-02-2021</c:v>
                </c:pt>
                <c:pt idx="74">
                  <c:v>19-02-2021</c:v>
                </c:pt>
                <c:pt idx="75">
                  <c:v>22-02-2021</c:v>
                </c:pt>
                <c:pt idx="76">
                  <c:v>23-02-2021</c:v>
                </c:pt>
                <c:pt idx="77">
                  <c:v>24-02-2021</c:v>
                </c:pt>
                <c:pt idx="78">
                  <c:v>25-02-2021</c:v>
                </c:pt>
                <c:pt idx="79">
                  <c:v>26-02-2021</c:v>
                </c:pt>
                <c:pt idx="80">
                  <c:v>01-03-2021</c:v>
                </c:pt>
                <c:pt idx="81">
                  <c:v>02-03-2021</c:v>
                </c:pt>
                <c:pt idx="82">
                  <c:v>03-03-2021</c:v>
                </c:pt>
                <c:pt idx="83">
                  <c:v>04-03-2021</c:v>
                </c:pt>
                <c:pt idx="84">
                  <c:v>05-03-2021</c:v>
                </c:pt>
                <c:pt idx="85">
                  <c:v>08-03-2021</c:v>
                </c:pt>
                <c:pt idx="86">
                  <c:v>09-03-2021</c:v>
                </c:pt>
                <c:pt idx="87">
                  <c:v>10-03-2021</c:v>
                </c:pt>
                <c:pt idx="88">
                  <c:v>11-03-2021</c:v>
                </c:pt>
                <c:pt idx="89">
                  <c:v>12-03-2021</c:v>
                </c:pt>
                <c:pt idx="90">
                  <c:v>15-03-2021</c:v>
                </c:pt>
                <c:pt idx="91">
                  <c:v>16-03-2021</c:v>
                </c:pt>
                <c:pt idx="92">
                  <c:v>17-03-2021</c:v>
                </c:pt>
                <c:pt idx="93">
                  <c:v>18-03-2021</c:v>
                </c:pt>
                <c:pt idx="94">
                  <c:v>19-03-2021</c:v>
                </c:pt>
                <c:pt idx="95">
                  <c:v>22-03-2021</c:v>
                </c:pt>
                <c:pt idx="96">
                  <c:v>23-03-2021</c:v>
                </c:pt>
                <c:pt idx="97">
                  <c:v>24-03-2021</c:v>
                </c:pt>
                <c:pt idx="98">
                  <c:v>25-03-2021</c:v>
                </c:pt>
                <c:pt idx="99">
                  <c:v>26-03-2021</c:v>
                </c:pt>
                <c:pt idx="100">
                  <c:v>29-03-2021</c:v>
                </c:pt>
                <c:pt idx="101">
                  <c:v>30-03-2021</c:v>
                </c:pt>
                <c:pt idx="102">
                  <c:v>31-03-2021</c:v>
                </c:pt>
                <c:pt idx="103">
                  <c:v>01-04-2021</c:v>
                </c:pt>
                <c:pt idx="104">
                  <c:v>05-04-2021</c:v>
                </c:pt>
                <c:pt idx="105">
                  <c:v>06-04-2021</c:v>
                </c:pt>
                <c:pt idx="106">
                  <c:v>07-04-2021</c:v>
                </c:pt>
                <c:pt idx="107">
                  <c:v>08-04-2021</c:v>
                </c:pt>
                <c:pt idx="108">
                  <c:v>09-04-2021</c:v>
                </c:pt>
                <c:pt idx="109">
                  <c:v>12-04-2021</c:v>
                </c:pt>
                <c:pt idx="110">
                  <c:v>13-04-2021</c:v>
                </c:pt>
                <c:pt idx="111">
                  <c:v>14-04-2021</c:v>
                </c:pt>
                <c:pt idx="112">
                  <c:v>15-04-2021</c:v>
                </c:pt>
                <c:pt idx="113">
                  <c:v>16-04-2021</c:v>
                </c:pt>
                <c:pt idx="114">
                  <c:v>19-04-2021</c:v>
                </c:pt>
                <c:pt idx="115">
                  <c:v>20-04-2021</c:v>
                </c:pt>
                <c:pt idx="116">
                  <c:v>21-04-2021</c:v>
                </c:pt>
                <c:pt idx="117">
                  <c:v>22-04-2021</c:v>
                </c:pt>
                <c:pt idx="118">
                  <c:v>23-04-2021</c:v>
                </c:pt>
                <c:pt idx="119">
                  <c:v>26-04-2021</c:v>
                </c:pt>
                <c:pt idx="120">
                  <c:v>27-04-2021</c:v>
                </c:pt>
                <c:pt idx="121">
                  <c:v>28-04-2021</c:v>
                </c:pt>
                <c:pt idx="122">
                  <c:v>29-04-2021</c:v>
                </c:pt>
                <c:pt idx="123">
                  <c:v>30-04-2021</c:v>
                </c:pt>
                <c:pt idx="124">
                  <c:v>03-05-2021</c:v>
                </c:pt>
                <c:pt idx="125">
                  <c:v>04-05-2021</c:v>
                </c:pt>
                <c:pt idx="126">
                  <c:v>05-05-2021</c:v>
                </c:pt>
                <c:pt idx="127">
                  <c:v>06-05-2021</c:v>
                </c:pt>
                <c:pt idx="128">
                  <c:v>07-05-2021</c:v>
                </c:pt>
                <c:pt idx="129">
                  <c:v>10-05-2021</c:v>
                </c:pt>
                <c:pt idx="130">
                  <c:v>11-05-2021</c:v>
                </c:pt>
                <c:pt idx="131">
                  <c:v>12-05-2021</c:v>
                </c:pt>
                <c:pt idx="132">
                  <c:v>13-05-2021</c:v>
                </c:pt>
                <c:pt idx="133">
                  <c:v>14-05-2021</c:v>
                </c:pt>
                <c:pt idx="134">
                  <c:v>17-05-2021</c:v>
                </c:pt>
                <c:pt idx="135">
                  <c:v>18-05-2021</c:v>
                </c:pt>
                <c:pt idx="136">
                  <c:v>19-05-2021</c:v>
                </c:pt>
                <c:pt idx="137">
                  <c:v>20-05-2021</c:v>
                </c:pt>
                <c:pt idx="138">
                  <c:v>21-05-2021</c:v>
                </c:pt>
                <c:pt idx="139">
                  <c:v>24-05-2021</c:v>
                </c:pt>
                <c:pt idx="140">
                  <c:v>25-05-2021</c:v>
                </c:pt>
                <c:pt idx="141">
                  <c:v>26-05-2021</c:v>
                </c:pt>
                <c:pt idx="142">
                  <c:v>27-05-2021</c:v>
                </c:pt>
                <c:pt idx="143">
                  <c:v>28-05-2021</c:v>
                </c:pt>
                <c:pt idx="144">
                  <c:v>01-06-2021</c:v>
                </c:pt>
                <c:pt idx="145">
                  <c:v>02-06-2021</c:v>
                </c:pt>
                <c:pt idx="146">
                  <c:v>03-06-2021</c:v>
                </c:pt>
                <c:pt idx="147">
                  <c:v>04-06-2021</c:v>
                </c:pt>
                <c:pt idx="148">
                  <c:v>07-06-2021</c:v>
                </c:pt>
                <c:pt idx="149">
                  <c:v>08-06-2021</c:v>
                </c:pt>
                <c:pt idx="150">
                  <c:v>09-06-2021</c:v>
                </c:pt>
                <c:pt idx="151">
                  <c:v>10-06-2021</c:v>
                </c:pt>
                <c:pt idx="152">
                  <c:v>11-06-2021</c:v>
                </c:pt>
                <c:pt idx="153">
                  <c:v>14-06-2021</c:v>
                </c:pt>
                <c:pt idx="154">
                  <c:v>15-06-2021</c:v>
                </c:pt>
                <c:pt idx="155">
                  <c:v>16-06-2021</c:v>
                </c:pt>
                <c:pt idx="156">
                  <c:v>17-06-2021</c:v>
                </c:pt>
                <c:pt idx="157">
                  <c:v>18-06-2021</c:v>
                </c:pt>
                <c:pt idx="158">
                  <c:v>21-06-2021</c:v>
                </c:pt>
                <c:pt idx="159">
                  <c:v>22-06-2021</c:v>
                </c:pt>
                <c:pt idx="160">
                  <c:v>23-06-2021</c:v>
                </c:pt>
                <c:pt idx="161">
                  <c:v>24-06-2021</c:v>
                </c:pt>
                <c:pt idx="162">
                  <c:v>25-06-2021</c:v>
                </c:pt>
                <c:pt idx="163">
                  <c:v>28-06-2021</c:v>
                </c:pt>
                <c:pt idx="164">
                  <c:v>29-06-2021</c:v>
                </c:pt>
                <c:pt idx="165">
                  <c:v>30-06-2021</c:v>
                </c:pt>
                <c:pt idx="166">
                  <c:v>01-07-2021</c:v>
                </c:pt>
                <c:pt idx="167">
                  <c:v>02-07-2021</c:v>
                </c:pt>
                <c:pt idx="168">
                  <c:v>06-07-2021</c:v>
                </c:pt>
                <c:pt idx="169">
                  <c:v>07-07-2021</c:v>
                </c:pt>
                <c:pt idx="170">
                  <c:v>08-07-2021</c:v>
                </c:pt>
                <c:pt idx="171">
                  <c:v>09-07-2021</c:v>
                </c:pt>
                <c:pt idx="172">
                  <c:v>12-07-2021</c:v>
                </c:pt>
                <c:pt idx="173">
                  <c:v>13-07-2021</c:v>
                </c:pt>
                <c:pt idx="174">
                  <c:v>14-07-2021</c:v>
                </c:pt>
                <c:pt idx="175">
                  <c:v>15-07-2021</c:v>
                </c:pt>
                <c:pt idx="176">
                  <c:v>16-07-2021</c:v>
                </c:pt>
                <c:pt idx="177">
                  <c:v>19-07-2021</c:v>
                </c:pt>
                <c:pt idx="178">
                  <c:v>20-07-2021</c:v>
                </c:pt>
                <c:pt idx="179">
                  <c:v>21-07-2021</c:v>
                </c:pt>
                <c:pt idx="180">
                  <c:v>22-07-2021</c:v>
                </c:pt>
                <c:pt idx="181">
                  <c:v>23-07-2021</c:v>
                </c:pt>
                <c:pt idx="182">
                  <c:v>26-07-2021</c:v>
                </c:pt>
                <c:pt idx="183">
                  <c:v>27-07-2021</c:v>
                </c:pt>
                <c:pt idx="184">
                  <c:v>28-07-2021</c:v>
                </c:pt>
                <c:pt idx="185">
                  <c:v>29-07-2021</c:v>
                </c:pt>
                <c:pt idx="186">
                  <c:v>30-07-2021</c:v>
                </c:pt>
                <c:pt idx="187">
                  <c:v>02-08-2021</c:v>
                </c:pt>
                <c:pt idx="188">
                  <c:v>03-08-2021</c:v>
                </c:pt>
                <c:pt idx="189">
                  <c:v>04-08-2021</c:v>
                </c:pt>
                <c:pt idx="190">
                  <c:v>05-08-2021</c:v>
                </c:pt>
                <c:pt idx="191">
                  <c:v>06-08-2021</c:v>
                </c:pt>
                <c:pt idx="192">
                  <c:v>09-08-2021</c:v>
                </c:pt>
                <c:pt idx="193">
                  <c:v>10-08-2021</c:v>
                </c:pt>
                <c:pt idx="194">
                  <c:v>11-08-2021</c:v>
                </c:pt>
                <c:pt idx="195">
                  <c:v>12-08-2021</c:v>
                </c:pt>
                <c:pt idx="196">
                  <c:v>13-08-2021</c:v>
                </c:pt>
                <c:pt idx="197">
                  <c:v>16-08-2021</c:v>
                </c:pt>
                <c:pt idx="198">
                  <c:v>17-08-2021</c:v>
                </c:pt>
                <c:pt idx="199">
                  <c:v>18-08-2021</c:v>
                </c:pt>
                <c:pt idx="200">
                  <c:v>19-08-2021</c:v>
                </c:pt>
                <c:pt idx="201">
                  <c:v>20-08-2021</c:v>
                </c:pt>
                <c:pt idx="202">
                  <c:v>23-08-2021</c:v>
                </c:pt>
                <c:pt idx="203">
                  <c:v>24-08-2021</c:v>
                </c:pt>
                <c:pt idx="204">
                  <c:v>25-08-2021</c:v>
                </c:pt>
                <c:pt idx="205">
                  <c:v>26-08-2021</c:v>
                </c:pt>
                <c:pt idx="206">
                  <c:v>27-08-2021</c:v>
                </c:pt>
                <c:pt idx="207">
                  <c:v>30-08-2021</c:v>
                </c:pt>
                <c:pt idx="208">
                  <c:v>31-08-2021</c:v>
                </c:pt>
                <c:pt idx="209">
                  <c:v>01-09-2021</c:v>
                </c:pt>
                <c:pt idx="210">
                  <c:v>02-09-2021</c:v>
                </c:pt>
                <c:pt idx="211">
                  <c:v>03-09-2021</c:v>
                </c:pt>
                <c:pt idx="212">
                  <c:v>07-09-2021</c:v>
                </c:pt>
                <c:pt idx="213">
                  <c:v>08-09-2021</c:v>
                </c:pt>
                <c:pt idx="214">
                  <c:v>09-09-2021</c:v>
                </c:pt>
                <c:pt idx="215">
                  <c:v>10-09-2021</c:v>
                </c:pt>
                <c:pt idx="216">
                  <c:v>13-09-2021</c:v>
                </c:pt>
                <c:pt idx="217">
                  <c:v>14-09-2021</c:v>
                </c:pt>
                <c:pt idx="218">
                  <c:v>15-09-2021</c:v>
                </c:pt>
                <c:pt idx="219">
                  <c:v>16-09-2021</c:v>
                </c:pt>
                <c:pt idx="220">
                  <c:v>17-09-2021</c:v>
                </c:pt>
                <c:pt idx="221">
                  <c:v>20-09-2021</c:v>
                </c:pt>
                <c:pt idx="222">
                  <c:v>21-09-2021</c:v>
                </c:pt>
                <c:pt idx="223">
                  <c:v>22-09-2021</c:v>
                </c:pt>
                <c:pt idx="224">
                  <c:v>23-09-2021</c:v>
                </c:pt>
                <c:pt idx="225">
                  <c:v>24-09-2021</c:v>
                </c:pt>
                <c:pt idx="226">
                  <c:v>27-09-2021</c:v>
                </c:pt>
                <c:pt idx="227">
                  <c:v>28-09-2021</c:v>
                </c:pt>
                <c:pt idx="228">
                  <c:v>29-09-2021</c:v>
                </c:pt>
                <c:pt idx="229">
                  <c:v>30-09-2021</c:v>
                </c:pt>
                <c:pt idx="230">
                  <c:v>01-10-2021</c:v>
                </c:pt>
                <c:pt idx="231">
                  <c:v>04-10-2021</c:v>
                </c:pt>
                <c:pt idx="232">
                  <c:v>05-10-2021</c:v>
                </c:pt>
                <c:pt idx="233">
                  <c:v>06-10-2021</c:v>
                </c:pt>
                <c:pt idx="234">
                  <c:v>07-10-2021</c:v>
                </c:pt>
                <c:pt idx="235">
                  <c:v>08-10-2021</c:v>
                </c:pt>
                <c:pt idx="236">
                  <c:v>11-10-2021</c:v>
                </c:pt>
                <c:pt idx="237">
                  <c:v>12-10-2021</c:v>
                </c:pt>
                <c:pt idx="238">
                  <c:v>13-10-2021</c:v>
                </c:pt>
                <c:pt idx="239">
                  <c:v>14-10-2021</c:v>
                </c:pt>
                <c:pt idx="240">
                  <c:v>15-10-2021</c:v>
                </c:pt>
                <c:pt idx="241">
                  <c:v>18-10-2021</c:v>
                </c:pt>
                <c:pt idx="242">
                  <c:v>19-10-2021</c:v>
                </c:pt>
                <c:pt idx="243">
                  <c:v>20-10-2021</c:v>
                </c:pt>
                <c:pt idx="244">
                  <c:v>21-10-2021</c:v>
                </c:pt>
                <c:pt idx="245">
                  <c:v>22-10-2021</c:v>
                </c:pt>
                <c:pt idx="246">
                  <c:v>25-10-2021</c:v>
                </c:pt>
                <c:pt idx="247">
                  <c:v>26-10-2021</c:v>
                </c:pt>
                <c:pt idx="248">
                  <c:v>27-10-2021</c:v>
                </c:pt>
                <c:pt idx="249">
                  <c:v>28-10-2021</c:v>
                </c:pt>
                <c:pt idx="250">
                  <c:v>29-10-2021</c:v>
                </c:pt>
                <c:pt idx="251">
                  <c:v>01-11-2021</c:v>
                </c:pt>
                <c:pt idx="252">
                  <c:v>02-11-2021</c:v>
                </c:pt>
                <c:pt idx="253">
                  <c:v>03-11-2021</c:v>
                </c:pt>
                <c:pt idx="254">
                  <c:v>04-11-2021</c:v>
                </c:pt>
                <c:pt idx="255">
                  <c:v>05-11-2021</c:v>
                </c:pt>
                <c:pt idx="256">
                  <c:v>08-11-2021</c:v>
                </c:pt>
                <c:pt idx="257">
                  <c:v>09-11-2021</c:v>
                </c:pt>
                <c:pt idx="258">
                  <c:v>10-11-2021</c:v>
                </c:pt>
                <c:pt idx="259">
                  <c:v>11-11-2021</c:v>
                </c:pt>
                <c:pt idx="260">
                  <c:v>12-11-2021</c:v>
                </c:pt>
                <c:pt idx="261">
                  <c:v>15-11-2021</c:v>
                </c:pt>
                <c:pt idx="262">
                  <c:v>16-11-2021</c:v>
                </c:pt>
                <c:pt idx="263">
                  <c:v>17-11-2021</c:v>
                </c:pt>
                <c:pt idx="264">
                  <c:v>18-11-2021</c:v>
                </c:pt>
                <c:pt idx="265">
                  <c:v>19-11-2021</c:v>
                </c:pt>
                <c:pt idx="266">
                  <c:v>22-11-2021</c:v>
                </c:pt>
                <c:pt idx="267">
                  <c:v>23-11-2021</c:v>
                </c:pt>
                <c:pt idx="268">
                  <c:v>24-11-2021</c:v>
                </c:pt>
                <c:pt idx="269">
                  <c:v>26-11-2021</c:v>
                </c:pt>
                <c:pt idx="270">
                  <c:v>29-11-2021</c:v>
                </c:pt>
                <c:pt idx="271">
                  <c:v>30-11-2021</c:v>
                </c:pt>
                <c:pt idx="272">
                  <c:v>01-12-2021</c:v>
                </c:pt>
                <c:pt idx="273">
                  <c:v>02-12-2021</c:v>
                </c:pt>
                <c:pt idx="274">
                  <c:v>03-12-2021</c:v>
                </c:pt>
                <c:pt idx="275">
                  <c:v>06-12-2021</c:v>
                </c:pt>
                <c:pt idx="276">
                  <c:v>07-12-2021</c:v>
                </c:pt>
                <c:pt idx="277">
                  <c:v>08-12-2021</c:v>
                </c:pt>
                <c:pt idx="278">
                  <c:v>09-12-2021</c:v>
                </c:pt>
                <c:pt idx="279">
                  <c:v>10-12-2021</c:v>
                </c:pt>
                <c:pt idx="280">
                  <c:v>13-12-2021</c:v>
                </c:pt>
                <c:pt idx="281">
                  <c:v>14-12-2021</c:v>
                </c:pt>
                <c:pt idx="282">
                  <c:v>15-12-2021</c:v>
                </c:pt>
                <c:pt idx="283">
                  <c:v>16-12-2021</c:v>
                </c:pt>
                <c:pt idx="284">
                  <c:v>17-12-2021</c:v>
                </c:pt>
                <c:pt idx="285">
                  <c:v>20-12-2021</c:v>
                </c:pt>
                <c:pt idx="286">
                  <c:v>21-12-2021</c:v>
                </c:pt>
                <c:pt idx="287">
                  <c:v>22-12-2021</c:v>
                </c:pt>
                <c:pt idx="288">
                  <c:v>23-12-2021</c:v>
                </c:pt>
                <c:pt idx="289">
                  <c:v>27-12-2021</c:v>
                </c:pt>
                <c:pt idx="290">
                  <c:v>28-12-2021</c:v>
                </c:pt>
                <c:pt idx="291">
                  <c:v>29-12-2021</c:v>
                </c:pt>
                <c:pt idx="292">
                  <c:v>30-12-2021</c:v>
                </c:pt>
                <c:pt idx="293">
                  <c:v>31-12-2021</c:v>
                </c:pt>
                <c:pt idx="294">
                  <c:v>03-01-2022</c:v>
                </c:pt>
                <c:pt idx="295">
                  <c:v>04-01-2022</c:v>
                </c:pt>
                <c:pt idx="296">
                  <c:v>05-01-2022</c:v>
                </c:pt>
                <c:pt idx="297">
                  <c:v>06-01-2022</c:v>
                </c:pt>
                <c:pt idx="298">
                  <c:v>07-01-2022</c:v>
                </c:pt>
                <c:pt idx="299">
                  <c:v>10-01-2022</c:v>
                </c:pt>
                <c:pt idx="300">
                  <c:v>11-01-2022</c:v>
                </c:pt>
                <c:pt idx="301">
                  <c:v>12-01-2022</c:v>
                </c:pt>
                <c:pt idx="302">
                  <c:v>13-01-2022</c:v>
                </c:pt>
                <c:pt idx="303">
                  <c:v>14-01-2022</c:v>
                </c:pt>
                <c:pt idx="304">
                  <c:v>18-01-2022</c:v>
                </c:pt>
                <c:pt idx="305">
                  <c:v>19-01-2022</c:v>
                </c:pt>
                <c:pt idx="306">
                  <c:v>20-01-2022</c:v>
                </c:pt>
                <c:pt idx="307">
                  <c:v>21-01-2022</c:v>
                </c:pt>
                <c:pt idx="308">
                  <c:v>24-01-2022</c:v>
                </c:pt>
                <c:pt idx="309">
                  <c:v>25-01-2022</c:v>
                </c:pt>
                <c:pt idx="310">
                  <c:v>26-01-2022</c:v>
                </c:pt>
                <c:pt idx="311">
                  <c:v>27-01-2022</c:v>
                </c:pt>
                <c:pt idx="312">
                  <c:v>28-01-2022</c:v>
                </c:pt>
                <c:pt idx="313">
                  <c:v>31-01-2022</c:v>
                </c:pt>
                <c:pt idx="314">
                  <c:v>01-02-2022</c:v>
                </c:pt>
                <c:pt idx="315">
                  <c:v>02-02-2022</c:v>
                </c:pt>
                <c:pt idx="316">
                  <c:v>03-02-2022</c:v>
                </c:pt>
                <c:pt idx="317">
                  <c:v>04-02-2022</c:v>
                </c:pt>
                <c:pt idx="318">
                  <c:v>07-02-2022</c:v>
                </c:pt>
                <c:pt idx="319">
                  <c:v>08-02-2022</c:v>
                </c:pt>
                <c:pt idx="320">
                  <c:v>09-02-2022</c:v>
                </c:pt>
                <c:pt idx="321">
                  <c:v>10-02-2022</c:v>
                </c:pt>
                <c:pt idx="322">
                  <c:v>11-02-2022</c:v>
                </c:pt>
                <c:pt idx="323">
                  <c:v>14-02-2022</c:v>
                </c:pt>
                <c:pt idx="324">
                  <c:v>15-02-2022</c:v>
                </c:pt>
                <c:pt idx="325">
                  <c:v>16-02-2022</c:v>
                </c:pt>
                <c:pt idx="326">
                  <c:v>17-02-2022</c:v>
                </c:pt>
                <c:pt idx="327">
                  <c:v>18-02-2022</c:v>
                </c:pt>
                <c:pt idx="328">
                  <c:v>22-02-2022</c:v>
                </c:pt>
                <c:pt idx="329">
                  <c:v>23-02-2022</c:v>
                </c:pt>
                <c:pt idx="330">
                  <c:v>24-02-2022</c:v>
                </c:pt>
                <c:pt idx="331">
                  <c:v>25-02-2022</c:v>
                </c:pt>
                <c:pt idx="332">
                  <c:v>28-02-2022</c:v>
                </c:pt>
                <c:pt idx="333">
                  <c:v>01-03-2022</c:v>
                </c:pt>
                <c:pt idx="334">
                  <c:v>02-03-2022</c:v>
                </c:pt>
                <c:pt idx="335">
                  <c:v>03-03-2022</c:v>
                </c:pt>
                <c:pt idx="336">
                  <c:v>04-03-2022</c:v>
                </c:pt>
                <c:pt idx="337">
                  <c:v>07-03-2022</c:v>
                </c:pt>
                <c:pt idx="338">
                  <c:v>08-03-2022</c:v>
                </c:pt>
                <c:pt idx="339">
                  <c:v>09-03-2022</c:v>
                </c:pt>
                <c:pt idx="340">
                  <c:v>10-03-2022</c:v>
                </c:pt>
                <c:pt idx="341">
                  <c:v>11-03-2022</c:v>
                </c:pt>
                <c:pt idx="342">
                  <c:v>14-03-2022</c:v>
                </c:pt>
                <c:pt idx="343">
                  <c:v>15-03-2022</c:v>
                </c:pt>
                <c:pt idx="344">
                  <c:v>16-03-2022</c:v>
                </c:pt>
                <c:pt idx="345">
                  <c:v>17-03-2022</c:v>
                </c:pt>
                <c:pt idx="346">
                  <c:v>18-03-2022</c:v>
                </c:pt>
                <c:pt idx="347">
                  <c:v>21-03-2022</c:v>
                </c:pt>
                <c:pt idx="348">
                  <c:v>22-03-2022</c:v>
                </c:pt>
                <c:pt idx="349">
                  <c:v>23-03-2022</c:v>
                </c:pt>
                <c:pt idx="350">
                  <c:v>24-03-2022</c:v>
                </c:pt>
                <c:pt idx="351">
                  <c:v>25-03-2022</c:v>
                </c:pt>
                <c:pt idx="352">
                  <c:v>28-03-2022</c:v>
                </c:pt>
                <c:pt idx="353">
                  <c:v>29-03-2022</c:v>
                </c:pt>
                <c:pt idx="354">
                  <c:v>30-03-2022</c:v>
                </c:pt>
                <c:pt idx="355">
                  <c:v>31-03-2022</c:v>
                </c:pt>
                <c:pt idx="356">
                  <c:v>01-04-2022</c:v>
                </c:pt>
                <c:pt idx="357">
                  <c:v>04-04-2022</c:v>
                </c:pt>
                <c:pt idx="358">
                  <c:v>05-04-2022</c:v>
                </c:pt>
                <c:pt idx="359">
                  <c:v>06-04-2022</c:v>
                </c:pt>
                <c:pt idx="360">
                  <c:v>07-04-2022</c:v>
                </c:pt>
                <c:pt idx="361">
                  <c:v>08-04-2022</c:v>
                </c:pt>
                <c:pt idx="362">
                  <c:v>11-04-2022</c:v>
                </c:pt>
                <c:pt idx="363">
                  <c:v>12-04-2022</c:v>
                </c:pt>
                <c:pt idx="364">
                  <c:v>13-04-2022</c:v>
                </c:pt>
                <c:pt idx="365">
                  <c:v>14-04-2022</c:v>
                </c:pt>
                <c:pt idx="366">
                  <c:v>18-04-2022</c:v>
                </c:pt>
                <c:pt idx="367">
                  <c:v>19-04-2022</c:v>
                </c:pt>
                <c:pt idx="368">
                  <c:v>20-04-2022</c:v>
                </c:pt>
                <c:pt idx="369">
                  <c:v>21-04-2022</c:v>
                </c:pt>
                <c:pt idx="370">
                  <c:v>22-04-2022</c:v>
                </c:pt>
                <c:pt idx="371">
                  <c:v>25-04-2022</c:v>
                </c:pt>
                <c:pt idx="372">
                  <c:v>26-04-2022</c:v>
                </c:pt>
                <c:pt idx="373">
                  <c:v>27-04-2022</c:v>
                </c:pt>
                <c:pt idx="374">
                  <c:v>28-04-2022</c:v>
                </c:pt>
                <c:pt idx="375">
                  <c:v>29-04-2022</c:v>
                </c:pt>
                <c:pt idx="376">
                  <c:v>02-05-2022</c:v>
                </c:pt>
                <c:pt idx="377">
                  <c:v>03-05-2022</c:v>
                </c:pt>
                <c:pt idx="378">
                  <c:v>04-05-2022</c:v>
                </c:pt>
                <c:pt idx="379">
                  <c:v>05-05-2022</c:v>
                </c:pt>
                <c:pt idx="380">
                  <c:v>06-05-2022</c:v>
                </c:pt>
                <c:pt idx="381">
                  <c:v>09-05-2022</c:v>
                </c:pt>
                <c:pt idx="382">
                  <c:v>10-05-2022</c:v>
                </c:pt>
                <c:pt idx="383">
                  <c:v>11-05-2022</c:v>
                </c:pt>
                <c:pt idx="384">
                  <c:v>12-05-2022</c:v>
                </c:pt>
                <c:pt idx="385">
                  <c:v>13-05-2022</c:v>
                </c:pt>
                <c:pt idx="386">
                  <c:v>16-05-2022</c:v>
                </c:pt>
                <c:pt idx="387">
                  <c:v>17-05-2022</c:v>
                </c:pt>
                <c:pt idx="388">
                  <c:v>18-05-2022</c:v>
                </c:pt>
                <c:pt idx="389">
                  <c:v>19-05-2022</c:v>
                </c:pt>
                <c:pt idx="390">
                  <c:v>20-05-2022</c:v>
                </c:pt>
                <c:pt idx="391">
                  <c:v>23-05-2022</c:v>
                </c:pt>
                <c:pt idx="392">
                  <c:v>24-05-2022</c:v>
                </c:pt>
                <c:pt idx="393">
                  <c:v>25-05-2022</c:v>
                </c:pt>
                <c:pt idx="394">
                  <c:v>26-05-2022</c:v>
                </c:pt>
                <c:pt idx="395">
                  <c:v>27-05-2022</c:v>
                </c:pt>
                <c:pt idx="396">
                  <c:v>31-05-2022</c:v>
                </c:pt>
                <c:pt idx="397">
                  <c:v>01-06-2022</c:v>
                </c:pt>
                <c:pt idx="398">
                  <c:v>02-06-2022</c:v>
                </c:pt>
                <c:pt idx="399">
                  <c:v>03-06-2022</c:v>
                </c:pt>
                <c:pt idx="400">
                  <c:v>06-06-2022</c:v>
                </c:pt>
                <c:pt idx="401">
                  <c:v>07-06-2022</c:v>
                </c:pt>
                <c:pt idx="402">
                  <c:v>08-06-2022</c:v>
                </c:pt>
                <c:pt idx="403">
                  <c:v>09-06-2022</c:v>
                </c:pt>
                <c:pt idx="404">
                  <c:v>10-06-2022</c:v>
                </c:pt>
                <c:pt idx="405">
                  <c:v>13-06-2022</c:v>
                </c:pt>
                <c:pt idx="406">
                  <c:v>14-06-2022</c:v>
                </c:pt>
                <c:pt idx="407">
                  <c:v>15-06-2022</c:v>
                </c:pt>
                <c:pt idx="408">
                  <c:v>16-06-2022</c:v>
                </c:pt>
                <c:pt idx="409">
                  <c:v>17-06-2022</c:v>
                </c:pt>
                <c:pt idx="410">
                  <c:v>21-06-2022</c:v>
                </c:pt>
                <c:pt idx="411">
                  <c:v>22-06-2022</c:v>
                </c:pt>
                <c:pt idx="412">
                  <c:v>23-06-2022</c:v>
                </c:pt>
                <c:pt idx="413">
                  <c:v>24-06-2022</c:v>
                </c:pt>
                <c:pt idx="414">
                  <c:v>27-06-2022</c:v>
                </c:pt>
                <c:pt idx="415">
                  <c:v>28-06-2022</c:v>
                </c:pt>
                <c:pt idx="416">
                  <c:v>29-06-2022</c:v>
                </c:pt>
                <c:pt idx="417">
                  <c:v>30-06-2022</c:v>
                </c:pt>
                <c:pt idx="418">
                  <c:v>01-07-2022</c:v>
                </c:pt>
                <c:pt idx="419">
                  <c:v>05-07-2022</c:v>
                </c:pt>
                <c:pt idx="420">
                  <c:v>06-07-2022</c:v>
                </c:pt>
                <c:pt idx="421">
                  <c:v>07-07-2022</c:v>
                </c:pt>
                <c:pt idx="422">
                  <c:v>08-07-2022</c:v>
                </c:pt>
                <c:pt idx="423">
                  <c:v>11-07-2022</c:v>
                </c:pt>
                <c:pt idx="424">
                  <c:v>12-07-2022</c:v>
                </c:pt>
                <c:pt idx="425">
                  <c:v>13-07-2022</c:v>
                </c:pt>
                <c:pt idx="426">
                  <c:v>14-07-2022</c:v>
                </c:pt>
                <c:pt idx="427">
                  <c:v>15-07-2022</c:v>
                </c:pt>
                <c:pt idx="428">
                  <c:v>18-07-2022</c:v>
                </c:pt>
                <c:pt idx="429">
                  <c:v>19-07-2022</c:v>
                </c:pt>
                <c:pt idx="430">
                  <c:v>20-07-2022</c:v>
                </c:pt>
                <c:pt idx="431">
                  <c:v>21-07-2022</c:v>
                </c:pt>
                <c:pt idx="432">
                  <c:v>22-07-2022</c:v>
                </c:pt>
                <c:pt idx="433">
                  <c:v>25-07-2022</c:v>
                </c:pt>
                <c:pt idx="434">
                  <c:v>26-07-2022</c:v>
                </c:pt>
                <c:pt idx="435">
                  <c:v>27-07-2022</c:v>
                </c:pt>
                <c:pt idx="436">
                  <c:v>28-07-2022</c:v>
                </c:pt>
                <c:pt idx="437">
                  <c:v>29-07-2022</c:v>
                </c:pt>
                <c:pt idx="438">
                  <c:v>01-08-2022</c:v>
                </c:pt>
                <c:pt idx="439">
                  <c:v>02-08-2022</c:v>
                </c:pt>
                <c:pt idx="440">
                  <c:v>03-08-2022</c:v>
                </c:pt>
                <c:pt idx="441">
                  <c:v>04-08-2022</c:v>
                </c:pt>
                <c:pt idx="442">
                  <c:v>05-08-2022</c:v>
                </c:pt>
                <c:pt idx="443">
                  <c:v>08-08-2022</c:v>
                </c:pt>
                <c:pt idx="444">
                  <c:v>09-08-2022</c:v>
                </c:pt>
                <c:pt idx="445">
                  <c:v>10-08-2022</c:v>
                </c:pt>
                <c:pt idx="446">
                  <c:v>11-08-2022</c:v>
                </c:pt>
                <c:pt idx="447">
                  <c:v>12-08-2022</c:v>
                </c:pt>
                <c:pt idx="448">
                  <c:v>15-08-2022</c:v>
                </c:pt>
                <c:pt idx="449">
                  <c:v>16-08-2022</c:v>
                </c:pt>
                <c:pt idx="450">
                  <c:v>17-08-2022</c:v>
                </c:pt>
                <c:pt idx="451">
                  <c:v>18-08-2022</c:v>
                </c:pt>
                <c:pt idx="452">
                  <c:v>19-08-2022</c:v>
                </c:pt>
                <c:pt idx="453">
                  <c:v>22-08-2022</c:v>
                </c:pt>
                <c:pt idx="454">
                  <c:v>23-08-2022</c:v>
                </c:pt>
                <c:pt idx="455">
                  <c:v>24-08-2022</c:v>
                </c:pt>
                <c:pt idx="456">
                  <c:v>25-08-2022</c:v>
                </c:pt>
                <c:pt idx="457">
                  <c:v>26-08-2022</c:v>
                </c:pt>
                <c:pt idx="458">
                  <c:v>29-08-2022</c:v>
                </c:pt>
                <c:pt idx="459">
                  <c:v>30-08-2022</c:v>
                </c:pt>
                <c:pt idx="460">
                  <c:v>31-08-2022</c:v>
                </c:pt>
                <c:pt idx="461">
                  <c:v>01-09-2022</c:v>
                </c:pt>
                <c:pt idx="462">
                  <c:v>02-09-2022</c:v>
                </c:pt>
                <c:pt idx="463">
                  <c:v>06-09-2022</c:v>
                </c:pt>
                <c:pt idx="464">
                  <c:v>07-09-2022</c:v>
                </c:pt>
                <c:pt idx="465">
                  <c:v>08-09-2022</c:v>
                </c:pt>
                <c:pt idx="466">
                  <c:v>09-09-2022</c:v>
                </c:pt>
                <c:pt idx="467">
                  <c:v>12-09-2022</c:v>
                </c:pt>
                <c:pt idx="468">
                  <c:v>13-09-2022</c:v>
                </c:pt>
                <c:pt idx="469">
                  <c:v>14-09-2022</c:v>
                </c:pt>
                <c:pt idx="470">
                  <c:v>15-09-2022</c:v>
                </c:pt>
                <c:pt idx="471">
                  <c:v>16-09-2022</c:v>
                </c:pt>
                <c:pt idx="472">
                  <c:v>19-09-2022</c:v>
                </c:pt>
                <c:pt idx="473">
                  <c:v>20-09-2022</c:v>
                </c:pt>
                <c:pt idx="474">
                  <c:v>21-09-2022</c:v>
                </c:pt>
                <c:pt idx="475">
                  <c:v>22-09-2022</c:v>
                </c:pt>
                <c:pt idx="476">
                  <c:v>23-09-2022</c:v>
                </c:pt>
                <c:pt idx="477">
                  <c:v>26-09-2022</c:v>
                </c:pt>
                <c:pt idx="478">
                  <c:v>27-09-2022</c:v>
                </c:pt>
                <c:pt idx="479">
                  <c:v>28-09-2022</c:v>
                </c:pt>
                <c:pt idx="480">
                  <c:v>29-09-2022</c:v>
                </c:pt>
                <c:pt idx="481">
                  <c:v>30-09-2022</c:v>
                </c:pt>
                <c:pt idx="482">
                  <c:v>03-10-2022</c:v>
                </c:pt>
                <c:pt idx="483">
                  <c:v>04-10-2022</c:v>
                </c:pt>
                <c:pt idx="484">
                  <c:v>05-10-2022</c:v>
                </c:pt>
                <c:pt idx="485">
                  <c:v>06-10-2022</c:v>
                </c:pt>
                <c:pt idx="486">
                  <c:v>07-10-2022</c:v>
                </c:pt>
                <c:pt idx="487">
                  <c:v>10-10-2022</c:v>
                </c:pt>
                <c:pt idx="488">
                  <c:v>11-10-2022</c:v>
                </c:pt>
                <c:pt idx="489">
                  <c:v>12-10-2022</c:v>
                </c:pt>
                <c:pt idx="490">
                  <c:v>13-10-2022</c:v>
                </c:pt>
                <c:pt idx="491">
                  <c:v>14-10-2022</c:v>
                </c:pt>
                <c:pt idx="492">
                  <c:v>17-10-2022</c:v>
                </c:pt>
                <c:pt idx="493">
                  <c:v>18-10-2022</c:v>
                </c:pt>
                <c:pt idx="494">
                  <c:v>19-10-2022</c:v>
                </c:pt>
                <c:pt idx="495">
                  <c:v>20-10-2022</c:v>
                </c:pt>
                <c:pt idx="496">
                  <c:v>21-10-2022</c:v>
                </c:pt>
                <c:pt idx="497">
                  <c:v>24-10-2022</c:v>
                </c:pt>
                <c:pt idx="498">
                  <c:v>25-10-2022</c:v>
                </c:pt>
                <c:pt idx="499">
                  <c:v>26-10-2022</c:v>
                </c:pt>
                <c:pt idx="500">
                  <c:v>27-10-2022</c:v>
                </c:pt>
                <c:pt idx="501">
                  <c:v>28-10-2022</c:v>
                </c:pt>
                <c:pt idx="502">
                  <c:v>31-10-2022</c:v>
                </c:pt>
                <c:pt idx="503">
                  <c:v>01-11-2022</c:v>
                </c:pt>
                <c:pt idx="504">
                  <c:v>02-11-2022</c:v>
                </c:pt>
                <c:pt idx="505">
                  <c:v>03-11-2022</c:v>
                </c:pt>
                <c:pt idx="506">
                  <c:v>04-11-2022</c:v>
                </c:pt>
                <c:pt idx="507">
                  <c:v>07-11-2022</c:v>
                </c:pt>
                <c:pt idx="508">
                  <c:v>08-11-2022</c:v>
                </c:pt>
                <c:pt idx="509">
                  <c:v>09-11-2022</c:v>
                </c:pt>
                <c:pt idx="510">
                  <c:v>10-11-2022</c:v>
                </c:pt>
                <c:pt idx="511">
                  <c:v>11-11-2022</c:v>
                </c:pt>
                <c:pt idx="512">
                  <c:v>14-11-2022</c:v>
                </c:pt>
                <c:pt idx="513">
                  <c:v>15-11-2022</c:v>
                </c:pt>
                <c:pt idx="514">
                  <c:v>16-11-2022</c:v>
                </c:pt>
                <c:pt idx="515">
                  <c:v>17-11-2022</c:v>
                </c:pt>
                <c:pt idx="516">
                  <c:v>18-11-2022</c:v>
                </c:pt>
                <c:pt idx="517">
                  <c:v>21-11-2022</c:v>
                </c:pt>
                <c:pt idx="518">
                  <c:v>22-11-2022</c:v>
                </c:pt>
                <c:pt idx="519">
                  <c:v>23-11-2022</c:v>
                </c:pt>
                <c:pt idx="520">
                  <c:v>25-11-2022</c:v>
                </c:pt>
                <c:pt idx="521">
                  <c:v>28-11-2022</c:v>
                </c:pt>
                <c:pt idx="522">
                  <c:v>29-11-2022</c:v>
                </c:pt>
                <c:pt idx="523">
                  <c:v>30-11-2022</c:v>
                </c:pt>
                <c:pt idx="524">
                  <c:v>01-12-2022</c:v>
                </c:pt>
                <c:pt idx="525">
                  <c:v>02-12-2022</c:v>
                </c:pt>
                <c:pt idx="526">
                  <c:v>05-12-2022</c:v>
                </c:pt>
                <c:pt idx="527">
                  <c:v>06-12-2022</c:v>
                </c:pt>
                <c:pt idx="528">
                  <c:v>07-12-2022</c:v>
                </c:pt>
                <c:pt idx="529">
                  <c:v>08-12-2022</c:v>
                </c:pt>
                <c:pt idx="530">
                  <c:v>09-12-2022</c:v>
                </c:pt>
                <c:pt idx="531">
                  <c:v>12-12-2022</c:v>
                </c:pt>
                <c:pt idx="532">
                  <c:v>13-12-2022</c:v>
                </c:pt>
                <c:pt idx="533">
                  <c:v>14-12-2022</c:v>
                </c:pt>
                <c:pt idx="534">
                  <c:v>15-12-2022</c:v>
                </c:pt>
                <c:pt idx="535">
                  <c:v>16-12-2022</c:v>
                </c:pt>
                <c:pt idx="536">
                  <c:v>19-12-2022</c:v>
                </c:pt>
                <c:pt idx="537">
                  <c:v>20-12-2022</c:v>
                </c:pt>
                <c:pt idx="538">
                  <c:v>21-12-2022</c:v>
                </c:pt>
                <c:pt idx="539">
                  <c:v>22-12-2022</c:v>
                </c:pt>
                <c:pt idx="540">
                  <c:v>23-12-2022</c:v>
                </c:pt>
                <c:pt idx="541">
                  <c:v>27-12-2022</c:v>
                </c:pt>
                <c:pt idx="542">
                  <c:v>28-12-2022</c:v>
                </c:pt>
                <c:pt idx="543">
                  <c:v>29-12-2022</c:v>
                </c:pt>
                <c:pt idx="544">
                  <c:v>30-12-2022</c:v>
                </c:pt>
                <c:pt idx="545">
                  <c:v>03-01-2023</c:v>
                </c:pt>
                <c:pt idx="546">
                  <c:v>04-01-2023</c:v>
                </c:pt>
                <c:pt idx="547">
                  <c:v>05-01-2023</c:v>
                </c:pt>
                <c:pt idx="548">
                  <c:v>06-01-2023</c:v>
                </c:pt>
                <c:pt idx="549">
                  <c:v>09-01-2023</c:v>
                </c:pt>
                <c:pt idx="550">
                  <c:v>10-01-2023</c:v>
                </c:pt>
                <c:pt idx="551">
                  <c:v>11-01-2023</c:v>
                </c:pt>
                <c:pt idx="552">
                  <c:v>12-01-2023</c:v>
                </c:pt>
                <c:pt idx="553">
                  <c:v>13-01-2023</c:v>
                </c:pt>
                <c:pt idx="554">
                  <c:v>17-01-2023</c:v>
                </c:pt>
                <c:pt idx="555">
                  <c:v>18-01-2023</c:v>
                </c:pt>
                <c:pt idx="556">
                  <c:v>19-01-2023</c:v>
                </c:pt>
                <c:pt idx="557">
                  <c:v>20-01-2023</c:v>
                </c:pt>
                <c:pt idx="558">
                  <c:v>23-01-2023</c:v>
                </c:pt>
                <c:pt idx="559">
                  <c:v>24-01-2023</c:v>
                </c:pt>
                <c:pt idx="560">
                  <c:v>25-01-2023</c:v>
                </c:pt>
                <c:pt idx="561">
                  <c:v>26-01-2023</c:v>
                </c:pt>
                <c:pt idx="562">
                  <c:v>27-01-2023</c:v>
                </c:pt>
                <c:pt idx="563">
                  <c:v>30-01-2023</c:v>
                </c:pt>
                <c:pt idx="564">
                  <c:v>31-01-2023</c:v>
                </c:pt>
                <c:pt idx="565">
                  <c:v>01-02-2023</c:v>
                </c:pt>
                <c:pt idx="566">
                  <c:v>02-02-2023</c:v>
                </c:pt>
                <c:pt idx="567">
                  <c:v>03-02-2023</c:v>
                </c:pt>
                <c:pt idx="568">
                  <c:v>06-02-2023</c:v>
                </c:pt>
                <c:pt idx="569">
                  <c:v>07-02-2023</c:v>
                </c:pt>
                <c:pt idx="570">
                  <c:v>08-02-2023</c:v>
                </c:pt>
                <c:pt idx="571">
                  <c:v>09-02-2023</c:v>
                </c:pt>
                <c:pt idx="572">
                  <c:v>10-02-2023</c:v>
                </c:pt>
                <c:pt idx="573">
                  <c:v>13-02-2023</c:v>
                </c:pt>
                <c:pt idx="574">
                  <c:v>14-02-2023</c:v>
                </c:pt>
                <c:pt idx="575">
                  <c:v>15-02-2023</c:v>
                </c:pt>
                <c:pt idx="576">
                  <c:v>16-02-2023</c:v>
                </c:pt>
                <c:pt idx="577">
                  <c:v>17-02-2023</c:v>
                </c:pt>
                <c:pt idx="578">
                  <c:v>21-02-2023</c:v>
                </c:pt>
                <c:pt idx="579">
                  <c:v>22-02-2023</c:v>
                </c:pt>
                <c:pt idx="580">
                  <c:v>23-02-2023</c:v>
                </c:pt>
                <c:pt idx="581">
                  <c:v>24-02-2023</c:v>
                </c:pt>
                <c:pt idx="582">
                  <c:v>27-02-2023</c:v>
                </c:pt>
                <c:pt idx="583">
                  <c:v>28-02-2023</c:v>
                </c:pt>
                <c:pt idx="584">
                  <c:v>01-03-2023</c:v>
                </c:pt>
                <c:pt idx="585">
                  <c:v>02-03-2023</c:v>
                </c:pt>
                <c:pt idx="586">
                  <c:v>03-03-2023</c:v>
                </c:pt>
                <c:pt idx="587">
                  <c:v>06-03-2023</c:v>
                </c:pt>
                <c:pt idx="588">
                  <c:v>07-03-2023</c:v>
                </c:pt>
                <c:pt idx="589">
                  <c:v>08-03-2023</c:v>
                </c:pt>
                <c:pt idx="590">
                  <c:v>09-03-2023</c:v>
                </c:pt>
                <c:pt idx="591">
                  <c:v>10-03-2023</c:v>
                </c:pt>
                <c:pt idx="592">
                  <c:v>13-03-2023</c:v>
                </c:pt>
                <c:pt idx="593">
                  <c:v>14-03-2023</c:v>
                </c:pt>
                <c:pt idx="594">
                  <c:v>15-03-2023</c:v>
                </c:pt>
                <c:pt idx="595">
                  <c:v>16-03-2023</c:v>
                </c:pt>
                <c:pt idx="596">
                  <c:v>17-03-2023</c:v>
                </c:pt>
                <c:pt idx="597">
                  <c:v>20-03-2023</c:v>
                </c:pt>
                <c:pt idx="598">
                  <c:v>21-03-2023</c:v>
                </c:pt>
                <c:pt idx="599">
                  <c:v>22-03-2023</c:v>
                </c:pt>
                <c:pt idx="600">
                  <c:v>23-03-2023</c:v>
                </c:pt>
                <c:pt idx="601">
                  <c:v>24-03-2023</c:v>
                </c:pt>
                <c:pt idx="602">
                  <c:v>27-03-2023</c:v>
                </c:pt>
                <c:pt idx="603">
                  <c:v>28-03-2023</c:v>
                </c:pt>
                <c:pt idx="604">
                  <c:v>29-03-2023</c:v>
                </c:pt>
                <c:pt idx="605">
                  <c:v>30-03-2023</c:v>
                </c:pt>
                <c:pt idx="606">
                  <c:v>31-03-2023</c:v>
                </c:pt>
                <c:pt idx="607">
                  <c:v>03-04-2023</c:v>
                </c:pt>
                <c:pt idx="608">
                  <c:v>04-04-2023</c:v>
                </c:pt>
                <c:pt idx="609">
                  <c:v>05-04-2023</c:v>
                </c:pt>
                <c:pt idx="610">
                  <c:v>06-04-2023</c:v>
                </c:pt>
                <c:pt idx="611">
                  <c:v>10-04-2023</c:v>
                </c:pt>
                <c:pt idx="612">
                  <c:v>11-04-2023</c:v>
                </c:pt>
                <c:pt idx="613">
                  <c:v>12-04-2023</c:v>
                </c:pt>
                <c:pt idx="614">
                  <c:v>13-04-2023</c:v>
                </c:pt>
                <c:pt idx="615">
                  <c:v>14-04-2023</c:v>
                </c:pt>
                <c:pt idx="616">
                  <c:v>17-04-2023</c:v>
                </c:pt>
                <c:pt idx="617">
                  <c:v>18-04-2023</c:v>
                </c:pt>
                <c:pt idx="618">
                  <c:v>19-04-2023</c:v>
                </c:pt>
                <c:pt idx="619">
                  <c:v>20-04-2023</c:v>
                </c:pt>
                <c:pt idx="620">
                  <c:v>21-04-2023</c:v>
                </c:pt>
                <c:pt idx="621">
                  <c:v>24-04-2023</c:v>
                </c:pt>
                <c:pt idx="622">
                  <c:v>25-04-2023</c:v>
                </c:pt>
                <c:pt idx="623">
                  <c:v>26-04-2023</c:v>
                </c:pt>
                <c:pt idx="624">
                  <c:v>27-04-2023</c:v>
                </c:pt>
                <c:pt idx="625">
                  <c:v>28-04-2023</c:v>
                </c:pt>
                <c:pt idx="626">
                  <c:v>01-05-2023</c:v>
                </c:pt>
                <c:pt idx="627">
                  <c:v>02-05-2023</c:v>
                </c:pt>
                <c:pt idx="628">
                  <c:v>03-05-2023</c:v>
                </c:pt>
                <c:pt idx="629">
                  <c:v>04-05-2023</c:v>
                </c:pt>
                <c:pt idx="630">
                  <c:v>05-05-2023</c:v>
                </c:pt>
                <c:pt idx="631">
                  <c:v>08-05-2023</c:v>
                </c:pt>
                <c:pt idx="632">
                  <c:v>09-05-2023</c:v>
                </c:pt>
                <c:pt idx="633">
                  <c:v>10-05-2023</c:v>
                </c:pt>
                <c:pt idx="634">
                  <c:v>11-05-2023</c:v>
                </c:pt>
                <c:pt idx="635">
                  <c:v>12-05-2023</c:v>
                </c:pt>
                <c:pt idx="636">
                  <c:v>15-05-2023</c:v>
                </c:pt>
                <c:pt idx="637">
                  <c:v>16-05-2023</c:v>
                </c:pt>
                <c:pt idx="638">
                  <c:v>17-05-2023</c:v>
                </c:pt>
                <c:pt idx="639">
                  <c:v>18-05-2023</c:v>
                </c:pt>
                <c:pt idx="640">
                  <c:v>19-05-2023</c:v>
                </c:pt>
                <c:pt idx="641">
                  <c:v>22-05-2023</c:v>
                </c:pt>
                <c:pt idx="642">
                  <c:v>23-05-2023</c:v>
                </c:pt>
                <c:pt idx="643">
                  <c:v>24-05-2023</c:v>
                </c:pt>
                <c:pt idx="644">
                  <c:v>25-05-2023</c:v>
                </c:pt>
                <c:pt idx="645">
                  <c:v>26-05-2023</c:v>
                </c:pt>
                <c:pt idx="646">
                  <c:v>30-05-2023</c:v>
                </c:pt>
                <c:pt idx="647">
                  <c:v>31-05-2023</c:v>
                </c:pt>
                <c:pt idx="648">
                  <c:v>01-06-2023</c:v>
                </c:pt>
                <c:pt idx="649">
                  <c:v>02-06-2023</c:v>
                </c:pt>
                <c:pt idx="650">
                  <c:v>05-06-2023</c:v>
                </c:pt>
                <c:pt idx="651">
                  <c:v>06-06-2023</c:v>
                </c:pt>
                <c:pt idx="652">
                  <c:v>07-06-2023</c:v>
                </c:pt>
                <c:pt idx="653">
                  <c:v>08-06-2023</c:v>
                </c:pt>
                <c:pt idx="654">
                  <c:v>09-06-2023</c:v>
                </c:pt>
                <c:pt idx="655">
                  <c:v>12-06-2023</c:v>
                </c:pt>
                <c:pt idx="656">
                  <c:v>13-06-2023</c:v>
                </c:pt>
                <c:pt idx="657">
                  <c:v>14-06-2023</c:v>
                </c:pt>
                <c:pt idx="658">
                  <c:v>15-06-2023</c:v>
                </c:pt>
                <c:pt idx="659">
                  <c:v>16-06-2023</c:v>
                </c:pt>
                <c:pt idx="660">
                  <c:v>20-06-2023</c:v>
                </c:pt>
                <c:pt idx="661">
                  <c:v>21-06-2023</c:v>
                </c:pt>
                <c:pt idx="662">
                  <c:v>22-06-2023</c:v>
                </c:pt>
                <c:pt idx="663">
                  <c:v>23-06-2023</c:v>
                </c:pt>
                <c:pt idx="664">
                  <c:v>26-06-2023</c:v>
                </c:pt>
                <c:pt idx="665">
                  <c:v>27-06-2023</c:v>
                </c:pt>
                <c:pt idx="666">
                  <c:v>28-06-2023</c:v>
                </c:pt>
                <c:pt idx="667">
                  <c:v>29-06-2023</c:v>
                </c:pt>
                <c:pt idx="668">
                  <c:v>30-06-2023</c:v>
                </c:pt>
                <c:pt idx="669">
                  <c:v>03-07-2023</c:v>
                </c:pt>
                <c:pt idx="670">
                  <c:v>05-07-2023</c:v>
                </c:pt>
                <c:pt idx="671">
                  <c:v>06-07-2023</c:v>
                </c:pt>
                <c:pt idx="672">
                  <c:v>07-07-2023</c:v>
                </c:pt>
                <c:pt idx="673">
                  <c:v>10-07-2023</c:v>
                </c:pt>
                <c:pt idx="674">
                  <c:v>11-07-2023</c:v>
                </c:pt>
                <c:pt idx="675">
                  <c:v>12-07-2023</c:v>
                </c:pt>
                <c:pt idx="676">
                  <c:v>13-07-2023</c:v>
                </c:pt>
                <c:pt idx="677">
                  <c:v>14-07-2023</c:v>
                </c:pt>
                <c:pt idx="678">
                  <c:v>17-07-2023</c:v>
                </c:pt>
                <c:pt idx="679">
                  <c:v>18-07-2023</c:v>
                </c:pt>
                <c:pt idx="680">
                  <c:v>19-07-2023</c:v>
                </c:pt>
                <c:pt idx="681">
                  <c:v>20-07-2023</c:v>
                </c:pt>
                <c:pt idx="682">
                  <c:v>21-07-2023</c:v>
                </c:pt>
                <c:pt idx="683">
                  <c:v>24-07-2023</c:v>
                </c:pt>
                <c:pt idx="684">
                  <c:v>25-07-2023</c:v>
                </c:pt>
                <c:pt idx="685">
                  <c:v>26-07-2023</c:v>
                </c:pt>
                <c:pt idx="686">
                  <c:v>27-07-2023</c:v>
                </c:pt>
                <c:pt idx="687">
                  <c:v>28-07-2023</c:v>
                </c:pt>
                <c:pt idx="688">
                  <c:v>31-07-2023</c:v>
                </c:pt>
                <c:pt idx="689">
                  <c:v>01-08-2023</c:v>
                </c:pt>
                <c:pt idx="690">
                  <c:v>02-08-2023</c:v>
                </c:pt>
                <c:pt idx="691">
                  <c:v>03-08-2023</c:v>
                </c:pt>
                <c:pt idx="692">
                  <c:v>04-08-2023</c:v>
                </c:pt>
                <c:pt idx="693">
                  <c:v>07-08-2023</c:v>
                </c:pt>
                <c:pt idx="694">
                  <c:v>08-08-2023</c:v>
                </c:pt>
                <c:pt idx="695">
                  <c:v>09-08-2023</c:v>
                </c:pt>
                <c:pt idx="696">
                  <c:v>10-08-2023</c:v>
                </c:pt>
                <c:pt idx="697">
                  <c:v>11-08-2023</c:v>
                </c:pt>
                <c:pt idx="698">
                  <c:v>14-08-2023</c:v>
                </c:pt>
                <c:pt idx="699">
                  <c:v>15-08-2023</c:v>
                </c:pt>
                <c:pt idx="700">
                  <c:v>16-08-2023</c:v>
                </c:pt>
                <c:pt idx="701">
                  <c:v>17-08-2023</c:v>
                </c:pt>
                <c:pt idx="702">
                  <c:v>18-08-2023</c:v>
                </c:pt>
                <c:pt idx="703">
                  <c:v>21-08-2023</c:v>
                </c:pt>
                <c:pt idx="704">
                  <c:v>22-08-2023</c:v>
                </c:pt>
                <c:pt idx="705">
                  <c:v>23-08-2023</c:v>
                </c:pt>
                <c:pt idx="706">
                  <c:v>24-08-2023</c:v>
                </c:pt>
                <c:pt idx="707">
                  <c:v>25-08-2023</c:v>
                </c:pt>
                <c:pt idx="708">
                  <c:v>28-08-2023</c:v>
                </c:pt>
                <c:pt idx="709">
                  <c:v>29-08-2023</c:v>
                </c:pt>
                <c:pt idx="710">
                  <c:v>30-08-2023</c:v>
                </c:pt>
                <c:pt idx="711">
                  <c:v>31-08-2023</c:v>
                </c:pt>
                <c:pt idx="712">
                  <c:v>01-09-2023</c:v>
                </c:pt>
                <c:pt idx="713">
                  <c:v>05-09-2023</c:v>
                </c:pt>
                <c:pt idx="714">
                  <c:v>06-09-2023</c:v>
                </c:pt>
                <c:pt idx="715">
                  <c:v>07-09-2023</c:v>
                </c:pt>
                <c:pt idx="716">
                  <c:v>08-09-2023</c:v>
                </c:pt>
                <c:pt idx="717">
                  <c:v>11-09-2023</c:v>
                </c:pt>
                <c:pt idx="718">
                  <c:v>12-09-2023</c:v>
                </c:pt>
                <c:pt idx="719">
                  <c:v>13-09-2023</c:v>
                </c:pt>
                <c:pt idx="720">
                  <c:v>14-09-2023</c:v>
                </c:pt>
                <c:pt idx="721">
                  <c:v>15-09-2023</c:v>
                </c:pt>
                <c:pt idx="722">
                  <c:v>18-09-2023</c:v>
                </c:pt>
                <c:pt idx="723">
                  <c:v>19-09-2023</c:v>
                </c:pt>
                <c:pt idx="724">
                  <c:v>20-09-2023</c:v>
                </c:pt>
                <c:pt idx="725">
                  <c:v>21-09-2023</c:v>
                </c:pt>
                <c:pt idx="726">
                  <c:v>22-09-2023</c:v>
                </c:pt>
                <c:pt idx="727">
                  <c:v>25-09-2023</c:v>
                </c:pt>
                <c:pt idx="728">
                  <c:v>26-09-2023</c:v>
                </c:pt>
                <c:pt idx="729">
                  <c:v>27-09-2023</c:v>
                </c:pt>
                <c:pt idx="730">
                  <c:v>28-09-2023</c:v>
                </c:pt>
                <c:pt idx="731">
                  <c:v>29-09-2023</c:v>
                </c:pt>
                <c:pt idx="732">
                  <c:v>02-10-2023</c:v>
                </c:pt>
                <c:pt idx="733">
                  <c:v>03-10-2023</c:v>
                </c:pt>
                <c:pt idx="734">
                  <c:v>04-10-2023</c:v>
                </c:pt>
                <c:pt idx="735">
                  <c:v>05-10-2023</c:v>
                </c:pt>
                <c:pt idx="736">
                  <c:v>06-10-2023</c:v>
                </c:pt>
                <c:pt idx="737">
                  <c:v>09-10-2023</c:v>
                </c:pt>
                <c:pt idx="738">
                  <c:v>10-10-2023</c:v>
                </c:pt>
                <c:pt idx="739">
                  <c:v>11-10-2023</c:v>
                </c:pt>
                <c:pt idx="740">
                  <c:v>12-10-2023</c:v>
                </c:pt>
                <c:pt idx="741">
                  <c:v>13-10-2023</c:v>
                </c:pt>
                <c:pt idx="742">
                  <c:v>16-10-2023</c:v>
                </c:pt>
                <c:pt idx="743">
                  <c:v>17-10-2023</c:v>
                </c:pt>
                <c:pt idx="744">
                  <c:v>18-10-2023</c:v>
                </c:pt>
                <c:pt idx="745">
                  <c:v>19-10-2023</c:v>
                </c:pt>
                <c:pt idx="746">
                  <c:v>20-10-2023</c:v>
                </c:pt>
                <c:pt idx="747">
                  <c:v>23-10-2023</c:v>
                </c:pt>
                <c:pt idx="748">
                  <c:v>24-10-2023</c:v>
                </c:pt>
                <c:pt idx="749">
                  <c:v>25-10-2023</c:v>
                </c:pt>
                <c:pt idx="750">
                  <c:v>26-10-2023</c:v>
                </c:pt>
                <c:pt idx="751">
                  <c:v>27-10-2023</c:v>
                </c:pt>
                <c:pt idx="752">
                  <c:v>30-10-2023</c:v>
                </c:pt>
                <c:pt idx="753">
                  <c:v>31-10-2023</c:v>
                </c:pt>
                <c:pt idx="754">
                  <c:v>01-11-2023</c:v>
                </c:pt>
                <c:pt idx="755">
                  <c:v>02-11-2023</c:v>
                </c:pt>
                <c:pt idx="756">
                  <c:v>03-11-2023</c:v>
                </c:pt>
                <c:pt idx="757">
                  <c:v>06-11-2023</c:v>
                </c:pt>
                <c:pt idx="758">
                  <c:v>07-11-2023</c:v>
                </c:pt>
                <c:pt idx="759">
                  <c:v>08-11-2023</c:v>
                </c:pt>
                <c:pt idx="760">
                  <c:v>09-11-2023</c:v>
                </c:pt>
                <c:pt idx="761">
                  <c:v>10-11-2023</c:v>
                </c:pt>
                <c:pt idx="762">
                  <c:v>13-11-2023</c:v>
                </c:pt>
                <c:pt idx="763">
                  <c:v>14-11-2023</c:v>
                </c:pt>
                <c:pt idx="764">
                  <c:v>15-11-2023</c:v>
                </c:pt>
                <c:pt idx="765">
                  <c:v>16-11-2023</c:v>
                </c:pt>
                <c:pt idx="766">
                  <c:v>17-11-2023</c:v>
                </c:pt>
                <c:pt idx="767">
                  <c:v>20-11-2023</c:v>
                </c:pt>
                <c:pt idx="768">
                  <c:v>21-11-2023</c:v>
                </c:pt>
                <c:pt idx="769">
                  <c:v>22-11-2023</c:v>
                </c:pt>
                <c:pt idx="770">
                  <c:v>24-11-2023</c:v>
                </c:pt>
                <c:pt idx="771">
                  <c:v>27-11-2023</c:v>
                </c:pt>
                <c:pt idx="772">
                  <c:v>28-11-2023</c:v>
                </c:pt>
                <c:pt idx="773">
                  <c:v>29-11-2023</c:v>
                </c:pt>
                <c:pt idx="774">
                  <c:v>30-11-2023</c:v>
                </c:pt>
                <c:pt idx="775">
                  <c:v>01-12-2023</c:v>
                </c:pt>
                <c:pt idx="776">
                  <c:v>04-12-2023</c:v>
                </c:pt>
                <c:pt idx="777">
                  <c:v>05-12-2023</c:v>
                </c:pt>
                <c:pt idx="778">
                  <c:v>06-12-2023</c:v>
                </c:pt>
                <c:pt idx="779">
                  <c:v>07-12-2023</c:v>
                </c:pt>
                <c:pt idx="780">
                  <c:v>08-12-2023</c:v>
                </c:pt>
                <c:pt idx="781">
                  <c:v>11-12-2023</c:v>
                </c:pt>
                <c:pt idx="782">
                  <c:v>12-12-2023</c:v>
                </c:pt>
                <c:pt idx="783">
                  <c:v>13-12-2023</c:v>
                </c:pt>
                <c:pt idx="784">
                  <c:v>14-12-2023</c:v>
                </c:pt>
                <c:pt idx="785">
                  <c:v>15-12-2023</c:v>
                </c:pt>
                <c:pt idx="786">
                  <c:v>18-12-2023</c:v>
                </c:pt>
                <c:pt idx="787">
                  <c:v>19-12-2023</c:v>
                </c:pt>
                <c:pt idx="788">
                  <c:v>20-12-2023</c:v>
                </c:pt>
                <c:pt idx="789">
                  <c:v>21-12-2023</c:v>
                </c:pt>
                <c:pt idx="790">
                  <c:v>22-12-2023</c:v>
                </c:pt>
                <c:pt idx="791">
                  <c:v>26-12-2023</c:v>
                </c:pt>
                <c:pt idx="792">
                  <c:v>27-12-2023</c:v>
                </c:pt>
                <c:pt idx="793">
                  <c:v>28-12-2023</c:v>
                </c:pt>
                <c:pt idx="794">
                  <c:v>29-12-2023</c:v>
                </c:pt>
                <c:pt idx="795">
                  <c:v>02-01-2024</c:v>
                </c:pt>
                <c:pt idx="796">
                  <c:v>03-01-2024</c:v>
                </c:pt>
                <c:pt idx="797">
                  <c:v>04-01-2024</c:v>
                </c:pt>
                <c:pt idx="798">
                  <c:v>05-01-2024</c:v>
                </c:pt>
                <c:pt idx="799">
                  <c:v>08-01-2024</c:v>
                </c:pt>
                <c:pt idx="800">
                  <c:v>09-01-2024</c:v>
                </c:pt>
                <c:pt idx="801">
                  <c:v>10-01-2024</c:v>
                </c:pt>
                <c:pt idx="802">
                  <c:v>11-01-2024</c:v>
                </c:pt>
                <c:pt idx="803">
                  <c:v>12-01-2024</c:v>
                </c:pt>
                <c:pt idx="804">
                  <c:v>16-01-2024</c:v>
                </c:pt>
                <c:pt idx="805">
                  <c:v>17-01-2024</c:v>
                </c:pt>
                <c:pt idx="806">
                  <c:v>18-01-2024</c:v>
                </c:pt>
                <c:pt idx="807">
                  <c:v>19-01-2024</c:v>
                </c:pt>
                <c:pt idx="808">
                  <c:v>22-01-2024</c:v>
                </c:pt>
                <c:pt idx="809">
                  <c:v>23-01-2024</c:v>
                </c:pt>
                <c:pt idx="810">
                  <c:v>24-01-2024</c:v>
                </c:pt>
                <c:pt idx="811">
                  <c:v>25-01-2024</c:v>
                </c:pt>
                <c:pt idx="812">
                  <c:v>26-01-2024</c:v>
                </c:pt>
                <c:pt idx="813">
                  <c:v>29-01-2024</c:v>
                </c:pt>
                <c:pt idx="814">
                  <c:v>30-01-2024</c:v>
                </c:pt>
                <c:pt idx="815">
                  <c:v>31-01-2024</c:v>
                </c:pt>
                <c:pt idx="816">
                  <c:v>01-02-2024</c:v>
                </c:pt>
                <c:pt idx="817">
                  <c:v>02-02-2024</c:v>
                </c:pt>
                <c:pt idx="818">
                  <c:v>05-02-2024</c:v>
                </c:pt>
                <c:pt idx="819">
                  <c:v>06-02-2024</c:v>
                </c:pt>
                <c:pt idx="820">
                  <c:v>07-02-2024</c:v>
                </c:pt>
                <c:pt idx="821">
                  <c:v>08-02-2024</c:v>
                </c:pt>
                <c:pt idx="822">
                  <c:v>09-02-2024</c:v>
                </c:pt>
                <c:pt idx="823">
                  <c:v>12-02-2024</c:v>
                </c:pt>
                <c:pt idx="824">
                  <c:v>13-02-2024</c:v>
                </c:pt>
                <c:pt idx="825">
                  <c:v>14-02-2024</c:v>
                </c:pt>
                <c:pt idx="826">
                  <c:v>15-02-2024</c:v>
                </c:pt>
                <c:pt idx="827">
                  <c:v>16-02-2024</c:v>
                </c:pt>
                <c:pt idx="828">
                  <c:v>20-02-2024</c:v>
                </c:pt>
                <c:pt idx="829">
                  <c:v>21-02-2024</c:v>
                </c:pt>
                <c:pt idx="830">
                  <c:v>22-02-2024</c:v>
                </c:pt>
                <c:pt idx="831">
                  <c:v>23-02-2024</c:v>
                </c:pt>
                <c:pt idx="832">
                  <c:v>26-02-2024</c:v>
                </c:pt>
                <c:pt idx="833">
                  <c:v>27-02-2024</c:v>
                </c:pt>
                <c:pt idx="834">
                  <c:v>28-02-2024</c:v>
                </c:pt>
                <c:pt idx="835">
                  <c:v>29-02-2024</c:v>
                </c:pt>
                <c:pt idx="836">
                  <c:v>01-03-2024</c:v>
                </c:pt>
                <c:pt idx="837">
                  <c:v>04-03-2024</c:v>
                </c:pt>
                <c:pt idx="838">
                  <c:v>05-03-2024</c:v>
                </c:pt>
                <c:pt idx="839">
                  <c:v>06-03-2024</c:v>
                </c:pt>
                <c:pt idx="840">
                  <c:v>07-03-2024</c:v>
                </c:pt>
                <c:pt idx="841">
                  <c:v>08-03-2024</c:v>
                </c:pt>
                <c:pt idx="842">
                  <c:v>11-03-2024</c:v>
                </c:pt>
                <c:pt idx="843">
                  <c:v>12-03-2024</c:v>
                </c:pt>
                <c:pt idx="844">
                  <c:v>13-03-2024</c:v>
                </c:pt>
                <c:pt idx="845">
                  <c:v>14-03-2024</c:v>
                </c:pt>
                <c:pt idx="846">
                  <c:v>15-03-2024</c:v>
                </c:pt>
                <c:pt idx="847">
                  <c:v>18-03-2024</c:v>
                </c:pt>
                <c:pt idx="848">
                  <c:v>19-03-2024</c:v>
                </c:pt>
                <c:pt idx="849">
                  <c:v>20-03-2024</c:v>
                </c:pt>
                <c:pt idx="850">
                  <c:v>21-03-2024</c:v>
                </c:pt>
                <c:pt idx="851">
                  <c:v>22-03-2024</c:v>
                </c:pt>
                <c:pt idx="852">
                  <c:v>25-03-2024</c:v>
                </c:pt>
                <c:pt idx="853">
                  <c:v>26-03-2024</c:v>
                </c:pt>
                <c:pt idx="854">
                  <c:v>27-03-2024</c:v>
                </c:pt>
                <c:pt idx="855">
                  <c:v>28-03-2024</c:v>
                </c:pt>
                <c:pt idx="856">
                  <c:v>01-04-2024</c:v>
                </c:pt>
                <c:pt idx="857">
                  <c:v>02-04-2024</c:v>
                </c:pt>
                <c:pt idx="858">
                  <c:v>03-04-2024</c:v>
                </c:pt>
                <c:pt idx="859">
                  <c:v>04-04-2024</c:v>
                </c:pt>
                <c:pt idx="860">
                  <c:v>05-04-2024</c:v>
                </c:pt>
                <c:pt idx="861">
                  <c:v>08-04-2024</c:v>
                </c:pt>
                <c:pt idx="862">
                  <c:v>09-04-2024</c:v>
                </c:pt>
                <c:pt idx="863">
                  <c:v>10-04-2024</c:v>
                </c:pt>
                <c:pt idx="864">
                  <c:v>11-04-2024</c:v>
                </c:pt>
                <c:pt idx="865">
                  <c:v>12-04-2024</c:v>
                </c:pt>
                <c:pt idx="866">
                  <c:v>15-04-2024</c:v>
                </c:pt>
                <c:pt idx="867">
                  <c:v>16-04-2024</c:v>
                </c:pt>
                <c:pt idx="868">
                  <c:v>17-04-2024</c:v>
                </c:pt>
                <c:pt idx="869">
                  <c:v>18-04-2024</c:v>
                </c:pt>
                <c:pt idx="870">
                  <c:v>19-04-2024</c:v>
                </c:pt>
                <c:pt idx="871">
                  <c:v>22-04-2024</c:v>
                </c:pt>
                <c:pt idx="872">
                  <c:v>23-04-2024</c:v>
                </c:pt>
                <c:pt idx="873">
                  <c:v>24-04-2024</c:v>
                </c:pt>
                <c:pt idx="874">
                  <c:v>25-04-2024</c:v>
                </c:pt>
                <c:pt idx="875">
                  <c:v>26-04-2024</c:v>
                </c:pt>
                <c:pt idx="876">
                  <c:v>29-04-2024</c:v>
                </c:pt>
                <c:pt idx="877">
                  <c:v>30-04-2024</c:v>
                </c:pt>
                <c:pt idx="878">
                  <c:v>01-05-2024</c:v>
                </c:pt>
                <c:pt idx="879">
                  <c:v>02-05-2024</c:v>
                </c:pt>
                <c:pt idx="880">
                  <c:v>03-05-2024</c:v>
                </c:pt>
                <c:pt idx="881">
                  <c:v>06-05-2024</c:v>
                </c:pt>
                <c:pt idx="882">
                  <c:v>07-05-2024</c:v>
                </c:pt>
                <c:pt idx="883">
                  <c:v>08-05-2024</c:v>
                </c:pt>
                <c:pt idx="884">
                  <c:v>09-05-2024</c:v>
                </c:pt>
                <c:pt idx="885">
                  <c:v>10-05-2024</c:v>
                </c:pt>
                <c:pt idx="886">
                  <c:v>13-05-2024</c:v>
                </c:pt>
                <c:pt idx="887">
                  <c:v>14-05-2024</c:v>
                </c:pt>
                <c:pt idx="888">
                  <c:v>15-05-2024</c:v>
                </c:pt>
                <c:pt idx="889">
                  <c:v>16-05-2024</c:v>
                </c:pt>
                <c:pt idx="890">
                  <c:v>17-05-2024</c:v>
                </c:pt>
                <c:pt idx="891">
                  <c:v>20-05-2024</c:v>
                </c:pt>
                <c:pt idx="892">
                  <c:v>21-05-2024</c:v>
                </c:pt>
                <c:pt idx="893">
                  <c:v>22-05-2024</c:v>
                </c:pt>
                <c:pt idx="894">
                  <c:v>23-05-2024</c:v>
                </c:pt>
                <c:pt idx="895">
                  <c:v>24-05-2024</c:v>
                </c:pt>
                <c:pt idx="896">
                  <c:v>28-05-2024</c:v>
                </c:pt>
                <c:pt idx="897">
                  <c:v>29-05-2024</c:v>
                </c:pt>
                <c:pt idx="898">
                  <c:v>30-05-2024</c:v>
                </c:pt>
                <c:pt idx="899">
                  <c:v>31-05-2024</c:v>
                </c:pt>
                <c:pt idx="900">
                  <c:v>03-06-2024</c:v>
                </c:pt>
                <c:pt idx="901">
                  <c:v>04-06-2024</c:v>
                </c:pt>
                <c:pt idx="902">
                  <c:v>05-06-2024</c:v>
                </c:pt>
                <c:pt idx="903">
                  <c:v>06-06-2024</c:v>
                </c:pt>
                <c:pt idx="904">
                  <c:v>07-06-2024</c:v>
                </c:pt>
                <c:pt idx="905">
                  <c:v>10-06-2024</c:v>
                </c:pt>
                <c:pt idx="906">
                  <c:v>11-06-2024</c:v>
                </c:pt>
                <c:pt idx="907">
                  <c:v>12-06-2024</c:v>
                </c:pt>
                <c:pt idx="908">
                  <c:v>13-06-2024</c:v>
                </c:pt>
                <c:pt idx="909">
                  <c:v>14-06-2024</c:v>
                </c:pt>
                <c:pt idx="910">
                  <c:v>17-06-2024</c:v>
                </c:pt>
                <c:pt idx="911">
                  <c:v>18-06-2024</c:v>
                </c:pt>
                <c:pt idx="912">
                  <c:v>20-06-2024</c:v>
                </c:pt>
                <c:pt idx="913">
                  <c:v>21-06-2024</c:v>
                </c:pt>
                <c:pt idx="914">
                  <c:v>24-06-2024</c:v>
                </c:pt>
                <c:pt idx="915">
                  <c:v>25-06-2024</c:v>
                </c:pt>
                <c:pt idx="916">
                  <c:v>26-06-2024</c:v>
                </c:pt>
                <c:pt idx="917">
                  <c:v>27-06-2024</c:v>
                </c:pt>
                <c:pt idx="918">
                  <c:v>28-06-2024</c:v>
                </c:pt>
                <c:pt idx="919">
                  <c:v>01-07-2024</c:v>
                </c:pt>
                <c:pt idx="920">
                  <c:v>02-07-2024</c:v>
                </c:pt>
                <c:pt idx="921">
                  <c:v>03-07-2024</c:v>
                </c:pt>
                <c:pt idx="922">
                  <c:v>05-07-2024</c:v>
                </c:pt>
                <c:pt idx="923">
                  <c:v>08-07-2024</c:v>
                </c:pt>
                <c:pt idx="924">
                  <c:v>09-07-2024</c:v>
                </c:pt>
                <c:pt idx="925">
                  <c:v>10-07-2024</c:v>
                </c:pt>
                <c:pt idx="926">
                  <c:v>11-07-2024</c:v>
                </c:pt>
                <c:pt idx="927">
                  <c:v>12-07-2024</c:v>
                </c:pt>
                <c:pt idx="928">
                  <c:v>15-07-2024</c:v>
                </c:pt>
                <c:pt idx="929">
                  <c:v>16-07-2024</c:v>
                </c:pt>
                <c:pt idx="930">
                  <c:v>17-07-2024</c:v>
                </c:pt>
                <c:pt idx="931">
                  <c:v>18-07-2024</c:v>
                </c:pt>
                <c:pt idx="932">
                  <c:v>19-07-2024</c:v>
                </c:pt>
                <c:pt idx="933">
                  <c:v>22-07-2024</c:v>
                </c:pt>
                <c:pt idx="934">
                  <c:v>23-07-2024</c:v>
                </c:pt>
                <c:pt idx="935">
                  <c:v>24-07-2024</c:v>
                </c:pt>
                <c:pt idx="936">
                  <c:v>25-07-2024</c:v>
                </c:pt>
                <c:pt idx="937">
                  <c:v>26-07-2024</c:v>
                </c:pt>
                <c:pt idx="938">
                  <c:v>29-07-2024</c:v>
                </c:pt>
                <c:pt idx="939">
                  <c:v>30-07-2024</c:v>
                </c:pt>
                <c:pt idx="940">
                  <c:v>31-07-2024</c:v>
                </c:pt>
                <c:pt idx="941">
                  <c:v>01-08-2024</c:v>
                </c:pt>
                <c:pt idx="942">
                  <c:v>02-08-2024</c:v>
                </c:pt>
                <c:pt idx="943">
                  <c:v>05-08-2024</c:v>
                </c:pt>
                <c:pt idx="944">
                  <c:v>06-08-2024</c:v>
                </c:pt>
                <c:pt idx="945">
                  <c:v>07-08-2024</c:v>
                </c:pt>
                <c:pt idx="946">
                  <c:v>08-08-2024</c:v>
                </c:pt>
                <c:pt idx="947">
                  <c:v>09-08-2024</c:v>
                </c:pt>
                <c:pt idx="948">
                  <c:v>12-08-2024</c:v>
                </c:pt>
                <c:pt idx="949">
                  <c:v>13-08-2024</c:v>
                </c:pt>
                <c:pt idx="950">
                  <c:v>14-08-2024</c:v>
                </c:pt>
                <c:pt idx="951">
                  <c:v>15-08-2024</c:v>
                </c:pt>
                <c:pt idx="952">
                  <c:v>16-08-2024</c:v>
                </c:pt>
                <c:pt idx="953">
                  <c:v>19-08-2024</c:v>
                </c:pt>
                <c:pt idx="954">
                  <c:v>20-08-2024</c:v>
                </c:pt>
                <c:pt idx="955">
                  <c:v>21-08-2024</c:v>
                </c:pt>
                <c:pt idx="956">
                  <c:v>22-08-2024</c:v>
                </c:pt>
                <c:pt idx="957">
                  <c:v>23-08-2024</c:v>
                </c:pt>
                <c:pt idx="958">
                  <c:v>26-08-2024</c:v>
                </c:pt>
                <c:pt idx="959">
                  <c:v>27-08-2024</c:v>
                </c:pt>
                <c:pt idx="960">
                  <c:v>28-08-2024</c:v>
                </c:pt>
                <c:pt idx="961">
                  <c:v>29-08-2024</c:v>
                </c:pt>
                <c:pt idx="962">
                  <c:v>30-08-2024</c:v>
                </c:pt>
                <c:pt idx="963">
                  <c:v>03-09-2024</c:v>
                </c:pt>
                <c:pt idx="964">
                  <c:v>04-09-2024</c:v>
                </c:pt>
                <c:pt idx="965">
                  <c:v>05-09-2024</c:v>
                </c:pt>
                <c:pt idx="966">
                  <c:v>06-09-2024</c:v>
                </c:pt>
                <c:pt idx="967">
                  <c:v>09-09-2024</c:v>
                </c:pt>
                <c:pt idx="968">
                  <c:v>10-09-2024</c:v>
                </c:pt>
                <c:pt idx="969">
                  <c:v>11-09-2024</c:v>
                </c:pt>
                <c:pt idx="970">
                  <c:v>12-09-2024</c:v>
                </c:pt>
                <c:pt idx="971">
                  <c:v>13-09-2024</c:v>
                </c:pt>
                <c:pt idx="972">
                  <c:v>16-09-2024</c:v>
                </c:pt>
                <c:pt idx="973">
                  <c:v>17-09-2024</c:v>
                </c:pt>
                <c:pt idx="974">
                  <c:v>18-09-2024</c:v>
                </c:pt>
                <c:pt idx="975">
                  <c:v>19-09-2024</c:v>
                </c:pt>
                <c:pt idx="976">
                  <c:v>20-09-2024</c:v>
                </c:pt>
                <c:pt idx="977">
                  <c:v>23-09-2024</c:v>
                </c:pt>
                <c:pt idx="978">
                  <c:v>24-09-2024</c:v>
                </c:pt>
                <c:pt idx="979">
                  <c:v>25-09-2024</c:v>
                </c:pt>
                <c:pt idx="980">
                  <c:v>26-09-2024</c:v>
                </c:pt>
                <c:pt idx="981">
                  <c:v>27-09-2024</c:v>
                </c:pt>
                <c:pt idx="982">
                  <c:v>30-09-2024</c:v>
                </c:pt>
                <c:pt idx="983">
                  <c:v>01-10-2024</c:v>
                </c:pt>
                <c:pt idx="984">
                  <c:v>02-10-2024</c:v>
                </c:pt>
                <c:pt idx="985">
                  <c:v>03-10-2024</c:v>
                </c:pt>
                <c:pt idx="986">
                  <c:v>04-10-2024</c:v>
                </c:pt>
                <c:pt idx="987">
                  <c:v>07-10-2024</c:v>
                </c:pt>
                <c:pt idx="988">
                  <c:v>08-10-2024</c:v>
                </c:pt>
                <c:pt idx="989">
                  <c:v>09-10-2024</c:v>
                </c:pt>
                <c:pt idx="990">
                  <c:v>10-10-2024</c:v>
                </c:pt>
                <c:pt idx="991">
                  <c:v>11-10-2024</c:v>
                </c:pt>
                <c:pt idx="992">
                  <c:v>14-10-2024</c:v>
                </c:pt>
                <c:pt idx="993">
                  <c:v>15-10-2024</c:v>
                </c:pt>
                <c:pt idx="994">
                  <c:v>16-10-2024</c:v>
                </c:pt>
                <c:pt idx="995">
                  <c:v>17-10-2024</c:v>
                </c:pt>
                <c:pt idx="996">
                  <c:v>18-10-2024</c:v>
                </c:pt>
                <c:pt idx="997">
                  <c:v>21-10-2024</c:v>
                </c:pt>
                <c:pt idx="998">
                  <c:v>22-10-2024</c:v>
                </c:pt>
                <c:pt idx="999">
                  <c:v>23-10-2024</c:v>
                </c:pt>
                <c:pt idx="1000">
                  <c:v>24-10-2024</c:v>
                </c:pt>
                <c:pt idx="1001">
                  <c:v>25-10-2024</c:v>
                </c:pt>
                <c:pt idx="1002">
                  <c:v>28-10-2024</c:v>
                </c:pt>
                <c:pt idx="1003">
                  <c:v>29-10-2024</c:v>
                </c:pt>
                <c:pt idx="1004">
                  <c:v>30-10-2024</c:v>
                </c:pt>
                <c:pt idx="1005">
                  <c:v>31-10-2024</c:v>
                </c:pt>
                <c:pt idx="1006">
                  <c:v>01-11-2024</c:v>
                </c:pt>
                <c:pt idx="1007">
                  <c:v>04-11-2024</c:v>
                </c:pt>
                <c:pt idx="1008">
                  <c:v>05-11-2024</c:v>
                </c:pt>
                <c:pt idx="1009">
                  <c:v>06-11-2024</c:v>
                </c:pt>
                <c:pt idx="1010">
                  <c:v>07-11-2024</c:v>
                </c:pt>
                <c:pt idx="1011">
                  <c:v>08-11-2024</c:v>
                </c:pt>
                <c:pt idx="1012">
                  <c:v>11-11-2024</c:v>
                </c:pt>
                <c:pt idx="1013">
                  <c:v>12-11-2024</c:v>
                </c:pt>
                <c:pt idx="1014">
                  <c:v>13-11-2024</c:v>
                </c:pt>
                <c:pt idx="1015">
                  <c:v>14-11-2024</c:v>
                </c:pt>
                <c:pt idx="1016">
                  <c:v>15-11-2024</c:v>
                </c:pt>
                <c:pt idx="1017">
                  <c:v>18-11-2024</c:v>
                </c:pt>
                <c:pt idx="1018">
                  <c:v>19-11-2024</c:v>
                </c:pt>
                <c:pt idx="1019">
                  <c:v>20-11-2024</c:v>
                </c:pt>
                <c:pt idx="1020">
                  <c:v>21-11-2024</c:v>
                </c:pt>
                <c:pt idx="1021">
                  <c:v>22-11-2024</c:v>
                </c:pt>
                <c:pt idx="1022">
                  <c:v>25-11-2024</c:v>
                </c:pt>
                <c:pt idx="1023">
                  <c:v>26-11-2024</c:v>
                </c:pt>
                <c:pt idx="1024">
                  <c:v>27-11-2024</c:v>
                </c:pt>
                <c:pt idx="1025">
                  <c:v>29-11-2024</c:v>
                </c:pt>
                <c:pt idx="1026">
                  <c:v>02-12-2024</c:v>
                </c:pt>
                <c:pt idx="1027">
                  <c:v>03-12-2024</c:v>
                </c:pt>
                <c:pt idx="1028">
                  <c:v>04-12-2024</c:v>
                </c:pt>
                <c:pt idx="1029">
                  <c:v>05-12-2024</c:v>
                </c:pt>
                <c:pt idx="1030">
                  <c:v>06-12-2024</c:v>
                </c:pt>
                <c:pt idx="1031">
                  <c:v>09-12-2024</c:v>
                </c:pt>
                <c:pt idx="1032">
                  <c:v>10-12-2024</c:v>
                </c:pt>
                <c:pt idx="1033">
                  <c:v>11-12-2024</c:v>
                </c:pt>
                <c:pt idx="1034">
                  <c:v>12-12-2024</c:v>
                </c:pt>
                <c:pt idx="1035">
                  <c:v>13-12-2024</c:v>
                </c:pt>
                <c:pt idx="1036">
                  <c:v>16-12-2024</c:v>
                </c:pt>
                <c:pt idx="1037">
                  <c:v>17-12-2024</c:v>
                </c:pt>
                <c:pt idx="1038">
                  <c:v>18-12-2024</c:v>
                </c:pt>
                <c:pt idx="1039">
                  <c:v>19-12-2024</c:v>
                </c:pt>
                <c:pt idx="1040">
                  <c:v>20-12-2024</c:v>
                </c:pt>
                <c:pt idx="1041">
                  <c:v>23-12-2024</c:v>
                </c:pt>
                <c:pt idx="1042">
                  <c:v>24-12-2024</c:v>
                </c:pt>
                <c:pt idx="1043">
                  <c:v>26-12-2024</c:v>
                </c:pt>
                <c:pt idx="1044">
                  <c:v>27-12-2024</c:v>
                </c:pt>
                <c:pt idx="1045">
                  <c:v>30-12-2024</c:v>
                </c:pt>
                <c:pt idx="1046">
                  <c:v>31-12-2024</c:v>
                </c:pt>
                <c:pt idx="1047">
                  <c:v>02-01-2025</c:v>
                </c:pt>
                <c:pt idx="1048">
                  <c:v>03-01-2025</c:v>
                </c:pt>
                <c:pt idx="1049">
                  <c:v>06-01-2025</c:v>
                </c:pt>
                <c:pt idx="1050">
                  <c:v>07-01-2025</c:v>
                </c:pt>
                <c:pt idx="1051">
                  <c:v>08-01-2025</c:v>
                </c:pt>
                <c:pt idx="1052">
                  <c:v>10-01-2025</c:v>
                </c:pt>
                <c:pt idx="1053">
                  <c:v>13-01-2025</c:v>
                </c:pt>
                <c:pt idx="1054">
                  <c:v>14-01-2025</c:v>
                </c:pt>
                <c:pt idx="1055">
                  <c:v>15-01-2025</c:v>
                </c:pt>
                <c:pt idx="1056">
                  <c:v>16-01-2025</c:v>
                </c:pt>
                <c:pt idx="1057">
                  <c:v>17-01-2025</c:v>
                </c:pt>
                <c:pt idx="1058">
                  <c:v>21-01-2025</c:v>
                </c:pt>
                <c:pt idx="1059">
                  <c:v>22-01-2025</c:v>
                </c:pt>
                <c:pt idx="1060">
                  <c:v>23-01-2025</c:v>
                </c:pt>
                <c:pt idx="1061">
                  <c:v>24-01-2025</c:v>
                </c:pt>
                <c:pt idx="1062">
                  <c:v>27-01-2025</c:v>
                </c:pt>
                <c:pt idx="1063">
                  <c:v>28-01-2025</c:v>
                </c:pt>
                <c:pt idx="1064">
                  <c:v>29-01-2025</c:v>
                </c:pt>
                <c:pt idx="1065">
                  <c:v>30-01-2025</c:v>
                </c:pt>
                <c:pt idx="1066">
                  <c:v>31-01-2025</c:v>
                </c:pt>
                <c:pt idx="1067">
                  <c:v>03-02-2025</c:v>
                </c:pt>
                <c:pt idx="1068">
                  <c:v>04-02-2025</c:v>
                </c:pt>
                <c:pt idx="1069">
                  <c:v>05-02-2025</c:v>
                </c:pt>
                <c:pt idx="1070">
                  <c:v>06-02-2025</c:v>
                </c:pt>
                <c:pt idx="1071">
                  <c:v>07-02-2025</c:v>
                </c:pt>
                <c:pt idx="1072">
                  <c:v>10-02-2025</c:v>
                </c:pt>
                <c:pt idx="1073">
                  <c:v>11-02-2025</c:v>
                </c:pt>
                <c:pt idx="1074">
                  <c:v>12-02-2025</c:v>
                </c:pt>
                <c:pt idx="1075">
                  <c:v>13-02-2025</c:v>
                </c:pt>
                <c:pt idx="1076">
                  <c:v>14-02-2025</c:v>
                </c:pt>
                <c:pt idx="1077">
                  <c:v>18-02-2025</c:v>
                </c:pt>
                <c:pt idx="1078">
                  <c:v>19-02-2025</c:v>
                </c:pt>
                <c:pt idx="1079">
                  <c:v>20-02-2025</c:v>
                </c:pt>
                <c:pt idx="1080">
                  <c:v>21-02-2025</c:v>
                </c:pt>
                <c:pt idx="1081">
                  <c:v>24-02-2025</c:v>
                </c:pt>
                <c:pt idx="1082">
                  <c:v>25-02-2025</c:v>
                </c:pt>
                <c:pt idx="1083">
                  <c:v>26-02-2025</c:v>
                </c:pt>
                <c:pt idx="1084">
                  <c:v>27-02-2025</c:v>
                </c:pt>
                <c:pt idx="1085">
                  <c:v>28-02-2025</c:v>
                </c:pt>
                <c:pt idx="1086">
                  <c:v>03-03-2025</c:v>
                </c:pt>
                <c:pt idx="1087">
                  <c:v>04-03-2025</c:v>
                </c:pt>
                <c:pt idx="1088">
                  <c:v>05-03-2025</c:v>
                </c:pt>
                <c:pt idx="1089">
                  <c:v>06-03-2025</c:v>
                </c:pt>
                <c:pt idx="1090">
                  <c:v>07-03-2025</c:v>
                </c:pt>
                <c:pt idx="1091">
                  <c:v>10-03-2025</c:v>
                </c:pt>
                <c:pt idx="1092">
                  <c:v>11-03-2025</c:v>
                </c:pt>
                <c:pt idx="1093">
                  <c:v>12-03-2025</c:v>
                </c:pt>
                <c:pt idx="1094">
                  <c:v>13-03-2025</c:v>
                </c:pt>
                <c:pt idx="1095">
                  <c:v>14-03-2025</c:v>
                </c:pt>
                <c:pt idx="1096">
                  <c:v>17-03-2025</c:v>
                </c:pt>
                <c:pt idx="1097">
                  <c:v>18-03-2025</c:v>
                </c:pt>
                <c:pt idx="1098">
                  <c:v>19-03-2025</c:v>
                </c:pt>
                <c:pt idx="1099">
                  <c:v>20-03-2025</c:v>
                </c:pt>
                <c:pt idx="1100">
                  <c:v>21-03-2025</c:v>
                </c:pt>
                <c:pt idx="1101">
                  <c:v>24-03-2025</c:v>
                </c:pt>
                <c:pt idx="1102">
                  <c:v>25-03-2025</c:v>
                </c:pt>
                <c:pt idx="1103">
                  <c:v>26-03-2025</c:v>
                </c:pt>
                <c:pt idx="1104">
                  <c:v>27-03-2025</c:v>
                </c:pt>
                <c:pt idx="1105">
                  <c:v>28-03-2025</c:v>
                </c:pt>
                <c:pt idx="1106">
                  <c:v>31-03-2025</c:v>
                </c:pt>
                <c:pt idx="1107">
                  <c:v>01-04-2025</c:v>
                </c:pt>
                <c:pt idx="1108">
                  <c:v>02-04-2025</c:v>
                </c:pt>
                <c:pt idx="1109">
                  <c:v>03-04-2025</c:v>
                </c:pt>
                <c:pt idx="1110">
                  <c:v>04-04-2025</c:v>
                </c:pt>
                <c:pt idx="1111">
                  <c:v>07-04-2025</c:v>
                </c:pt>
                <c:pt idx="1112">
                  <c:v>08-04-2025</c:v>
                </c:pt>
                <c:pt idx="1113">
                  <c:v>09-04-2025</c:v>
                </c:pt>
                <c:pt idx="1114">
                  <c:v>10-04-2025</c:v>
                </c:pt>
                <c:pt idx="1115">
                  <c:v>11-04-2025</c:v>
                </c:pt>
                <c:pt idx="1116">
                  <c:v>14-04-2025</c:v>
                </c:pt>
                <c:pt idx="1117">
                  <c:v>15-04-2025</c:v>
                </c:pt>
                <c:pt idx="1118">
                  <c:v>16-04-2025</c:v>
                </c:pt>
                <c:pt idx="1119">
                  <c:v>17-04-2025</c:v>
                </c:pt>
                <c:pt idx="1120">
                  <c:v>21-04-2025</c:v>
                </c:pt>
                <c:pt idx="1121">
                  <c:v>22-04-2025</c:v>
                </c:pt>
                <c:pt idx="1122">
                  <c:v>23-04-2025</c:v>
                </c:pt>
                <c:pt idx="1123">
                  <c:v>24-04-2025</c:v>
                </c:pt>
                <c:pt idx="1124">
                  <c:v>25-04-2025</c:v>
                </c:pt>
                <c:pt idx="1125">
                  <c:v>28-04-2025</c:v>
                </c:pt>
                <c:pt idx="1126">
                  <c:v>29-04-2025</c:v>
                </c:pt>
                <c:pt idx="1127">
                  <c:v>30-04-2025</c:v>
                </c:pt>
                <c:pt idx="1128">
                  <c:v>01-05-2025</c:v>
                </c:pt>
                <c:pt idx="1129">
                  <c:v>02-05-2025</c:v>
                </c:pt>
                <c:pt idx="1130">
                  <c:v>05-05-2025</c:v>
                </c:pt>
                <c:pt idx="1131">
                  <c:v>06-05-2025</c:v>
                </c:pt>
                <c:pt idx="1132">
                  <c:v>07-05-2025</c:v>
                </c:pt>
                <c:pt idx="1133">
                  <c:v>08-05-2025</c:v>
                </c:pt>
                <c:pt idx="1134">
                  <c:v>09-05-2025</c:v>
                </c:pt>
                <c:pt idx="1135">
                  <c:v>12-05-2025</c:v>
                </c:pt>
                <c:pt idx="1136">
                  <c:v>13-05-2025</c:v>
                </c:pt>
                <c:pt idx="1137">
                  <c:v>14-05-2025</c:v>
                </c:pt>
                <c:pt idx="1138">
                  <c:v>15-05-2025</c:v>
                </c:pt>
                <c:pt idx="1139">
                  <c:v>16-05-2025</c:v>
                </c:pt>
                <c:pt idx="1140">
                  <c:v>19-05-2025</c:v>
                </c:pt>
                <c:pt idx="1141">
                  <c:v>20-05-2025</c:v>
                </c:pt>
                <c:pt idx="1142">
                  <c:v>21-05-2025</c:v>
                </c:pt>
                <c:pt idx="1143">
                  <c:v>22-05-2025</c:v>
                </c:pt>
                <c:pt idx="1144">
                  <c:v>23-05-2025</c:v>
                </c:pt>
                <c:pt idx="1145">
                  <c:v>27-05-2025</c:v>
                </c:pt>
                <c:pt idx="1146">
                  <c:v>28-05-2025</c:v>
                </c:pt>
                <c:pt idx="1147">
                  <c:v>29-05-2025</c:v>
                </c:pt>
                <c:pt idx="1148">
                  <c:v>30-05-2025</c:v>
                </c:pt>
                <c:pt idx="1149">
                  <c:v>02-06-2025</c:v>
                </c:pt>
                <c:pt idx="1150">
                  <c:v>03-06-2025</c:v>
                </c:pt>
                <c:pt idx="1151">
                  <c:v>04-06-2025</c:v>
                </c:pt>
                <c:pt idx="1152">
                  <c:v>05-06-2025</c:v>
                </c:pt>
                <c:pt idx="1153">
                  <c:v>06-06-2025</c:v>
                </c:pt>
                <c:pt idx="1154">
                  <c:v>09-06-2025</c:v>
                </c:pt>
                <c:pt idx="1155">
                  <c:v>10-06-2025</c:v>
                </c:pt>
                <c:pt idx="1156">
                  <c:v>11-06-2025</c:v>
                </c:pt>
                <c:pt idx="1157">
                  <c:v>12-06-2025</c:v>
                </c:pt>
                <c:pt idx="1158">
                  <c:v>13-06-2025</c:v>
                </c:pt>
                <c:pt idx="1159">
                  <c:v>16-06-2025</c:v>
                </c:pt>
                <c:pt idx="1160">
                  <c:v>17-06-2025</c:v>
                </c:pt>
                <c:pt idx="1161">
                  <c:v>18-06-2025</c:v>
                </c:pt>
                <c:pt idx="1162">
                  <c:v>20-06-2025</c:v>
                </c:pt>
                <c:pt idx="1163">
                  <c:v>23-06-2025</c:v>
                </c:pt>
                <c:pt idx="1164">
                  <c:v>24-06-2025</c:v>
                </c:pt>
                <c:pt idx="1165">
                  <c:v>25-06-2025</c:v>
                </c:pt>
                <c:pt idx="1166">
                  <c:v>26-06-2025</c:v>
                </c:pt>
                <c:pt idx="1167">
                  <c:v>27-06-2025</c:v>
                </c:pt>
                <c:pt idx="1168">
                  <c:v>30-06-2025</c:v>
                </c:pt>
                <c:pt idx="1169">
                  <c:v>01-07-2025</c:v>
                </c:pt>
                <c:pt idx="1170">
                  <c:v>02-07-2025</c:v>
                </c:pt>
                <c:pt idx="1171">
                  <c:v>03-07-2025</c:v>
                </c:pt>
                <c:pt idx="1172">
                  <c:v>07-07-2025</c:v>
                </c:pt>
                <c:pt idx="1173">
                  <c:v>08-07-2025</c:v>
                </c:pt>
                <c:pt idx="1174">
                  <c:v>09-07-2025</c:v>
                </c:pt>
                <c:pt idx="1175">
                  <c:v>10-07-2025</c:v>
                </c:pt>
                <c:pt idx="1176">
                  <c:v>11-07-2025</c:v>
                </c:pt>
                <c:pt idx="1177">
                  <c:v>14-07-2025</c:v>
                </c:pt>
                <c:pt idx="1178">
                  <c:v>15-07-2025</c:v>
                </c:pt>
                <c:pt idx="1179">
                  <c:v>16-07-2025</c:v>
                </c:pt>
                <c:pt idx="1180">
                  <c:v>17-07-2025</c:v>
                </c:pt>
                <c:pt idx="1181">
                  <c:v>18-07-2025</c:v>
                </c:pt>
                <c:pt idx="1182">
                  <c:v>21-07-2025</c:v>
                </c:pt>
                <c:pt idx="1183">
                  <c:v>22-07-2025</c:v>
                </c:pt>
                <c:pt idx="1184">
                  <c:v>23-07-2025</c:v>
                </c:pt>
                <c:pt idx="1185">
                  <c:v>24-07-2025</c:v>
                </c:pt>
                <c:pt idx="1186">
                  <c:v>25-07-2025</c:v>
                </c:pt>
                <c:pt idx="1187">
                  <c:v>28-07-2025</c:v>
                </c:pt>
                <c:pt idx="1188">
                  <c:v>29-07-2025</c:v>
                </c:pt>
                <c:pt idx="1189">
                  <c:v>30-07-2025</c:v>
                </c:pt>
                <c:pt idx="1190">
                  <c:v>31-07-2025</c:v>
                </c:pt>
                <c:pt idx="1191">
                  <c:v>01-08-2025</c:v>
                </c:pt>
                <c:pt idx="1192">
                  <c:v>04-08-2025</c:v>
                </c:pt>
                <c:pt idx="1193">
                  <c:v>05-08-2025</c:v>
                </c:pt>
                <c:pt idx="1194">
                  <c:v>06-08-2025</c:v>
                </c:pt>
                <c:pt idx="1195">
                  <c:v>07-08-2025</c:v>
                </c:pt>
                <c:pt idx="1196">
                  <c:v>08-08-2025</c:v>
                </c:pt>
                <c:pt idx="1197">
                  <c:v>11-08-2025</c:v>
                </c:pt>
                <c:pt idx="1198">
                  <c:v>12-08-2025</c:v>
                </c:pt>
                <c:pt idx="1199">
                  <c:v>13-08-2025</c:v>
                </c:pt>
                <c:pt idx="1200">
                  <c:v>14-08-2025</c:v>
                </c:pt>
                <c:pt idx="1201">
                  <c:v>15-08-2025</c:v>
                </c:pt>
                <c:pt idx="1202">
                  <c:v>18-08-2025</c:v>
                </c:pt>
                <c:pt idx="1203">
                  <c:v>19-08-2025</c:v>
                </c:pt>
                <c:pt idx="1204">
                  <c:v>20-08-2025</c:v>
                </c:pt>
                <c:pt idx="1205">
                  <c:v>21-08-2025</c:v>
                </c:pt>
                <c:pt idx="1206">
                  <c:v>22-08-2025</c:v>
                </c:pt>
                <c:pt idx="1207">
                  <c:v>25-08-2025</c:v>
                </c:pt>
                <c:pt idx="1208">
                  <c:v>26-08-2025</c:v>
                </c:pt>
                <c:pt idx="1209">
                  <c:v>27-08-2025</c:v>
                </c:pt>
                <c:pt idx="1210">
                  <c:v>28-08-2025</c:v>
                </c:pt>
                <c:pt idx="1211">
                  <c:v>29-08-2025</c:v>
                </c:pt>
                <c:pt idx="1212">
                  <c:v>02-09-2025</c:v>
                </c:pt>
                <c:pt idx="1213">
                  <c:v>03-09-2025</c:v>
                </c:pt>
                <c:pt idx="1214">
                  <c:v>04-09-2025</c:v>
                </c:pt>
                <c:pt idx="1215">
                  <c:v>05-09-2025</c:v>
                </c:pt>
                <c:pt idx="1216">
                  <c:v>08-09-2025</c:v>
                </c:pt>
                <c:pt idx="1217">
                  <c:v>09-09-2025</c:v>
                </c:pt>
                <c:pt idx="1218">
                  <c:v>10-09-2025</c:v>
                </c:pt>
                <c:pt idx="1219">
                  <c:v>11-09-2025</c:v>
                </c:pt>
                <c:pt idx="1220">
                  <c:v>12-09-2025</c:v>
                </c:pt>
                <c:pt idx="1221">
                  <c:v>15-09-2025</c:v>
                </c:pt>
                <c:pt idx="1222">
                  <c:v>16-09-2025</c:v>
                </c:pt>
                <c:pt idx="1223">
                  <c:v>17-09-2025</c:v>
                </c:pt>
                <c:pt idx="1224">
                  <c:v>18-09-2025</c:v>
                </c:pt>
                <c:pt idx="1225">
                  <c:v>19-09-2025</c:v>
                </c:pt>
                <c:pt idx="1226">
                  <c:v>22-09-2025</c:v>
                </c:pt>
                <c:pt idx="1227">
                  <c:v>23-09-2025</c:v>
                </c:pt>
                <c:pt idx="1228">
                  <c:v>24-09-2025</c:v>
                </c:pt>
                <c:pt idx="1229">
                  <c:v>25-09-2025</c:v>
                </c:pt>
                <c:pt idx="1230">
                  <c:v>26-09-2025</c:v>
                </c:pt>
                <c:pt idx="1231">
                  <c:v>29-09-2025</c:v>
                </c:pt>
                <c:pt idx="1232">
                  <c:v>30-09-2025</c:v>
                </c:pt>
                <c:pt idx="1233">
                  <c:v>01-10-2025</c:v>
                </c:pt>
                <c:pt idx="1234">
                  <c:v>02-10-2025</c:v>
                </c:pt>
                <c:pt idx="1235">
                  <c:v>03-10-2025</c:v>
                </c:pt>
                <c:pt idx="1236">
                  <c:v>06-10-2025</c:v>
                </c:pt>
                <c:pt idx="1237">
                  <c:v>07-10-2025</c:v>
                </c:pt>
                <c:pt idx="1238">
                  <c:v>08-10-2025</c:v>
                </c:pt>
                <c:pt idx="1239">
                  <c:v>09-10-2025</c:v>
                </c:pt>
                <c:pt idx="1240">
                  <c:v>10-10-2025</c:v>
                </c:pt>
                <c:pt idx="1241">
                  <c:v>13-10-2025</c:v>
                </c:pt>
                <c:pt idx="1242">
                  <c:v>14-10-2025</c:v>
                </c:pt>
                <c:pt idx="1243">
                  <c:v>15-10-2025</c:v>
                </c:pt>
                <c:pt idx="1244">
                  <c:v>16-10-2025</c:v>
                </c:pt>
                <c:pt idx="1245">
                  <c:v>17-10-2025</c:v>
                </c:pt>
                <c:pt idx="1246">
                  <c:v>20-10-2025</c:v>
                </c:pt>
                <c:pt idx="1247">
                  <c:v>21-10-2025</c:v>
                </c:pt>
                <c:pt idx="1248">
                  <c:v>22-10-2025</c:v>
                </c:pt>
                <c:pt idx="1249">
                  <c:v>23-10-2025</c:v>
                </c:pt>
                <c:pt idx="1250">
                  <c:v>24-10-2025</c:v>
                </c:pt>
                <c:pt idx="1251">
                  <c:v>27-10-2025</c:v>
                </c:pt>
                <c:pt idx="1252">
                  <c:v>28-10-2025</c:v>
                </c:pt>
                <c:pt idx="1253">
                  <c:v>29-10-2025</c:v>
                </c:pt>
                <c:pt idx="1254">
                  <c:v>30-10-2025</c:v>
                </c:pt>
                <c:pt idx="1255">
                  <c:v>31-10-2025</c:v>
                </c:pt>
              </c:strCache>
            </c:strRef>
          </c:cat>
          <c:val>
            <c:numRef>
              <c:f>'Close_Moving_Averages'!$I$4:$I$1260</c:f>
              <c:numCache>
                <c:formatCode>General</c:formatCode>
                <c:ptCount val="1256"/>
                <c:pt idx="49">
                  <c:v>364.30360000000002</c:v>
                </c:pt>
                <c:pt idx="50">
                  <c:v>365.2688</c:v>
                </c:pt>
                <c:pt idx="51">
                  <c:v>366.06220000000002</c:v>
                </c:pt>
                <c:pt idx="52">
                  <c:v>366.76440000000002</c:v>
                </c:pt>
                <c:pt idx="53">
                  <c:v>367.43740000000003</c:v>
                </c:pt>
                <c:pt idx="54">
                  <c:v>368.11900000000003</c:v>
                </c:pt>
                <c:pt idx="55">
                  <c:v>368.68540000000002</c:v>
                </c:pt>
                <c:pt idx="56">
                  <c:v>369.29239999999999</c:v>
                </c:pt>
                <c:pt idx="57">
                  <c:v>369.83479999999997</c:v>
                </c:pt>
                <c:pt idx="58">
                  <c:v>370.25880000000001</c:v>
                </c:pt>
                <c:pt idx="59">
                  <c:v>370.64940000000001</c:v>
                </c:pt>
                <c:pt idx="60">
                  <c:v>370.79939999999999</c:v>
                </c:pt>
                <c:pt idx="61">
                  <c:v>371.11160000000001</c:v>
                </c:pt>
                <c:pt idx="62">
                  <c:v>371.61700000000002</c:v>
                </c:pt>
                <c:pt idx="63">
                  <c:v>372.09840000000003</c:v>
                </c:pt>
                <c:pt idx="64">
                  <c:v>372.71559999999999</c:v>
                </c:pt>
                <c:pt idx="65">
                  <c:v>373.32060000000001</c:v>
                </c:pt>
                <c:pt idx="66">
                  <c:v>373.8664</c:v>
                </c:pt>
                <c:pt idx="67">
                  <c:v>374.41820000000001</c:v>
                </c:pt>
                <c:pt idx="68">
                  <c:v>374.94639999999998</c:v>
                </c:pt>
                <c:pt idx="69">
                  <c:v>375.51940000000002</c:v>
                </c:pt>
                <c:pt idx="70">
                  <c:v>376.05180000000001</c:v>
                </c:pt>
                <c:pt idx="71">
                  <c:v>376.56200000000001</c:v>
                </c:pt>
                <c:pt idx="72">
                  <c:v>377.07600000000002</c:v>
                </c:pt>
                <c:pt idx="73">
                  <c:v>377.49340000000001</c:v>
                </c:pt>
                <c:pt idx="74">
                  <c:v>377.91219999999998</c:v>
                </c:pt>
                <c:pt idx="75">
                  <c:v>378.24939999999998</c:v>
                </c:pt>
                <c:pt idx="76">
                  <c:v>378.66239999999999</c:v>
                </c:pt>
                <c:pt idx="77">
                  <c:v>379.16320000000002</c:v>
                </c:pt>
                <c:pt idx="78">
                  <c:v>379.48379999999997</c:v>
                </c:pt>
                <c:pt idx="79">
                  <c:v>379.7978</c:v>
                </c:pt>
                <c:pt idx="80">
                  <c:v>380.19760000000002</c:v>
                </c:pt>
                <c:pt idx="81">
                  <c:v>380.52499999999998</c:v>
                </c:pt>
                <c:pt idx="82">
                  <c:v>380.70859999999999</c:v>
                </c:pt>
                <c:pt idx="83">
                  <c:v>380.85899999999998</c:v>
                </c:pt>
                <c:pt idx="84">
                  <c:v>381.17439999999999</c:v>
                </c:pt>
                <c:pt idx="85">
                  <c:v>381.464</c:v>
                </c:pt>
                <c:pt idx="86">
                  <c:v>381.85599999999999</c:v>
                </c:pt>
                <c:pt idx="87">
                  <c:v>382.26760000000002</c:v>
                </c:pt>
                <c:pt idx="88">
                  <c:v>382.69479999999999</c:v>
                </c:pt>
                <c:pt idx="89">
                  <c:v>383.14679999999998</c:v>
                </c:pt>
                <c:pt idx="90">
                  <c:v>383.6352</c:v>
                </c:pt>
                <c:pt idx="91">
                  <c:v>384.07580000000002</c:v>
                </c:pt>
                <c:pt idx="92">
                  <c:v>384.64519999999999</c:v>
                </c:pt>
                <c:pt idx="93">
                  <c:v>385.04820000000001</c:v>
                </c:pt>
                <c:pt idx="94">
                  <c:v>385.36680000000001</c:v>
                </c:pt>
                <c:pt idx="95">
                  <c:v>385.63659999999999</c:v>
                </c:pt>
                <c:pt idx="96">
                  <c:v>385.8014</c:v>
                </c:pt>
                <c:pt idx="97">
                  <c:v>385.97800000000001</c:v>
                </c:pt>
                <c:pt idx="98">
                  <c:v>386.19659999999999</c:v>
                </c:pt>
                <c:pt idx="99">
                  <c:v>386.5204</c:v>
                </c:pt>
                <c:pt idx="100">
                  <c:v>386.86680000000001</c:v>
                </c:pt>
                <c:pt idx="101">
                  <c:v>387.24740000000003</c:v>
                </c:pt>
                <c:pt idx="102">
                  <c:v>387.601</c:v>
                </c:pt>
                <c:pt idx="103">
                  <c:v>387.93540000000002</c:v>
                </c:pt>
                <c:pt idx="104">
                  <c:v>388.37779999999998</c:v>
                </c:pt>
                <c:pt idx="105">
                  <c:v>388.8426</c:v>
                </c:pt>
                <c:pt idx="106">
                  <c:v>389.28660000000002</c:v>
                </c:pt>
                <c:pt idx="107">
                  <c:v>389.78120000000001</c:v>
                </c:pt>
                <c:pt idx="108">
                  <c:v>390.52280000000002</c:v>
                </c:pt>
                <c:pt idx="109">
                  <c:v>391.20299999999997</c:v>
                </c:pt>
                <c:pt idx="110">
                  <c:v>392.05880000000002</c:v>
                </c:pt>
                <c:pt idx="111">
                  <c:v>392.76319999999998</c:v>
                </c:pt>
                <c:pt idx="112">
                  <c:v>393.44959999999998</c:v>
                </c:pt>
                <c:pt idx="113">
                  <c:v>394.15780000000001</c:v>
                </c:pt>
                <c:pt idx="114">
                  <c:v>394.73820000000001</c:v>
                </c:pt>
                <c:pt idx="115">
                  <c:v>395.22739999999999</c:v>
                </c:pt>
                <c:pt idx="116">
                  <c:v>395.73860000000002</c:v>
                </c:pt>
                <c:pt idx="117">
                  <c:v>396.17899999999997</c:v>
                </c:pt>
                <c:pt idx="118">
                  <c:v>396.7122</c:v>
                </c:pt>
                <c:pt idx="119">
                  <c:v>397.25020000000001</c:v>
                </c:pt>
                <c:pt idx="120">
                  <c:v>397.74779999999998</c:v>
                </c:pt>
                <c:pt idx="121">
                  <c:v>398.24979999999999</c:v>
                </c:pt>
                <c:pt idx="122">
                  <c:v>398.8032</c:v>
                </c:pt>
                <c:pt idx="123">
                  <c:v>399.33479999999997</c:v>
                </c:pt>
                <c:pt idx="124">
                  <c:v>399.89819999999997</c:v>
                </c:pt>
                <c:pt idx="125">
                  <c:v>400.47</c:v>
                </c:pt>
                <c:pt idx="126">
                  <c:v>401.03500000000003</c:v>
                </c:pt>
                <c:pt idx="127">
                  <c:v>401.58100000000002</c:v>
                </c:pt>
                <c:pt idx="128">
                  <c:v>402.3768</c:v>
                </c:pt>
                <c:pt idx="129">
                  <c:v>403.1284</c:v>
                </c:pt>
                <c:pt idx="130">
                  <c:v>403.62099999999998</c:v>
                </c:pt>
                <c:pt idx="131">
                  <c:v>403.9984</c:v>
                </c:pt>
                <c:pt idx="132">
                  <c:v>404.57560000000001</c:v>
                </c:pt>
                <c:pt idx="133">
                  <c:v>405.3732</c:v>
                </c:pt>
                <c:pt idx="134">
                  <c:v>406.01100000000002</c:v>
                </c:pt>
                <c:pt idx="135">
                  <c:v>406.61540000000002</c:v>
                </c:pt>
                <c:pt idx="136">
                  <c:v>407.08920000000001</c:v>
                </c:pt>
                <c:pt idx="137">
                  <c:v>407.60320000000002</c:v>
                </c:pt>
                <c:pt idx="138">
                  <c:v>408.03140000000002</c:v>
                </c:pt>
                <c:pt idx="139">
                  <c:v>408.53359999999998</c:v>
                </c:pt>
                <c:pt idx="140">
                  <c:v>408.97019999999998</c:v>
                </c:pt>
                <c:pt idx="141">
                  <c:v>409.43340000000001</c:v>
                </c:pt>
                <c:pt idx="142">
                  <c:v>409.87400000000002</c:v>
                </c:pt>
                <c:pt idx="143">
                  <c:v>410.4452</c:v>
                </c:pt>
                <c:pt idx="144">
                  <c:v>411.04899999999998</c:v>
                </c:pt>
                <c:pt idx="145">
                  <c:v>411.60379999999998</c:v>
                </c:pt>
                <c:pt idx="146">
                  <c:v>412.18920000000003</c:v>
                </c:pt>
                <c:pt idx="147">
                  <c:v>412.89080000000001</c:v>
                </c:pt>
                <c:pt idx="148">
                  <c:v>413.54059999999998</c:v>
                </c:pt>
                <c:pt idx="149">
                  <c:v>414.06659999999999</c:v>
                </c:pt>
                <c:pt idx="150">
                  <c:v>414.584</c:v>
                </c:pt>
                <c:pt idx="151">
                  <c:v>415.16160000000002</c:v>
                </c:pt>
                <c:pt idx="152">
                  <c:v>415.72120000000001</c:v>
                </c:pt>
                <c:pt idx="153">
                  <c:v>416.21420000000001</c:v>
                </c:pt>
                <c:pt idx="154">
                  <c:v>416.57659999999998</c:v>
                </c:pt>
                <c:pt idx="155">
                  <c:v>416.89640000000003</c:v>
                </c:pt>
                <c:pt idx="156">
                  <c:v>417.20400000000001</c:v>
                </c:pt>
                <c:pt idx="157">
                  <c:v>417.33199999999999</c:v>
                </c:pt>
                <c:pt idx="158">
                  <c:v>417.51940000000002</c:v>
                </c:pt>
                <c:pt idx="159">
                  <c:v>417.74880000000002</c:v>
                </c:pt>
                <c:pt idx="160">
                  <c:v>417.9436</c:v>
                </c:pt>
                <c:pt idx="161">
                  <c:v>418.21660000000003</c:v>
                </c:pt>
                <c:pt idx="162">
                  <c:v>418.4314</c:v>
                </c:pt>
                <c:pt idx="163">
                  <c:v>418.63560000000001</c:v>
                </c:pt>
                <c:pt idx="164">
                  <c:v>418.8854</c:v>
                </c:pt>
                <c:pt idx="165">
                  <c:v>419.20319999999998</c:v>
                </c:pt>
                <c:pt idx="166">
                  <c:v>419.49040000000002</c:v>
                </c:pt>
                <c:pt idx="167">
                  <c:v>419.9194</c:v>
                </c:pt>
                <c:pt idx="168">
                  <c:v>420.2432</c:v>
                </c:pt>
                <c:pt idx="169">
                  <c:v>420.58019999999999</c:v>
                </c:pt>
                <c:pt idx="170">
                  <c:v>420.84820000000002</c:v>
                </c:pt>
                <c:pt idx="171">
                  <c:v>421.2106</c:v>
                </c:pt>
                <c:pt idx="172">
                  <c:v>421.55099999999999</c:v>
                </c:pt>
                <c:pt idx="173">
                  <c:v>421.91680000000002</c:v>
                </c:pt>
                <c:pt idx="174">
                  <c:v>422.27760000000001</c:v>
                </c:pt>
                <c:pt idx="175">
                  <c:v>422.66019999999997</c:v>
                </c:pt>
                <c:pt idx="176">
                  <c:v>422.97199999999998</c:v>
                </c:pt>
                <c:pt idx="177">
                  <c:v>423.09</c:v>
                </c:pt>
                <c:pt idx="178">
                  <c:v>423.2688</c:v>
                </c:pt>
                <c:pt idx="179">
                  <c:v>423.601</c:v>
                </c:pt>
                <c:pt idx="180">
                  <c:v>424.02600000000001</c:v>
                </c:pt>
                <c:pt idx="181">
                  <c:v>424.71660000000003</c:v>
                </c:pt>
                <c:pt idx="182">
                  <c:v>425.33139999999997</c:v>
                </c:pt>
                <c:pt idx="183">
                  <c:v>425.78</c:v>
                </c:pt>
                <c:pt idx="184">
                  <c:v>426.24619999999999</c:v>
                </c:pt>
                <c:pt idx="185">
                  <c:v>426.82040000000001</c:v>
                </c:pt>
                <c:pt idx="186">
                  <c:v>427.3734</c:v>
                </c:pt>
                <c:pt idx="187">
                  <c:v>427.81959999999998</c:v>
                </c:pt>
                <c:pt idx="188">
                  <c:v>428.34379999999999</c:v>
                </c:pt>
                <c:pt idx="189">
                  <c:v>428.74</c:v>
                </c:pt>
                <c:pt idx="190">
                  <c:v>429.21039999999999</c:v>
                </c:pt>
                <c:pt idx="191">
                  <c:v>429.67880000000002</c:v>
                </c:pt>
                <c:pt idx="192">
                  <c:v>430.13560000000001</c:v>
                </c:pt>
                <c:pt idx="193">
                  <c:v>430.58839999999998</c:v>
                </c:pt>
                <c:pt idx="194">
                  <c:v>431.07060000000001</c:v>
                </c:pt>
                <c:pt idx="195">
                  <c:v>431.56619999999998</c:v>
                </c:pt>
                <c:pt idx="196">
                  <c:v>432.10919999999999</c:v>
                </c:pt>
                <c:pt idx="197">
                  <c:v>432.59660000000002</c:v>
                </c:pt>
                <c:pt idx="198">
                  <c:v>433.03359999999998</c:v>
                </c:pt>
                <c:pt idx="199">
                  <c:v>433.3716</c:v>
                </c:pt>
                <c:pt idx="200">
                  <c:v>433.73579999999998</c:v>
                </c:pt>
                <c:pt idx="201">
                  <c:v>434.13080000000002</c:v>
                </c:pt>
                <c:pt idx="202">
                  <c:v>434.58980000000003</c:v>
                </c:pt>
                <c:pt idx="203">
                  <c:v>435.04399999999998</c:v>
                </c:pt>
                <c:pt idx="204">
                  <c:v>435.5326</c:v>
                </c:pt>
                <c:pt idx="205">
                  <c:v>436.01560000000001</c:v>
                </c:pt>
                <c:pt idx="206">
                  <c:v>436.58120000000002</c:v>
                </c:pt>
                <c:pt idx="207">
                  <c:v>437.32740000000001</c:v>
                </c:pt>
                <c:pt idx="208">
                  <c:v>437.94139999999999</c:v>
                </c:pt>
                <c:pt idx="209">
                  <c:v>438.51519999999999</c:v>
                </c:pt>
                <c:pt idx="210">
                  <c:v>439.12700000000001</c:v>
                </c:pt>
                <c:pt idx="211">
                  <c:v>439.6866</c:v>
                </c:pt>
                <c:pt idx="212">
                  <c:v>440.18360000000001</c:v>
                </c:pt>
                <c:pt idx="213">
                  <c:v>440.6524</c:v>
                </c:pt>
                <c:pt idx="214">
                  <c:v>441.07799999999997</c:v>
                </c:pt>
                <c:pt idx="215">
                  <c:v>441.42559999999997</c:v>
                </c:pt>
                <c:pt idx="216">
                  <c:v>441.74860000000001</c:v>
                </c:pt>
                <c:pt idx="217">
                  <c:v>441.95760000000001</c:v>
                </c:pt>
                <c:pt idx="218">
                  <c:v>442.25659999999999</c:v>
                </c:pt>
                <c:pt idx="219">
                  <c:v>442.51080000000002</c:v>
                </c:pt>
                <c:pt idx="220">
                  <c:v>442.72039999999998</c:v>
                </c:pt>
                <c:pt idx="221">
                  <c:v>442.69080000000002</c:v>
                </c:pt>
                <c:pt idx="222">
                  <c:v>442.62180000000001</c:v>
                </c:pt>
                <c:pt idx="223">
                  <c:v>442.66719999999998</c:v>
                </c:pt>
                <c:pt idx="224">
                  <c:v>442.80599999999998</c:v>
                </c:pt>
                <c:pt idx="225">
                  <c:v>442.98919999999998</c:v>
                </c:pt>
                <c:pt idx="226">
                  <c:v>443.21519999999998</c:v>
                </c:pt>
                <c:pt idx="227">
                  <c:v>443.39019999999999</c:v>
                </c:pt>
                <c:pt idx="228">
                  <c:v>443.45800000000003</c:v>
                </c:pt>
                <c:pt idx="229">
                  <c:v>443.34980000000002</c:v>
                </c:pt>
                <c:pt idx="230">
                  <c:v>443.3254</c:v>
                </c:pt>
                <c:pt idx="231">
                  <c:v>443.0994</c:v>
                </c:pt>
                <c:pt idx="232">
                  <c:v>442.94099999999997</c:v>
                </c:pt>
                <c:pt idx="233">
                  <c:v>442.85879999999997</c:v>
                </c:pt>
                <c:pt idx="234">
                  <c:v>442.85539999999997</c:v>
                </c:pt>
                <c:pt idx="235">
                  <c:v>442.7996</c:v>
                </c:pt>
                <c:pt idx="236">
                  <c:v>442.72320000000002</c:v>
                </c:pt>
                <c:pt idx="237">
                  <c:v>442.6438</c:v>
                </c:pt>
                <c:pt idx="238">
                  <c:v>442.52440000000001</c:v>
                </c:pt>
                <c:pt idx="239">
                  <c:v>442.59480000000002</c:v>
                </c:pt>
                <c:pt idx="240">
                  <c:v>442.67700000000002</c:v>
                </c:pt>
                <c:pt idx="241">
                  <c:v>442.77100000000002</c:v>
                </c:pt>
                <c:pt idx="242">
                  <c:v>442.94119999999998</c:v>
                </c:pt>
                <c:pt idx="243">
                  <c:v>443.13580000000002</c:v>
                </c:pt>
                <c:pt idx="244">
                  <c:v>443.33199999999999</c:v>
                </c:pt>
                <c:pt idx="245">
                  <c:v>443.49220000000003</c:v>
                </c:pt>
                <c:pt idx="246">
                  <c:v>443.6848</c:v>
                </c:pt>
                <c:pt idx="247">
                  <c:v>443.8646</c:v>
                </c:pt>
                <c:pt idx="248">
                  <c:v>444.06259999999997</c:v>
                </c:pt>
                <c:pt idx="249">
                  <c:v>444.44540000000001</c:v>
                </c:pt>
                <c:pt idx="250">
                  <c:v>444.83319999999998</c:v>
                </c:pt>
                <c:pt idx="251">
                  <c:v>445.16680000000002</c:v>
                </c:pt>
                <c:pt idx="252">
                  <c:v>445.45960000000002</c:v>
                </c:pt>
                <c:pt idx="253">
                  <c:v>445.7946</c:v>
                </c:pt>
                <c:pt idx="254">
                  <c:v>446.15460000000002</c:v>
                </c:pt>
                <c:pt idx="255">
                  <c:v>446.6</c:v>
                </c:pt>
                <c:pt idx="256">
                  <c:v>446.97359999999998</c:v>
                </c:pt>
                <c:pt idx="257">
                  <c:v>447.27659999999997</c:v>
                </c:pt>
                <c:pt idx="258">
                  <c:v>447.51780000000002</c:v>
                </c:pt>
                <c:pt idx="259">
                  <c:v>447.75720000000001</c:v>
                </c:pt>
                <c:pt idx="260">
                  <c:v>448.03879999999998</c:v>
                </c:pt>
                <c:pt idx="261">
                  <c:v>448.32580000000002</c:v>
                </c:pt>
                <c:pt idx="262">
                  <c:v>448.68220000000002</c:v>
                </c:pt>
                <c:pt idx="263">
                  <c:v>449.02679999999998</c:v>
                </c:pt>
                <c:pt idx="264">
                  <c:v>449.4418</c:v>
                </c:pt>
                <c:pt idx="265">
                  <c:v>449.91079999999999</c:v>
                </c:pt>
                <c:pt idx="266">
                  <c:v>450.3306</c:v>
                </c:pt>
                <c:pt idx="267">
                  <c:v>450.81099999999998</c:v>
                </c:pt>
                <c:pt idx="268">
                  <c:v>451.24220000000003</c:v>
                </c:pt>
                <c:pt idx="269">
                  <c:v>451.47820000000002</c:v>
                </c:pt>
                <c:pt idx="270">
                  <c:v>451.94220000000001</c:v>
                </c:pt>
                <c:pt idx="271">
                  <c:v>452.37259999999998</c:v>
                </c:pt>
                <c:pt idx="272">
                  <c:v>452.71</c:v>
                </c:pt>
                <c:pt idx="273">
                  <c:v>453.10079999999999</c:v>
                </c:pt>
                <c:pt idx="274">
                  <c:v>453.30560000000003</c:v>
                </c:pt>
                <c:pt idx="275">
                  <c:v>453.60320000000002</c:v>
                </c:pt>
                <c:pt idx="276">
                  <c:v>454.11599999999999</c:v>
                </c:pt>
                <c:pt idx="277">
                  <c:v>454.83199999999999</c:v>
                </c:pt>
                <c:pt idx="278">
                  <c:v>455.47</c:v>
                </c:pt>
                <c:pt idx="279">
                  <c:v>456.30200000000002</c:v>
                </c:pt>
                <c:pt idx="280">
                  <c:v>456.9486</c:v>
                </c:pt>
                <c:pt idx="281">
                  <c:v>457.64299999999997</c:v>
                </c:pt>
                <c:pt idx="282">
                  <c:v>458.39299999999997</c:v>
                </c:pt>
                <c:pt idx="283">
                  <c:v>459.024</c:v>
                </c:pt>
                <c:pt idx="284">
                  <c:v>459.44819999999999</c:v>
                </c:pt>
                <c:pt idx="285">
                  <c:v>459.79059999999998</c:v>
                </c:pt>
                <c:pt idx="286">
                  <c:v>460.358</c:v>
                </c:pt>
                <c:pt idx="287">
                  <c:v>461.0394</c:v>
                </c:pt>
                <c:pt idx="288">
                  <c:v>461.74779999999998</c:v>
                </c:pt>
                <c:pt idx="289">
                  <c:v>462.44299999999998</c:v>
                </c:pt>
                <c:pt idx="290">
                  <c:v>463.06299999999999</c:v>
                </c:pt>
                <c:pt idx="291">
                  <c:v>463.66879999999998</c:v>
                </c:pt>
                <c:pt idx="292">
                  <c:v>464.17919999999998</c:v>
                </c:pt>
                <c:pt idx="293">
                  <c:v>464.6302</c:v>
                </c:pt>
                <c:pt idx="294">
                  <c:v>465.11259999999999</c:v>
                </c:pt>
                <c:pt idx="295">
                  <c:v>465.60120000000001</c:v>
                </c:pt>
                <c:pt idx="296">
                  <c:v>465.8578</c:v>
                </c:pt>
                <c:pt idx="297">
                  <c:v>466.09739999999999</c:v>
                </c:pt>
                <c:pt idx="298">
                  <c:v>466.34039999999999</c:v>
                </c:pt>
                <c:pt idx="299">
                  <c:v>466.48419999999999</c:v>
                </c:pt>
                <c:pt idx="300">
                  <c:v>466.69420000000002</c:v>
                </c:pt>
                <c:pt idx="301">
                  <c:v>466.91379999999998</c:v>
                </c:pt>
                <c:pt idx="302">
                  <c:v>466.96640000000002</c:v>
                </c:pt>
                <c:pt idx="303">
                  <c:v>466.96640000000002</c:v>
                </c:pt>
                <c:pt idx="304">
                  <c:v>466.75799999999998</c:v>
                </c:pt>
                <c:pt idx="305">
                  <c:v>466.42239999999998</c:v>
                </c:pt>
                <c:pt idx="306">
                  <c:v>465.97879999999998</c:v>
                </c:pt>
                <c:pt idx="307">
                  <c:v>465.39080000000001</c:v>
                </c:pt>
                <c:pt idx="308">
                  <c:v>464.91520000000003</c:v>
                </c:pt>
                <c:pt idx="309">
                  <c:v>464.32920000000001</c:v>
                </c:pt>
                <c:pt idx="310">
                  <c:v>463.65140000000002</c:v>
                </c:pt>
                <c:pt idx="311">
                  <c:v>462.92759999999998</c:v>
                </c:pt>
                <c:pt idx="312">
                  <c:v>462.38099999999997</c:v>
                </c:pt>
                <c:pt idx="313">
                  <c:v>462.01639999999998</c:v>
                </c:pt>
                <c:pt idx="314">
                  <c:v>461.68079999999998</c:v>
                </c:pt>
                <c:pt idx="315">
                  <c:v>461.45</c:v>
                </c:pt>
                <c:pt idx="316">
                  <c:v>461.03059999999999</c:v>
                </c:pt>
                <c:pt idx="317">
                  <c:v>460.64080000000001</c:v>
                </c:pt>
                <c:pt idx="318">
                  <c:v>460.19720000000001</c:v>
                </c:pt>
                <c:pt idx="319">
                  <c:v>460.03660000000002</c:v>
                </c:pt>
                <c:pt idx="320">
                  <c:v>459.8954</c:v>
                </c:pt>
                <c:pt idx="321">
                  <c:v>459.7706</c:v>
                </c:pt>
                <c:pt idx="322">
                  <c:v>459.56979999999999</c:v>
                </c:pt>
                <c:pt idx="323">
                  <c:v>459.2022</c:v>
                </c:pt>
                <c:pt idx="324">
                  <c:v>459.05579999999998</c:v>
                </c:pt>
                <c:pt idx="325">
                  <c:v>458.81200000000001</c:v>
                </c:pt>
                <c:pt idx="326">
                  <c:v>458.18759999999997</c:v>
                </c:pt>
                <c:pt idx="327">
                  <c:v>457.48180000000002</c:v>
                </c:pt>
                <c:pt idx="328">
                  <c:v>456.74619999999999</c:v>
                </c:pt>
                <c:pt idx="329">
                  <c:v>455.7704</c:v>
                </c:pt>
                <c:pt idx="330">
                  <c:v>455.005</c:v>
                </c:pt>
                <c:pt idx="331">
                  <c:v>454.49279999999999</c:v>
                </c:pt>
                <c:pt idx="332">
                  <c:v>453.8134</c:v>
                </c:pt>
                <c:pt idx="333">
                  <c:v>453.084</c:v>
                </c:pt>
                <c:pt idx="334">
                  <c:v>452.64440000000002</c:v>
                </c:pt>
                <c:pt idx="335">
                  <c:v>452.25900000000001</c:v>
                </c:pt>
                <c:pt idx="336">
                  <c:v>451.64120000000003</c:v>
                </c:pt>
                <c:pt idx="337">
                  <c:v>450.67599999999999</c:v>
                </c:pt>
                <c:pt idx="338">
                  <c:v>449.589</c:v>
                </c:pt>
                <c:pt idx="339">
                  <c:v>448.59199999999998</c:v>
                </c:pt>
                <c:pt idx="340">
                  <c:v>447.56420000000003</c:v>
                </c:pt>
                <c:pt idx="341">
                  <c:v>446.416</c:v>
                </c:pt>
                <c:pt idx="342">
                  <c:v>445.2328</c:v>
                </c:pt>
                <c:pt idx="343">
                  <c:v>444.25700000000001</c:v>
                </c:pt>
                <c:pt idx="344">
                  <c:v>443.41520000000003</c:v>
                </c:pt>
                <c:pt idx="345">
                  <c:v>442.68560000000002</c:v>
                </c:pt>
                <c:pt idx="346">
                  <c:v>442.20839999999998</c:v>
                </c:pt>
                <c:pt idx="347">
                  <c:v>441.73739999999998</c:v>
                </c:pt>
                <c:pt idx="348">
                  <c:v>441.4074</c:v>
                </c:pt>
                <c:pt idx="349">
                  <c:v>440.97320000000002</c:v>
                </c:pt>
                <c:pt idx="350">
                  <c:v>440.58800000000002</c:v>
                </c:pt>
                <c:pt idx="351">
                  <c:v>440.22140000000002</c:v>
                </c:pt>
                <c:pt idx="352">
                  <c:v>440.04899999999998</c:v>
                </c:pt>
                <c:pt idx="353">
                  <c:v>439.98559999999998</c:v>
                </c:pt>
                <c:pt idx="354">
                  <c:v>440.02980000000002</c:v>
                </c:pt>
                <c:pt idx="355">
                  <c:v>440.02760000000001</c:v>
                </c:pt>
                <c:pt idx="356">
                  <c:v>440.15100000000001</c:v>
                </c:pt>
                <c:pt idx="357">
                  <c:v>440.5274</c:v>
                </c:pt>
                <c:pt idx="358">
                  <c:v>440.75119999999998</c:v>
                </c:pt>
                <c:pt idx="359">
                  <c:v>440.99220000000003</c:v>
                </c:pt>
                <c:pt idx="360">
                  <c:v>441.3</c:v>
                </c:pt>
                <c:pt idx="361">
                  <c:v>441.6266</c:v>
                </c:pt>
                <c:pt idx="362">
                  <c:v>441.58600000000001</c:v>
                </c:pt>
                <c:pt idx="363">
                  <c:v>441.35359999999997</c:v>
                </c:pt>
                <c:pt idx="364">
                  <c:v>441.16079999999999</c:v>
                </c:pt>
                <c:pt idx="365">
                  <c:v>440.76960000000003</c:v>
                </c:pt>
                <c:pt idx="366">
                  <c:v>440.59699999999998</c:v>
                </c:pt>
                <c:pt idx="367">
                  <c:v>440.52379999999999</c:v>
                </c:pt>
                <c:pt idx="368">
                  <c:v>440.47280000000001</c:v>
                </c:pt>
                <c:pt idx="369">
                  <c:v>440.21519999999998</c:v>
                </c:pt>
                <c:pt idx="370">
                  <c:v>439.58519999999999</c:v>
                </c:pt>
                <c:pt idx="371">
                  <c:v>439.16899999999998</c:v>
                </c:pt>
                <c:pt idx="372">
                  <c:v>438.68180000000001</c:v>
                </c:pt>
                <c:pt idx="373">
                  <c:v>438.24680000000001</c:v>
                </c:pt>
                <c:pt idx="374">
                  <c:v>437.88099999999997</c:v>
                </c:pt>
                <c:pt idx="375">
                  <c:v>437.18900000000002</c:v>
                </c:pt>
                <c:pt idx="376">
                  <c:v>436.73739999999998</c:v>
                </c:pt>
                <c:pt idx="377">
                  <c:v>436.38040000000001</c:v>
                </c:pt>
                <c:pt idx="378">
                  <c:v>436.37020000000001</c:v>
                </c:pt>
                <c:pt idx="379">
                  <c:v>436.20740000000001</c:v>
                </c:pt>
                <c:pt idx="380">
                  <c:v>435.8682</c:v>
                </c:pt>
                <c:pt idx="381">
                  <c:v>435.07659999999998</c:v>
                </c:pt>
                <c:pt idx="382">
                  <c:v>434.32580000000002</c:v>
                </c:pt>
                <c:pt idx="383">
                  <c:v>433.58120000000002</c:v>
                </c:pt>
                <c:pt idx="384">
                  <c:v>432.67020000000002</c:v>
                </c:pt>
                <c:pt idx="385">
                  <c:v>431.99040000000002</c:v>
                </c:pt>
                <c:pt idx="386">
                  <c:v>431.34879999999998</c:v>
                </c:pt>
                <c:pt idx="387">
                  <c:v>431.1266</c:v>
                </c:pt>
                <c:pt idx="388">
                  <c:v>430.6388</c:v>
                </c:pt>
                <c:pt idx="389">
                  <c:v>429.87979999999999</c:v>
                </c:pt>
                <c:pt idx="390">
                  <c:v>429.1628</c:v>
                </c:pt>
                <c:pt idx="391">
                  <c:v>428.69979999999998</c:v>
                </c:pt>
                <c:pt idx="392">
                  <c:v>428.23759999999999</c:v>
                </c:pt>
                <c:pt idx="393">
                  <c:v>427.66160000000002</c:v>
                </c:pt>
                <c:pt idx="394">
                  <c:v>427.05540000000002</c:v>
                </c:pt>
                <c:pt idx="395">
                  <c:v>426.53919999999999</c:v>
                </c:pt>
                <c:pt idx="396">
                  <c:v>425.9074</c:v>
                </c:pt>
                <c:pt idx="397">
                  <c:v>425.21140000000003</c:v>
                </c:pt>
                <c:pt idx="398">
                  <c:v>424.56740000000002</c:v>
                </c:pt>
                <c:pt idx="399">
                  <c:v>423.90219999999999</c:v>
                </c:pt>
                <c:pt idx="400">
                  <c:v>423.12819999999999</c:v>
                </c:pt>
                <c:pt idx="401">
                  <c:v>422.38920000000002</c:v>
                </c:pt>
                <c:pt idx="402">
                  <c:v>421.49540000000002</c:v>
                </c:pt>
                <c:pt idx="403">
                  <c:v>420.29320000000001</c:v>
                </c:pt>
                <c:pt idx="404">
                  <c:v>418.91520000000003</c:v>
                </c:pt>
                <c:pt idx="405">
                  <c:v>417.38240000000002</c:v>
                </c:pt>
                <c:pt idx="406">
                  <c:v>415.8014</c:v>
                </c:pt>
                <c:pt idx="407">
                  <c:v>414.24939999999998</c:v>
                </c:pt>
                <c:pt idx="408">
                  <c:v>412.56180000000001</c:v>
                </c:pt>
                <c:pt idx="409">
                  <c:v>410.9486</c:v>
                </c:pt>
                <c:pt idx="410">
                  <c:v>409.47460000000001</c:v>
                </c:pt>
                <c:pt idx="411">
                  <c:v>408.01100000000002</c:v>
                </c:pt>
                <c:pt idx="412">
                  <c:v>406.77379999999999</c:v>
                </c:pt>
                <c:pt idx="413">
                  <c:v>405.80959999999999</c:v>
                </c:pt>
                <c:pt idx="414">
                  <c:v>404.71519999999998</c:v>
                </c:pt>
                <c:pt idx="415">
                  <c:v>403.57240000000002</c:v>
                </c:pt>
                <c:pt idx="416">
                  <c:v>402.41980000000001</c:v>
                </c:pt>
                <c:pt idx="417">
                  <c:v>401.06400000000002</c:v>
                </c:pt>
                <c:pt idx="418">
                  <c:v>399.7946</c:v>
                </c:pt>
                <c:pt idx="419">
                  <c:v>398.67259999999999</c:v>
                </c:pt>
                <c:pt idx="420">
                  <c:v>397.8168</c:v>
                </c:pt>
                <c:pt idx="421">
                  <c:v>397.02640000000002</c:v>
                </c:pt>
                <c:pt idx="422">
                  <c:v>396.4778</c:v>
                </c:pt>
                <c:pt idx="423">
                  <c:v>395.81700000000001</c:v>
                </c:pt>
                <c:pt idx="424">
                  <c:v>394.87740000000002</c:v>
                </c:pt>
                <c:pt idx="425">
                  <c:v>394.214</c:v>
                </c:pt>
                <c:pt idx="426">
                  <c:v>393.48259999999999</c:v>
                </c:pt>
                <c:pt idx="427">
                  <c:v>392.85759999999999</c:v>
                </c:pt>
                <c:pt idx="428">
                  <c:v>391.91539999999998</c:v>
                </c:pt>
                <c:pt idx="429">
                  <c:v>391.4846</c:v>
                </c:pt>
                <c:pt idx="430">
                  <c:v>391.15320000000003</c:v>
                </c:pt>
                <c:pt idx="431">
                  <c:v>391.16559999999998</c:v>
                </c:pt>
                <c:pt idx="432">
                  <c:v>391.0856</c:v>
                </c:pt>
                <c:pt idx="433">
                  <c:v>391.142</c:v>
                </c:pt>
                <c:pt idx="434">
                  <c:v>391.113</c:v>
                </c:pt>
                <c:pt idx="435">
                  <c:v>391.0994</c:v>
                </c:pt>
                <c:pt idx="436">
                  <c:v>391.21899999999999</c:v>
                </c:pt>
                <c:pt idx="437">
                  <c:v>391.29239999999999</c:v>
                </c:pt>
                <c:pt idx="438">
                  <c:v>391.67059999999998</c:v>
                </c:pt>
                <c:pt idx="439">
                  <c:v>392.04259999999999</c:v>
                </c:pt>
                <c:pt idx="440">
                  <c:v>392.53899999999999</c:v>
                </c:pt>
                <c:pt idx="441">
                  <c:v>392.88400000000001</c:v>
                </c:pt>
                <c:pt idx="442">
                  <c:v>393.2756</c:v>
                </c:pt>
                <c:pt idx="443">
                  <c:v>393.58800000000002</c:v>
                </c:pt>
                <c:pt idx="444">
                  <c:v>393.7088</c:v>
                </c:pt>
                <c:pt idx="445">
                  <c:v>393.80340000000001</c:v>
                </c:pt>
                <c:pt idx="446">
                  <c:v>393.94459999999998</c:v>
                </c:pt>
                <c:pt idx="447">
                  <c:v>394.29480000000001</c:v>
                </c:pt>
                <c:pt idx="448">
                  <c:v>394.52420000000001</c:v>
                </c:pt>
                <c:pt idx="449">
                  <c:v>394.9074</c:v>
                </c:pt>
                <c:pt idx="450">
                  <c:v>395.20460000000003</c:v>
                </c:pt>
                <c:pt idx="451">
                  <c:v>395.44760000000002</c:v>
                </c:pt>
                <c:pt idx="452">
                  <c:v>395.666</c:v>
                </c:pt>
                <c:pt idx="453">
                  <c:v>395.9042</c:v>
                </c:pt>
                <c:pt idx="454">
                  <c:v>396.35520000000002</c:v>
                </c:pt>
                <c:pt idx="455">
                  <c:v>397.12860000000001</c:v>
                </c:pt>
                <c:pt idx="456">
                  <c:v>398.04140000000001</c:v>
                </c:pt>
                <c:pt idx="457">
                  <c:v>398.56360000000001</c:v>
                </c:pt>
                <c:pt idx="458">
                  <c:v>399.28320000000002</c:v>
                </c:pt>
                <c:pt idx="459">
                  <c:v>399.93020000000001</c:v>
                </c:pt>
                <c:pt idx="460">
                  <c:v>400.33240000000001</c:v>
                </c:pt>
                <c:pt idx="461">
                  <c:v>400.77300000000002</c:v>
                </c:pt>
                <c:pt idx="462">
                  <c:v>401.0566</c:v>
                </c:pt>
                <c:pt idx="463">
                  <c:v>401.0702</c:v>
                </c:pt>
                <c:pt idx="464">
                  <c:v>401.25400000000002</c:v>
                </c:pt>
                <c:pt idx="465">
                  <c:v>401.64859999999999</c:v>
                </c:pt>
                <c:pt idx="466">
                  <c:v>402.17380000000003</c:v>
                </c:pt>
                <c:pt idx="467">
                  <c:v>402.84820000000002</c:v>
                </c:pt>
                <c:pt idx="468">
                  <c:v>403.08539999999999</c:v>
                </c:pt>
                <c:pt idx="469">
                  <c:v>403.33819999999997</c:v>
                </c:pt>
                <c:pt idx="470">
                  <c:v>403.47559999999999</c:v>
                </c:pt>
                <c:pt idx="471">
                  <c:v>403.40699999999998</c:v>
                </c:pt>
                <c:pt idx="472">
                  <c:v>403.40460000000002</c:v>
                </c:pt>
                <c:pt idx="473">
                  <c:v>403.40179999999998</c:v>
                </c:pt>
                <c:pt idx="474">
                  <c:v>403.33300000000003</c:v>
                </c:pt>
                <c:pt idx="475">
                  <c:v>403.24079999999998</c:v>
                </c:pt>
                <c:pt idx="476">
                  <c:v>403.04160000000002</c:v>
                </c:pt>
                <c:pt idx="477">
                  <c:v>402.62520000000001</c:v>
                </c:pt>
                <c:pt idx="478">
                  <c:v>402.25380000000001</c:v>
                </c:pt>
                <c:pt idx="479">
                  <c:v>401.81900000000002</c:v>
                </c:pt>
                <c:pt idx="480">
                  <c:v>401.17939999999999</c:v>
                </c:pt>
                <c:pt idx="481">
                  <c:v>400.34719999999999</c:v>
                </c:pt>
                <c:pt idx="482">
                  <c:v>399.77760000000001</c:v>
                </c:pt>
                <c:pt idx="483">
                  <c:v>399.42559999999997</c:v>
                </c:pt>
                <c:pt idx="484">
                  <c:v>399.14960000000002</c:v>
                </c:pt>
                <c:pt idx="485">
                  <c:v>398.59280000000001</c:v>
                </c:pt>
                <c:pt idx="486">
                  <c:v>397.72719999999998</c:v>
                </c:pt>
                <c:pt idx="487">
                  <c:v>396.68779999999998</c:v>
                </c:pt>
                <c:pt idx="488">
                  <c:v>395.62720000000002</c:v>
                </c:pt>
                <c:pt idx="489">
                  <c:v>394.59719999999999</c:v>
                </c:pt>
                <c:pt idx="490">
                  <c:v>393.62759999999997</c:v>
                </c:pt>
                <c:pt idx="491">
                  <c:v>392.49680000000001</c:v>
                </c:pt>
                <c:pt idx="492">
                  <c:v>391.56380000000001</c:v>
                </c:pt>
                <c:pt idx="493">
                  <c:v>390.72660000000002</c:v>
                </c:pt>
                <c:pt idx="494">
                  <c:v>389.86959999999999</c:v>
                </c:pt>
                <c:pt idx="495">
                  <c:v>388.77800000000002</c:v>
                </c:pt>
                <c:pt idx="496">
                  <c:v>387.86399999999998</c:v>
                </c:pt>
                <c:pt idx="497">
                  <c:v>386.89940000000001</c:v>
                </c:pt>
                <c:pt idx="498">
                  <c:v>386.0206</c:v>
                </c:pt>
                <c:pt idx="499">
                  <c:v>385.06700000000001</c:v>
                </c:pt>
                <c:pt idx="500">
                  <c:v>384.1336</c:v>
                </c:pt>
                <c:pt idx="501">
                  <c:v>383.3562</c:v>
                </c:pt>
                <c:pt idx="502">
                  <c:v>382.63760000000002</c:v>
                </c:pt>
                <c:pt idx="503">
                  <c:v>382.06099999999998</c:v>
                </c:pt>
                <c:pt idx="504">
                  <c:v>381.31139999999999</c:v>
                </c:pt>
                <c:pt idx="505">
                  <c:v>380.45819999999998</c:v>
                </c:pt>
                <c:pt idx="506">
                  <c:v>379.59500000000003</c:v>
                </c:pt>
                <c:pt idx="507">
                  <c:v>379.08780000000002</c:v>
                </c:pt>
                <c:pt idx="508">
                  <c:v>378.67520000000002</c:v>
                </c:pt>
                <c:pt idx="509">
                  <c:v>378.1936</c:v>
                </c:pt>
                <c:pt idx="510">
                  <c:v>378.18380000000002</c:v>
                </c:pt>
                <c:pt idx="511">
                  <c:v>378.22559999999999</c:v>
                </c:pt>
                <c:pt idx="512">
                  <c:v>378.28320000000002</c:v>
                </c:pt>
                <c:pt idx="513">
                  <c:v>378.43779999999998</c:v>
                </c:pt>
                <c:pt idx="514">
                  <c:v>378.39120000000003</c:v>
                </c:pt>
                <c:pt idx="515">
                  <c:v>378.26839999999999</c:v>
                </c:pt>
                <c:pt idx="516">
                  <c:v>378.05700000000002</c:v>
                </c:pt>
                <c:pt idx="517">
                  <c:v>377.7294</c:v>
                </c:pt>
                <c:pt idx="518">
                  <c:v>377.86540000000002</c:v>
                </c:pt>
                <c:pt idx="519">
                  <c:v>378.02179999999998</c:v>
                </c:pt>
                <c:pt idx="520">
                  <c:v>378.26600000000002</c:v>
                </c:pt>
                <c:pt idx="521">
                  <c:v>378.47300000000001</c:v>
                </c:pt>
                <c:pt idx="522">
                  <c:v>378.60660000000001</c:v>
                </c:pt>
                <c:pt idx="523">
                  <c:v>379.07839999999999</c:v>
                </c:pt>
                <c:pt idx="524">
                  <c:v>379.6782</c:v>
                </c:pt>
                <c:pt idx="525">
                  <c:v>380.33199999999999</c:v>
                </c:pt>
                <c:pt idx="526">
                  <c:v>380.96480000000003</c:v>
                </c:pt>
                <c:pt idx="527">
                  <c:v>381.55520000000001</c:v>
                </c:pt>
                <c:pt idx="528">
                  <c:v>382.1508</c:v>
                </c:pt>
                <c:pt idx="529">
                  <c:v>382.66500000000002</c:v>
                </c:pt>
                <c:pt idx="530">
                  <c:v>383.27480000000003</c:v>
                </c:pt>
                <c:pt idx="531">
                  <c:v>384.11020000000002</c:v>
                </c:pt>
                <c:pt idx="532">
                  <c:v>384.81740000000002</c:v>
                </c:pt>
                <c:pt idx="533">
                  <c:v>385.24599999999998</c:v>
                </c:pt>
                <c:pt idx="534">
                  <c:v>385.49680000000001</c:v>
                </c:pt>
                <c:pt idx="535">
                  <c:v>385.69819999999999</c:v>
                </c:pt>
                <c:pt idx="536">
                  <c:v>386.0428</c:v>
                </c:pt>
                <c:pt idx="537">
                  <c:v>386.45319999999998</c:v>
                </c:pt>
                <c:pt idx="538">
                  <c:v>387.02300000000002</c:v>
                </c:pt>
                <c:pt idx="539">
                  <c:v>387.50619999999998</c:v>
                </c:pt>
                <c:pt idx="540">
                  <c:v>387.84500000000003</c:v>
                </c:pt>
                <c:pt idx="541">
                  <c:v>388.32040000000001</c:v>
                </c:pt>
                <c:pt idx="542">
                  <c:v>388.5172</c:v>
                </c:pt>
                <c:pt idx="543">
                  <c:v>388.76339999999999</c:v>
                </c:pt>
                <c:pt idx="544">
                  <c:v>389.04199999999997</c:v>
                </c:pt>
                <c:pt idx="545">
                  <c:v>389.35019999999997</c:v>
                </c:pt>
                <c:pt idx="546">
                  <c:v>389.53960000000001</c:v>
                </c:pt>
                <c:pt idx="547">
                  <c:v>389.5498</c:v>
                </c:pt>
                <c:pt idx="548">
                  <c:v>389.613</c:v>
                </c:pt>
                <c:pt idx="549">
                  <c:v>389.72980000000001</c:v>
                </c:pt>
                <c:pt idx="550">
                  <c:v>389.9418</c:v>
                </c:pt>
                <c:pt idx="551">
                  <c:v>390.0718</c:v>
                </c:pt>
                <c:pt idx="552">
                  <c:v>390.28680000000003</c:v>
                </c:pt>
                <c:pt idx="553">
                  <c:v>390.56639999999999</c:v>
                </c:pt>
                <c:pt idx="554">
                  <c:v>391.02440000000001</c:v>
                </c:pt>
                <c:pt idx="555">
                  <c:v>391.43400000000003</c:v>
                </c:pt>
                <c:pt idx="556">
                  <c:v>391.6798</c:v>
                </c:pt>
                <c:pt idx="557">
                  <c:v>391.9984</c:v>
                </c:pt>
                <c:pt idx="558">
                  <c:v>392.37099999999998</c:v>
                </c:pt>
                <c:pt idx="559">
                  <c:v>392.89240000000001</c:v>
                </c:pt>
                <c:pt idx="560">
                  <c:v>393.00560000000002</c:v>
                </c:pt>
                <c:pt idx="561">
                  <c:v>393.13040000000001</c:v>
                </c:pt>
                <c:pt idx="562">
                  <c:v>393.34160000000003</c:v>
                </c:pt>
                <c:pt idx="563">
                  <c:v>393.3836</c:v>
                </c:pt>
                <c:pt idx="564">
                  <c:v>393.60419999999999</c:v>
                </c:pt>
                <c:pt idx="565">
                  <c:v>393.93540000000002</c:v>
                </c:pt>
                <c:pt idx="566">
                  <c:v>394.35039999999998</c:v>
                </c:pt>
                <c:pt idx="567">
                  <c:v>394.7056</c:v>
                </c:pt>
                <c:pt idx="568">
                  <c:v>394.9042</c:v>
                </c:pt>
                <c:pt idx="569">
                  <c:v>395.15960000000001</c:v>
                </c:pt>
                <c:pt idx="570">
                  <c:v>395.32600000000002</c:v>
                </c:pt>
                <c:pt idx="571">
                  <c:v>395.5496</c:v>
                </c:pt>
                <c:pt idx="572">
                  <c:v>395.80579999999998</c:v>
                </c:pt>
                <c:pt idx="573">
                  <c:v>395.90879999999999</c:v>
                </c:pt>
                <c:pt idx="574">
                  <c:v>396.01400000000001</c:v>
                </c:pt>
                <c:pt idx="575">
                  <c:v>396.15539999999999</c:v>
                </c:pt>
                <c:pt idx="576">
                  <c:v>396.32920000000001</c:v>
                </c:pt>
                <c:pt idx="577">
                  <c:v>396.59780000000001</c:v>
                </c:pt>
                <c:pt idx="578">
                  <c:v>396.71640000000002</c:v>
                </c:pt>
                <c:pt idx="579">
                  <c:v>396.76240000000001</c:v>
                </c:pt>
                <c:pt idx="580">
                  <c:v>396.91</c:v>
                </c:pt>
                <c:pt idx="581">
                  <c:v>396.85860000000002</c:v>
                </c:pt>
                <c:pt idx="582">
                  <c:v>396.77379999999999</c:v>
                </c:pt>
                <c:pt idx="583">
                  <c:v>396.71100000000001</c:v>
                </c:pt>
                <c:pt idx="584">
                  <c:v>396.81319999999999</c:v>
                </c:pt>
                <c:pt idx="585">
                  <c:v>397.10399999999998</c:v>
                </c:pt>
                <c:pt idx="586">
                  <c:v>397.5874</c:v>
                </c:pt>
                <c:pt idx="587">
                  <c:v>398.06599999999997</c:v>
                </c:pt>
                <c:pt idx="588">
                  <c:v>398.30680000000001</c:v>
                </c:pt>
                <c:pt idx="589">
                  <c:v>398.67079999999999</c:v>
                </c:pt>
                <c:pt idx="590">
                  <c:v>398.84379999999999</c:v>
                </c:pt>
                <c:pt idx="591">
                  <c:v>398.93400000000003</c:v>
                </c:pt>
                <c:pt idx="592">
                  <c:v>399.108</c:v>
                </c:pt>
                <c:pt idx="593">
                  <c:v>399.27379999999999</c:v>
                </c:pt>
                <c:pt idx="594">
                  <c:v>399.41079999999999</c:v>
                </c:pt>
                <c:pt idx="595">
                  <c:v>399.71660000000003</c:v>
                </c:pt>
                <c:pt idx="596">
                  <c:v>399.84120000000001</c:v>
                </c:pt>
                <c:pt idx="597">
                  <c:v>400.1284</c:v>
                </c:pt>
                <c:pt idx="598">
                  <c:v>400.34500000000003</c:v>
                </c:pt>
                <c:pt idx="599">
                  <c:v>400.43</c:v>
                </c:pt>
                <c:pt idx="600">
                  <c:v>400.48180000000002</c:v>
                </c:pt>
                <c:pt idx="601">
                  <c:v>400.4864</c:v>
                </c:pt>
                <c:pt idx="602">
                  <c:v>400.47699999999998</c:v>
                </c:pt>
                <c:pt idx="603">
                  <c:v>400.41899999999998</c:v>
                </c:pt>
                <c:pt idx="604">
                  <c:v>400.49059999999997</c:v>
                </c:pt>
                <c:pt idx="605">
                  <c:v>400.73480000000001</c:v>
                </c:pt>
                <c:pt idx="606">
                  <c:v>401.14980000000003</c:v>
                </c:pt>
                <c:pt idx="607">
                  <c:v>401.45119999999997</c:v>
                </c:pt>
                <c:pt idx="608">
                  <c:v>401.61200000000002</c:v>
                </c:pt>
                <c:pt idx="609">
                  <c:v>401.76</c:v>
                </c:pt>
                <c:pt idx="610">
                  <c:v>401.93680000000001</c:v>
                </c:pt>
                <c:pt idx="611">
                  <c:v>402.03399999999999</c:v>
                </c:pt>
                <c:pt idx="612">
                  <c:v>402.1148</c:v>
                </c:pt>
                <c:pt idx="613">
                  <c:v>402.26400000000001</c:v>
                </c:pt>
                <c:pt idx="614">
                  <c:v>402.40379999999999</c:v>
                </c:pt>
                <c:pt idx="615">
                  <c:v>402.43700000000001</c:v>
                </c:pt>
                <c:pt idx="616">
                  <c:v>402.3802</c:v>
                </c:pt>
                <c:pt idx="617">
                  <c:v>402.41739999999999</c:v>
                </c:pt>
                <c:pt idx="618">
                  <c:v>402.50360000000001</c:v>
                </c:pt>
                <c:pt idx="619">
                  <c:v>402.43740000000003</c:v>
                </c:pt>
                <c:pt idx="620">
                  <c:v>402.46839999999997</c:v>
                </c:pt>
                <c:pt idx="621">
                  <c:v>402.57920000000001</c:v>
                </c:pt>
                <c:pt idx="622">
                  <c:v>402.54</c:v>
                </c:pt>
                <c:pt idx="623">
                  <c:v>402.37060000000002</c:v>
                </c:pt>
                <c:pt idx="624">
                  <c:v>402.36599999999999</c:v>
                </c:pt>
                <c:pt idx="625">
                  <c:v>402.40499999999997</c:v>
                </c:pt>
                <c:pt idx="626">
                  <c:v>402.5496</c:v>
                </c:pt>
                <c:pt idx="627">
                  <c:v>402.62119999999999</c:v>
                </c:pt>
                <c:pt idx="628">
                  <c:v>402.7998</c:v>
                </c:pt>
                <c:pt idx="629">
                  <c:v>402.9316</c:v>
                </c:pt>
                <c:pt idx="630">
                  <c:v>403.17099999999999</c:v>
                </c:pt>
                <c:pt idx="631">
                  <c:v>403.4982</c:v>
                </c:pt>
                <c:pt idx="632">
                  <c:v>403.76220000000001</c:v>
                </c:pt>
                <c:pt idx="633">
                  <c:v>404.09399999999999</c:v>
                </c:pt>
                <c:pt idx="634">
                  <c:v>404.4418</c:v>
                </c:pt>
                <c:pt idx="635">
                  <c:v>404.7174</c:v>
                </c:pt>
                <c:pt idx="636">
                  <c:v>404.8938</c:v>
                </c:pt>
                <c:pt idx="637">
                  <c:v>405.00940000000003</c:v>
                </c:pt>
                <c:pt idx="638">
                  <c:v>405.34859999999998</c:v>
                </c:pt>
                <c:pt idx="639">
                  <c:v>405.75479999999999</c:v>
                </c:pt>
                <c:pt idx="640">
                  <c:v>406.29599999999999</c:v>
                </c:pt>
                <c:pt idx="641">
                  <c:v>406.95359999999999</c:v>
                </c:pt>
                <c:pt idx="642">
                  <c:v>407.52820000000003</c:v>
                </c:pt>
                <c:pt idx="643">
                  <c:v>407.91539999999998</c:v>
                </c:pt>
                <c:pt idx="644">
                  <c:v>408.4228</c:v>
                </c:pt>
                <c:pt idx="645">
                  <c:v>408.90100000000001</c:v>
                </c:pt>
                <c:pt idx="646">
                  <c:v>409.50479999999999</c:v>
                </c:pt>
                <c:pt idx="647">
                  <c:v>409.98700000000002</c:v>
                </c:pt>
                <c:pt idx="648">
                  <c:v>410.4452</c:v>
                </c:pt>
                <c:pt idx="649">
                  <c:v>411.16140000000001</c:v>
                </c:pt>
                <c:pt idx="650">
                  <c:v>411.84</c:v>
                </c:pt>
                <c:pt idx="651">
                  <c:v>412.48559999999998</c:v>
                </c:pt>
                <c:pt idx="652">
                  <c:v>413.08679999999998</c:v>
                </c:pt>
                <c:pt idx="653">
                  <c:v>413.75740000000002</c:v>
                </c:pt>
                <c:pt idx="654">
                  <c:v>414.32839999999999</c:v>
                </c:pt>
                <c:pt idx="655">
                  <c:v>414.93040000000002</c:v>
                </c:pt>
                <c:pt idx="656">
                  <c:v>415.47579999999999</c:v>
                </c:pt>
                <c:pt idx="657">
                  <c:v>416.00040000000001</c:v>
                </c:pt>
                <c:pt idx="658">
                  <c:v>416.67899999999997</c:v>
                </c:pt>
                <c:pt idx="659">
                  <c:v>417.31619999999998</c:v>
                </c:pt>
                <c:pt idx="660">
                  <c:v>417.87599999999998</c:v>
                </c:pt>
                <c:pt idx="661">
                  <c:v>418.38260000000002</c:v>
                </c:pt>
                <c:pt idx="662">
                  <c:v>418.91840000000002</c:v>
                </c:pt>
                <c:pt idx="663">
                  <c:v>419.42160000000001</c:v>
                </c:pt>
                <c:pt idx="664">
                  <c:v>419.78100000000001</c:v>
                </c:pt>
                <c:pt idx="665">
                  <c:v>420.2552</c:v>
                </c:pt>
                <c:pt idx="666">
                  <c:v>420.70420000000001</c:v>
                </c:pt>
                <c:pt idx="667">
                  <c:v>421.18220000000002</c:v>
                </c:pt>
                <c:pt idx="668">
                  <c:v>421.76499999999999</c:v>
                </c:pt>
                <c:pt idx="669">
                  <c:v>422.40320000000003</c:v>
                </c:pt>
                <c:pt idx="670">
                  <c:v>423.02179999999998</c:v>
                </c:pt>
                <c:pt idx="671">
                  <c:v>423.56240000000003</c:v>
                </c:pt>
                <c:pt idx="672">
                  <c:v>424.21179999999998</c:v>
                </c:pt>
                <c:pt idx="673">
                  <c:v>424.9178</c:v>
                </c:pt>
                <c:pt idx="674">
                  <c:v>425.5188</c:v>
                </c:pt>
                <c:pt idx="675">
                  <c:v>426.12060000000002</c:v>
                </c:pt>
                <c:pt idx="676">
                  <c:v>426.80160000000001</c:v>
                </c:pt>
                <c:pt idx="677">
                  <c:v>427.57040000000001</c:v>
                </c:pt>
                <c:pt idx="678">
                  <c:v>428.42680000000001</c:v>
                </c:pt>
                <c:pt idx="679">
                  <c:v>429.40800000000002</c:v>
                </c:pt>
                <c:pt idx="680">
                  <c:v>430.25940000000003</c:v>
                </c:pt>
                <c:pt idx="681">
                  <c:v>431.04820000000001</c:v>
                </c:pt>
                <c:pt idx="682">
                  <c:v>431.8732</c:v>
                </c:pt>
                <c:pt idx="683">
                  <c:v>432.7002</c:v>
                </c:pt>
                <c:pt idx="684">
                  <c:v>433.56639999999999</c:v>
                </c:pt>
                <c:pt idx="685">
                  <c:v>434.44479999999999</c:v>
                </c:pt>
                <c:pt idx="686">
                  <c:v>435.23439999999999</c:v>
                </c:pt>
                <c:pt idx="687">
                  <c:v>436.1678</c:v>
                </c:pt>
                <c:pt idx="688">
                  <c:v>437.01900000000001</c:v>
                </c:pt>
                <c:pt idx="689">
                  <c:v>437.76400000000001</c:v>
                </c:pt>
                <c:pt idx="690">
                  <c:v>438.39420000000001</c:v>
                </c:pt>
                <c:pt idx="691">
                  <c:v>438.99520000000001</c:v>
                </c:pt>
                <c:pt idx="692">
                  <c:v>439.64960000000002</c:v>
                </c:pt>
                <c:pt idx="693">
                  <c:v>440.44200000000001</c:v>
                </c:pt>
                <c:pt idx="694">
                  <c:v>441.12400000000002</c:v>
                </c:pt>
                <c:pt idx="695">
                  <c:v>441.6386</c:v>
                </c:pt>
                <c:pt idx="696">
                  <c:v>442.15320000000003</c:v>
                </c:pt>
                <c:pt idx="697">
                  <c:v>442.70920000000001</c:v>
                </c:pt>
                <c:pt idx="698">
                  <c:v>443.23500000000001</c:v>
                </c:pt>
                <c:pt idx="699">
                  <c:v>443.53440000000001</c:v>
                </c:pt>
                <c:pt idx="700">
                  <c:v>443.78519999999997</c:v>
                </c:pt>
                <c:pt idx="701">
                  <c:v>443.9504</c:v>
                </c:pt>
                <c:pt idx="702">
                  <c:v>444.14940000000001</c:v>
                </c:pt>
                <c:pt idx="703">
                  <c:v>444.35359999999997</c:v>
                </c:pt>
                <c:pt idx="704">
                  <c:v>444.51859999999999</c:v>
                </c:pt>
                <c:pt idx="705">
                  <c:v>444.70319999999998</c:v>
                </c:pt>
                <c:pt idx="706">
                  <c:v>444.70780000000002</c:v>
                </c:pt>
                <c:pt idx="707">
                  <c:v>444.7636</c:v>
                </c:pt>
                <c:pt idx="708">
                  <c:v>444.76679999999999</c:v>
                </c:pt>
                <c:pt idx="709">
                  <c:v>444.96080000000001</c:v>
                </c:pt>
                <c:pt idx="710">
                  <c:v>445.23739999999998</c:v>
                </c:pt>
                <c:pt idx="711">
                  <c:v>445.54559999999998</c:v>
                </c:pt>
                <c:pt idx="712">
                  <c:v>445.83920000000001</c:v>
                </c:pt>
                <c:pt idx="713">
                  <c:v>446.15980000000002</c:v>
                </c:pt>
                <c:pt idx="714">
                  <c:v>446.4554</c:v>
                </c:pt>
                <c:pt idx="715">
                  <c:v>446.62900000000002</c:v>
                </c:pt>
                <c:pt idx="716">
                  <c:v>446.8116</c:v>
                </c:pt>
                <c:pt idx="717">
                  <c:v>447.01839999999999</c:v>
                </c:pt>
                <c:pt idx="718">
                  <c:v>447.07260000000002</c:v>
                </c:pt>
                <c:pt idx="719">
                  <c:v>447.12700000000001</c:v>
                </c:pt>
                <c:pt idx="720">
                  <c:v>447.27159999999998</c:v>
                </c:pt>
                <c:pt idx="721">
                  <c:v>447.3458</c:v>
                </c:pt>
                <c:pt idx="722">
                  <c:v>447.44740000000002</c:v>
                </c:pt>
                <c:pt idx="723">
                  <c:v>447.50839999999999</c:v>
                </c:pt>
                <c:pt idx="724">
                  <c:v>447.43200000000002</c:v>
                </c:pt>
                <c:pt idx="725">
                  <c:v>447.13940000000002</c:v>
                </c:pt>
                <c:pt idx="726">
                  <c:v>446.75659999999999</c:v>
                </c:pt>
                <c:pt idx="727">
                  <c:v>446.41559999999998</c:v>
                </c:pt>
                <c:pt idx="728">
                  <c:v>445.91640000000001</c:v>
                </c:pt>
                <c:pt idx="729">
                  <c:v>445.35359999999997</c:v>
                </c:pt>
                <c:pt idx="730">
                  <c:v>444.82</c:v>
                </c:pt>
                <c:pt idx="731">
                  <c:v>444.32600000000002</c:v>
                </c:pt>
                <c:pt idx="732">
                  <c:v>443.82859999999999</c:v>
                </c:pt>
                <c:pt idx="733">
                  <c:v>443.1764</c:v>
                </c:pt>
                <c:pt idx="734">
                  <c:v>442.56079999999997</c:v>
                </c:pt>
                <c:pt idx="735">
                  <c:v>441.94060000000002</c:v>
                </c:pt>
                <c:pt idx="736">
                  <c:v>441.48160000000001</c:v>
                </c:pt>
                <c:pt idx="737">
                  <c:v>440.98899999999998</c:v>
                </c:pt>
                <c:pt idx="738">
                  <c:v>440.524</c:v>
                </c:pt>
                <c:pt idx="739">
                  <c:v>440.12079999999997</c:v>
                </c:pt>
                <c:pt idx="740">
                  <c:v>439.79140000000001</c:v>
                </c:pt>
                <c:pt idx="741">
                  <c:v>439.44459999999998</c:v>
                </c:pt>
                <c:pt idx="742">
                  <c:v>439.22919999999999</c:v>
                </c:pt>
                <c:pt idx="743">
                  <c:v>438.93540000000002</c:v>
                </c:pt>
                <c:pt idx="744">
                  <c:v>438.56459999999998</c:v>
                </c:pt>
                <c:pt idx="745">
                  <c:v>438.1782</c:v>
                </c:pt>
                <c:pt idx="746">
                  <c:v>437.68380000000002</c:v>
                </c:pt>
                <c:pt idx="747">
                  <c:v>437.18</c:v>
                </c:pt>
                <c:pt idx="748">
                  <c:v>436.69040000000001</c:v>
                </c:pt>
                <c:pt idx="749">
                  <c:v>436.18360000000001</c:v>
                </c:pt>
                <c:pt idx="750">
                  <c:v>435.64179999999999</c:v>
                </c:pt>
                <c:pt idx="751">
                  <c:v>435.12959999999998</c:v>
                </c:pt>
                <c:pt idx="752">
                  <c:v>434.71140000000003</c:v>
                </c:pt>
                <c:pt idx="753">
                  <c:v>434.28859999999997</c:v>
                </c:pt>
                <c:pt idx="754">
                  <c:v>433.97879999999998</c:v>
                </c:pt>
                <c:pt idx="755">
                  <c:v>433.73340000000002</c:v>
                </c:pt>
                <c:pt idx="756">
                  <c:v>433.68939999999998</c:v>
                </c:pt>
                <c:pt idx="757">
                  <c:v>433.60379999999998</c:v>
                </c:pt>
                <c:pt idx="758">
                  <c:v>433.48719999999997</c:v>
                </c:pt>
                <c:pt idx="759">
                  <c:v>433.24900000000002</c:v>
                </c:pt>
                <c:pt idx="760">
                  <c:v>432.90559999999999</c:v>
                </c:pt>
                <c:pt idx="761">
                  <c:v>432.71080000000001</c:v>
                </c:pt>
                <c:pt idx="762">
                  <c:v>432.49079999999998</c:v>
                </c:pt>
                <c:pt idx="763">
                  <c:v>432.48059999999998</c:v>
                </c:pt>
                <c:pt idx="764">
                  <c:v>432.5498</c:v>
                </c:pt>
                <c:pt idx="765">
                  <c:v>432.6574</c:v>
                </c:pt>
                <c:pt idx="766">
                  <c:v>432.76280000000003</c:v>
                </c:pt>
                <c:pt idx="767">
                  <c:v>432.87900000000002</c:v>
                </c:pt>
                <c:pt idx="768">
                  <c:v>433.02460000000002</c:v>
                </c:pt>
                <c:pt idx="769">
                  <c:v>433.19479999999999</c:v>
                </c:pt>
                <c:pt idx="770">
                  <c:v>433.29360000000003</c:v>
                </c:pt>
                <c:pt idx="771">
                  <c:v>433.51580000000001</c:v>
                </c:pt>
                <c:pt idx="772">
                  <c:v>433.74180000000001</c:v>
                </c:pt>
                <c:pt idx="773">
                  <c:v>433.97980000000001</c:v>
                </c:pt>
                <c:pt idx="774">
                  <c:v>434.33499999999998</c:v>
                </c:pt>
                <c:pt idx="775">
                  <c:v>434.88920000000002</c:v>
                </c:pt>
                <c:pt idx="776">
                  <c:v>435.41460000000001</c:v>
                </c:pt>
                <c:pt idx="777">
                  <c:v>435.90199999999999</c:v>
                </c:pt>
                <c:pt idx="778">
                  <c:v>436.4796</c:v>
                </c:pt>
                <c:pt idx="779">
                  <c:v>437.1232</c:v>
                </c:pt>
                <c:pt idx="780">
                  <c:v>437.7568</c:v>
                </c:pt>
                <c:pt idx="781">
                  <c:v>438.447</c:v>
                </c:pt>
                <c:pt idx="782">
                  <c:v>439.18279999999999</c:v>
                </c:pt>
                <c:pt idx="783">
                  <c:v>440.161</c:v>
                </c:pt>
                <c:pt idx="784">
                  <c:v>441.108</c:v>
                </c:pt>
                <c:pt idx="785">
                  <c:v>442.00459999999998</c:v>
                </c:pt>
                <c:pt idx="786">
                  <c:v>442.85320000000002</c:v>
                </c:pt>
                <c:pt idx="787">
                  <c:v>443.70420000000001</c:v>
                </c:pt>
                <c:pt idx="788">
                  <c:v>444.37860000000001</c:v>
                </c:pt>
                <c:pt idx="789">
                  <c:v>445.1062</c:v>
                </c:pt>
                <c:pt idx="790">
                  <c:v>445.90600000000001</c:v>
                </c:pt>
                <c:pt idx="791">
                  <c:v>446.78899999999999</c:v>
                </c:pt>
                <c:pt idx="792">
                  <c:v>447.59840000000003</c:v>
                </c:pt>
                <c:pt idx="793">
                  <c:v>448.41180000000003</c:v>
                </c:pt>
                <c:pt idx="794">
                  <c:v>449.31380000000001</c:v>
                </c:pt>
                <c:pt idx="795">
                  <c:v>450.23820000000001</c:v>
                </c:pt>
                <c:pt idx="796">
                  <c:v>451.1902</c:v>
                </c:pt>
                <c:pt idx="797">
                  <c:v>452.1266</c:v>
                </c:pt>
                <c:pt idx="798">
                  <c:v>453.01240000000001</c:v>
                </c:pt>
                <c:pt idx="799">
                  <c:v>454.15339999999998</c:v>
                </c:pt>
                <c:pt idx="800">
                  <c:v>455.38</c:v>
                </c:pt>
                <c:pt idx="801">
                  <c:v>456.69760000000002</c:v>
                </c:pt>
                <c:pt idx="802">
                  <c:v>457.9128</c:v>
                </c:pt>
                <c:pt idx="803">
                  <c:v>459.08240000000001</c:v>
                </c:pt>
                <c:pt idx="804">
                  <c:v>460.12779999999998</c:v>
                </c:pt>
                <c:pt idx="805">
                  <c:v>460.95839999999998</c:v>
                </c:pt>
                <c:pt idx="806">
                  <c:v>461.7944</c:v>
                </c:pt>
                <c:pt idx="807">
                  <c:v>462.72919999999999</c:v>
                </c:pt>
                <c:pt idx="808">
                  <c:v>463.65960000000001</c:v>
                </c:pt>
                <c:pt idx="809">
                  <c:v>464.61180000000002</c:v>
                </c:pt>
                <c:pt idx="810">
                  <c:v>465.64280000000002</c:v>
                </c:pt>
                <c:pt idx="811">
                  <c:v>466.59120000000001</c:v>
                </c:pt>
                <c:pt idx="812">
                  <c:v>467.53559999999999</c:v>
                </c:pt>
                <c:pt idx="813">
                  <c:v>468.38639999999998</c:v>
                </c:pt>
                <c:pt idx="814">
                  <c:v>469.2106</c:v>
                </c:pt>
                <c:pt idx="815">
                  <c:v>469.86360000000002</c:v>
                </c:pt>
                <c:pt idx="816">
                  <c:v>470.6318</c:v>
                </c:pt>
                <c:pt idx="817">
                  <c:v>471.43360000000001</c:v>
                </c:pt>
                <c:pt idx="818">
                  <c:v>472.2192</c:v>
                </c:pt>
                <c:pt idx="819">
                  <c:v>472.9984</c:v>
                </c:pt>
                <c:pt idx="820">
                  <c:v>473.8544</c:v>
                </c:pt>
                <c:pt idx="821">
                  <c:v>474.7312</c:v>
                </c:pt>
                <c:pt idx="822">
                  <c:v>475.65660000000003</c:v>
                </c:pt>
                <c:pt idx="823">
                  <c:v>476.584</c:v>
                </c:pt>
                <c:pt idx="824">
                  <c:v>477.33760000000001</c:v>
                </c:pt>
                <c:pt idx="825">
                  <c:v>478.12700000000001</c:v>
                </c:pt>
                <c:pt idx="826">
                  <c:v>479.03339999999997</c:v>
                </c:pt>
                <c:pt idx="827">
                  <c:v>479.89159999999998</c:v>
                </c:pt>
                <c:pt idx="828">
                  <c:v>480.73160000000001</c:v>
                </c:pt>
                <c:pt idx="829">
                  <c:v>481.51119999999997</c:v>
                </c:pt>
                <c:pt idx="830">
                  <c:v>482.4572</c:v>
                </c:pt>
                <c:pt idx="831">
                  <c:v>483.37439999999998</c:v>
                </c:pt>
                <c:pt idx="832">
                  <c:v>484.2122</c:v>
                </c:pt>
                <c:pt idx="833">
                  <c:v>484.94080000000002</c:v>
                </c:pt>
                <c:pt idx="834">
                  <c:v>485.62580000000003</c:v>
                </c:pt>
                <c:pt idx="835">
                  <c:v>486.4008</c:v>
                </c:pt>
                <c:pt idx="836">
                  <c:v>487.21839999999997</c:v>
                </c:pt>
                <c:pt idx="837">
                  <c:v>487.9676</c:v>
                </c:pt>
                <c:pt idx="838">
                  <c:v>488.74599999999998</c:v>
                </c:pt>
                <c:pt idx="839">
                  <c:v>489.48700000000002</c:v>
                </c:pt>
                <c:pt idx="840">
                  <c:v>490.31020000000001</c:v>
                </c:pt>
                <c:pt idx="841">
                  <c:v>491.03160000000003</c:v>
                </c:pt>
                <c:pt idx="842">
                  <c:v>491.72699999999998</c:v>
                </c:pt>
                <c:pt idx="843">
                  <c:v>492.52879999999999</c:v>
                </c:pt>
                <c:pt idx="844">
                  <c:v>493.34199999999998</c:v>
                </c:pt>
                <c:pt idx="845">
                  <c:v>494.18799999999999</c:v>
                </c:pt>
                <c:pt idx="846">
                  <c:v>495.00880000000001</c:v>
                </c:pt>
                <c:pt idx="847">
                  <c:v>495.92039999999997</c:v>
                </c:pt>
                <c:pt idx="848">
                  <c:v>496.87619999999998</c:v>
                </c:pt>
                <c:pt idx="849">
                  <c:v>497.79379999999998</c:v>
                </c:pt>
                <c:pt idx="850">
                  <c:v>498.7602</c:v>
                </c:pt>
                <c:pt idx="851">
                  <c:v>499.65320000000003</c:v>
                </c:pt>
                <c:pt idx="852">
                  <c:v>500.52159999999998</c:v>
                </c:pt>
                <c:pt idx="853">
                  <c:v>501.36419999999998</c:v>
                </c:pt>
                <c:pt idx="854">
                  <c:v>502.32900000000001</c:v>
                </c:pt>
                <c:pt idx="855">
                  <c:v>503.34460000000001</c:v>
                </c:pt>
                <c:pt idx="856">
                  <c:v>504.25799999999998</c:v>
                </c:pt>
                <c:pt idx="857">
                  <c:v>504.9862</c:v>
                </c:pt>
                <c:pt idx="858">
                  <c:v>505.7054</c:v>
                </c:pt>
                <c:pt idx="859">
                  <c:v>506.26960000000003</c:v>
                </c:pt>
                <c:pt idx="860">
                  <c:v>506.93040000000002</c:v>
                </c:pt>
                <c:pt idx="861">
                  <c:v>507.54419999999999</c:v>
                </c:pt>
                <c:pt idx="862">
                  <c:v>508.18239999999997</c:v>
                </c:pt>
                <c:pt idx="863">
                  <c:v>508.63940000000002</c:v>
                </c:pt>
                <c:pt idx="864">
                  <c:v>509.1816</c:v>
                </c:pt>
                <c:pt idx="865">
                  <c:v>509.74099999999999</c:v>
                </c:pt>
                <c:pt idx="866">
                  <c:v>510.04599999999999</c:v>
                </c:pt>
                <c:pt idx="867">
                  <c:v>510.2296</c:v>
                </c:pt>
                <c:pt idx="868">
                  <c:v>510.38959999999997</c:v>
                </c:pt>
                <c:pt idx="869">
                  <c:v>510.50040000000001</c:v>
                </c:pt>
                <c:pt idx="870">
                  <c:v>510.44159999999999</c:v>
                </c:pt>
                <c:pt idx="871">
                  <c:v>510.46960000000001</c:v>
                </c:pt>
                <c:pt idx="872">
                  <c:v>510.55860000000001</c:v>
                </c:pt>
                <c:pt idx="873">
                  <c:v>510.6472</c:v>
                </c:pt>
                <c:pt idx="874">
                  <c:v>510.83539999999999</c:v>
                </c:pt>
                <c:pt idx="875">
                  <c:v>511.0292</c:v>
                </c:pt>
                <c:pt idx="876">
                  <c:v>511.1902</c:v>
                </c:pt>
                <c:pt idx="877">
                  <c:v>511.2396</c:v>
                </c:pt>
                <c:pt idx="878">
                  <c:v>511.31139999999999</c:v>
                </c:pt>
                <c:pt idx="879">
                  <c:v>511.46780000000001</c:v>
                </c:pt>
                <c:pt idx="880">
                  <c:v>511.54360000000003</c:v>
                </c:pt>
                <c:pt idx="881">
                  <c:v>511.71800000000002</c:v>
                </c:pt>
                <c:pt idx="882">
                  <c:v>511.94099999999997</c:v>
                </c:pt>
                <c:pt idx="883">
                  <c:v>512.14620000000002</c:v>
                </c:pt>
                <c:pt idx="884">
                  <c:v>512.42439999999999</c:v>
                </c:pt>
                <c:pt idx="885">
                  <c:v>512.67960000000005</c:v>
                </c:pt>
                <c:pt idx="886">
                  <c:v>512.84079999999994</c:v>
                </c:pt>
                <c:pt idx="887">
                  <c:v>513.06079999999997</c:v>
                </c:pt>
                <c:pt idx="888">
                  <c:v>513.51279999999997</c:v>
                </c:pt>
                <c:pt idx="889">
                  <c:v>513.89160000000004</c:v>
                </c:pt>
                <c:pt idx="890">
                  <c:v>514.18439999999998</c:v>
                </c:pt>
                <c:pt idx="891">
                  <c:v>514.55119999999999</c:v>
                </c:pt>
                <c:pt idx="892">
                  <c:v>514.95280000000002</c:v>
                </c:pt>
                <c:pt idx="893">
                  <c:v>515.21379999999999</c:v>
                </c:pt>
                <c:pt idx="894">
                  <c:v>515.41359999999997</c:v>
                </c:pt>
                <c:pt idx="895">
                  <c:v>515.70339999999999</c:v>
                </c:pt>
                <c:pt idx="896">
                  <c:v>516.10299999999995</c:v>
                </c:pt>
                <c:pt idx="897">
                  <c:v>516.36779999999999</c:v>
                </c:pt>
                <c:pt idx="898">
                  <c:v>516.50580000000002</c:v>
                </c:pt>
                <c:pt idx="899">
                  <c:v>516.64359999999999</c:v>
                </c:pt>
                <c:pt idx="900">
                  <c:v>516.75559999999996</c:v>
                </c:pt>
                <c:pt idx="901">
                  <c:v>516.89919999999995</c:v>
                </c:pt>
                <c:pt idx="902">
                  <c:v>517.19719999999995</c:v>
                </c:pt>
                <c:pt idx="903">
                  <c:v>517.51419999999996</c:v>
                </c:pt>
                <c:pt idx="904">
                  <c:v>517.73099999999999</c:v>
                </c:pt>
                <c:pt idx="905">
                  <c:v>517.9828</c:v>
                </c:pt>
                <c:pt idx="906">
                  <c:v>518.27859999999998</c:v>
                </c:pt>
                <c:pt idx="907">
                  <c:v>518.72900000000004</c:v>
                </c:pt>
                <c:pt idx="908">
                  <c:v>519.18979999999999</c:v>
                </c:pt>
                <c:pt idx="909">
                  <c:v>519.78399999999999</c:v>
                </c:pt>
                <c:pt idx="910">
                  <c:v>520.35739999999998</c:v>
                </c:pt>
                <c:pt idx="911">
                  <c:v>520.95280000000002</c:v>
                </c:pt>
                <c:pt idx="912">
                  <c:v>521.50639999999999</c:v>
                </c:pt>
                <c:pt idx="913">
                  <c:v>522.11419999999998</c:v>
                </c:pt>
                <c:pt idx="914">
                  <c:v>522.60900000000004</c:v>
                </c:pt>
                <c:pt idx="915">
                  <c:v>523.28859999999997</c:v>
                </c:pt>
                <c:pt idx="916">
                  <c:v>524.10979999999995</c:v>
                </c:pt>
                <c:pt idx="917">
                  <c:v>524.96659999999997</c:v>
                </c:pt>
                <c:pt idx="918">
                  <c:v>525.84</c:v>
                </c:pt>
                <c:pt idx="919">
                  <c:v>526.75639999999999</c:v>
                </c:pt>
                <c:pt idx="920">
                  <c:v>527.83339999999998</c:v>
                </c:pt>
                <c:pt idx="921">
                  <c:v>528.8682</c:v>
                </c:pt>
                <c:pt idx="922">
                  <c:v>529.84799999999996</c:v>
                </c:pt>
                <c:pt idx="923">
                  <c:v>530.84540000000004</c:v>
                </c:pt>
                <c:pt idx="924">
                  <c:v>531.89200000000005</c:v>
                </c:pt>
                <c:pt idx="925">
                  <c:v>532.95320000000004</c:v>
                </c:pt>
                <c:pt idx="926">
                  <c:v>533.88160000000005</c:v>
                </c:pt>
                <c:pt idx="927">
                  <c:v>535.04179999999997</c:v>
                </c:pt>
                <c:pt idx="928">
                  <c:v>536.2654</c:v>
                </c:pt>
                <c:pt idx="929">
                  <c:v>537.46199999999999</c:v>
                </c:pt>
                <c:pt idx="930">
                  <c:v>538.375</c:v>
                </c:pt>
                <c:pt idx="931">
                  <c:v>539.09680000000003</c:v>
                </c:pt>
                <c:pt idx="932">
                  <c:v>539.73379999999997</c:v>
                </c:pt>
                <c:pt idx="933">
                  <c:v>540.48299999999995</c:v>
                </c:pt>
                <c:pt idx="934">
                  <c:v>541.15520000000004</c:v>
                </c:pt>
                <c:pt idx="935">
                  <c:v>541.56299999999999</c:v>
                </c:pt>
                <c:pt idx="936">
                  <c:v>541.91300000000001</c:v>
                </c:pt>
                <c:pt idx="937">
                  <c:v>542.33579999999995</c:v>
                </c:pt>
                <c:pt idx="938">
                  <c:v>542.6354</c:v>
                </c:pt>
                <c:pt idx="939">
                  <c:v>542.90160000000003</c:v>
                </c:pt>
                <c:pt idx="940">
                  <c:v>543.3288</c:v>
                </c:pt>
                <c:pt idx="941">
                  <c:v>543.58780000000002</c:v>
                </c:pt>
                <c:pt idx="942">
                  <c:v>543.61860000000001</c:v>
                </c:pt>
                <c:pt idx="943">
                  <c:v>543.36959999999999</c:v>
                </c:pt>
                <c:pt idx="944">
                  <c:v>543.29340000000002</c:v>
                </c:pt>
                <c:pt idx="945">
                  <c:v>543.07780000000002</c:v>
                </c:pt>
                <c:pt idx="946">
                  <c:v>543.09460000000001</c:v>
                </c:pt>
                <c:pt idx="947">
                  <c:v>543.23239999999998</c:v>
                </c:pt>
                <c:pt idx="948">
                  <c:v>543.44560000000001</c:v>
                </c:pt>
                <c:pt idx="949">
                  <c:v>543.73900000000003</c:v>
                </c:pt>
                <c:pt idx="950">
                  <c:v>544.05799999999999</c:v>
                </c:pt>
                <c:pt idx="951">
                  <c:v>544.55160000000001</c:v>
                </c:pt>
                <c:pt idx="952">
                  <c:v>544.94439999999997</c:v>
                </c:pt>
                <c:pt idx="953">
                  <c:v>545.4434</c:v>
                </c:pt>
                <c:pt idx="954">
                  <c:v>545.93719999999996</c:v>
                </c:pt>
                <c:pt idx="955">
                  <c:v>546.43640000000005</c:v>
                </c:pt>
                <c:pt idx="956">
                  <c:v>546.82180000000005</c:v>
                </c:pt>
                <c:pt idx="957">
                  <c:v>547.23720000000003</c:v>
                </c:pt>
                <c:pt idx="958">
                  <c:v>547.60400000000004</c:v>
                </c:pt>
                <c:pt idx="959">
                  <c:v>547.9796</c:v>
                </c:pt>
                <c:pt idx="960">
                  <c:v>548.20360000000005</c:v>
                </c:pt>
                <c:pt idx="961">
                  <c:v>548.4008</c:v>
                </c:pt>
                <c:pt idx="962">
                  <c:v>548.73440000000005</c:v>
                </c:pt>
                <c:pt idx="963">
                  <c:v>548.88580000000002</c:v>
                </c:pt>
                <c:pt idx="964">
                  <c:v>549.04999999999995</c:v>
                </c:pt>
                <c:pt idx="965">
                  <c:v>549.14559999999994</c:v>
                </c:pt>
                <c:pt idx="966">
                  <c:v>549.04259999999999</c:v>
                </c:pt>
                <c:pt idx="967">
                  <c:v>549.04340000000002</c:v>
                </c:pt>
                <c:pt idx="968">
                  <c:v>549.13480000000004</c:v>
                </c:pt>
                <c:pt idx="969">
                  <c:v>549.31640000000004</c:v>
                </c:pt>
                <c:pt idx="970">
                  <c:v>549.51800000000003</c:v>
                </c:pt>
                <c:pt idx="971">
                  <c:v>549.72900000000004</c:v>
                </c:pt>
                <c:pt idx="972">
                  <c:v>549.89300000000003</c:v>
                </c:pt>
                <c:pt idx="973">
                  <c:v>550.04880000000003</c:v>
                </c:pt>
                <c:pt idx="974">
                  <c:v>550.16039999999998</c:v>
                </c:pt>
                <c:pt idx="975">
                  <c:v>550.35360000000003</c:v>
                </c:pt>
                <c:pt idx="976">
                  <c:v>550.58900000000006</c:v>
                </c:pt>
                <c:pt idx="977">
                  <c:v>550.7826</c:v>
                </c:pt>
                <c:pt idx="978">
                  <c:v>550.97799999999995</c:v>
                </c:pt>
                <c:pt idx="979">
                  <c:v>551.08159999999998</c:v>
                </c:pt>
                <c:pt idx="980">
                  <c:v>551.38879999999995</c:v>
                </c:pt>
                <c:pt idx="981">
                  <c:v>551.76499999999999</c:v>
                </c:pt>
                <c:pt idx="982">
                  <c:v>552.2604</c:v>
                </c:pt>
                <c:pt idx="983">
                  <c:v>552.53980000000001</c:v>
                </c:pt>
                <c:pt idx="984">
                  <c:v>552.84140000000002</c:v>
                </c:pt>
                <c:pt idx="985">
                  <c:v>553.3732</c:v>
                </c:pt>
                <c:pt idx="986">
                  <c:v>554.06460000000004</c:v>
                </c:pt>
                <c:pt idx="987">
                  <c:v>554.53179999999998</c:v>
                </c:pt>
                <c:pt idx="988">
                  <c:v>555.1</c:v>
                </c:pt>
                <c:pt idx="989">
                  <c:v>555.80280000000005</c:v>
                </c:pt>
                <c:pt idx="990">
                  <c:v>556.30920000000003</c:v>
                </c:pt>
                <c:pt idx="991">
                  <c:v>557.04060000000004</c:v>
                </c:pt>
                <c:pt idx="992">
                  <c:v>558.06899999999996</c:v>
                </c:pt>
                <c:pt idx="993">
                  <c:v>559.31700000000001</c:v>
                </c:pt>
                <c:pt idx="994">
                  <c:v>560.52</c:v>
                </c:pt>
                <c:pt idx="995">
                  <c:v>561.79380000000003</c:v>
                </c:pt>
                <c:pt idx="996">
                  <c:v>562.87260000000003</c:v>
                </c:pt>
                <c:pt idx="997">
                  <c:v>563.8854</c:v>
                </c:pt>
                <c:pt idx="998">
                  <c:v>564.88639999999998</c:v>
                </c:pt>
                <c:pt idx="999">
                  <c:v>565.60540000000003</c:v>
                </c:pt>
                <c:pt idx="1000">
                  <c:v>566.3152</c:v>
                </c:pt>
                <c:pt idx="1001">
                  <c:v>566.83460000000002</c:v>
                </c:pt>
                <c:pt idx="1002">
                  <c:v>567.36500000000001</c:v>
                </c:pt>
                <c:pt idx="1003">
                  <c:v>567.80820000000006</c:v>
                </c:pt>
                <c:pt idx="1004">
                  <c:v>568.23440000000005</c:v>
                </c:pt>
                <c:pt idx="1005">
                  <c:v>568.39480000000003</c:v>
                </c:pt>
                <c:pt idx="1006">
                  <c:v>568.69119999999998</c:v>
                </c:pt>
                <c:pt idx="1007">
                  <c:v>568.84479999999996</c:v>
                </c:pt>
                <c:pt idx="1008">
                  <c:v>569.16300000000001</c:v>
                </c:pt>
                <c:pt idx="1009">
                  <c:v>569.75260000000003</c:v>
                </c:pt>
                <c:pt idx="1010">
                  <c:v>570.49879999999996</c:v>
                </c:pt>
                <c:pt idx="1011">
                  <c:v>571.29560000000004</c:v>
                </c:pt>
                <c:pt idx="1012">
                  <c:v>571.99720000000002</c:v>
                </c:pt>
                <c:pt idx="1013">
                  <c:v>572.89359999999999</c:v>
                </c:pt>
                <c:pt idx="1014">
                  <c:v>573.8184</c:v>
                </c:pt>
                <c:pt idx="1015">
                  <c:v>574.69320000000005</c:v>
                </c:pt>
                <c:pt idx="1016">
                  <c:v>575.601</c:v>
                </c:pt>
                <c:pt idx="1017">
                  <c:v>576.43579999999997</c:v>
                </c:pt>
                <c:pt idx="1018">
                  <c:v>577.26599999999996</c:v>
                </c:pt>
                <c:pt idx="1019">
                  <c:v>577.98760000000004</c:v>
                </c:pt>
                <c:pt idx="1020">
                  <c:v>578.67920000000004</c:v>
                </c:pt>
                <c:pt idx="1021">
                  <c:v>579.3492</c:v>
                </c:pt>
                <c:pt idx="1022">
                  <c:v>580.04300000000001</c:v>
                </c:pt>
                <c:pt idx="1023">
                  <c:v>580.79459999999995</c:v>
                </c:pt>
                <c:pt idx="1024">
                  <c:v>581.54319999999996</c:v>
                </c:pt>
                <c:pt idx="1025">
                  <c:v>582.17460000000005</c:v>
                </c:pt>
                <c:pt idx="1026">
                  <c:v>582.88220000000001</c:v>
                </c:pt>
                <c:pt idx="1027">
                  <c:v>583.56700000000001</c:v>
                </c:pt>
                <c:pt idx="1028">
                  <c:v>584.29420000000005</c:v>
                </c:pt>
                <c:pt idx="1029">
                  <c:v>585.02660000000003</c:v>
                </c:pt>
                <c:pt idx="1030">
                  <c:v>585.73680000000002</c:v>
                </c:pt>
                <c:pt idx="1031">
                  <c:v>586.40099999999995</c:v>
                </c:pt>
                <c:pt idx="1032">
                  <c:v>586.98180000000002</c:v>
                </c:pt>
                <c:pt idx="1033">
                  <c:v>587.7586</c:v>
                </c:pt>
                <c:pt idx="1034">
                  <c:v>588.46799999999996</c:v>
                </c:pt>
                <c:pt idx="1035">
                  <c:v>589.19579999999996</c:v>
                </c:pt>
                <c:pt idx="1036">
                  <c:v>589.87199999999996</c:v>
                </c:pt>
                <c:pt idx="1037">
                  <c:v>590.60180000000003</c:v>
                </c:pt>
                <c:pt idx="1038">
                  <c:v>590.86400000000003</c:v>
                </c:pt>
                <c:pt idx="1039">
                  <c:v>591.04319999999996</c:v>
                </c:pt>
                <c:pt idx="1040">
                  <c:v>591.34360000000004</c:v>
                </c:pt>
                <c:pt idx="1041">
                  <c:v>591.64580000000001</c:v>
                </c:pt>
                <c:pt idx="1042">
                  <c:v>591.98540000000003</c:v>
                </c:pt>
                <c:pt idx="1043">
                  <c:v>592.41660000000002</c:v>
                </c:pt>
                <c:pt idx="1044">
                  <c:v>592.67079999999999</c:v>
                </c:pt>
                <c:pt idx="1045">
                  <c:v>592.78819999999996</c:v>
                </c:pt>
                <c:pt idx="1046">
                  <c:v>592.81799999999998</c:v>
                </c:pt>
                <c:pt idx="1047">
                  <c:v>592.83820000000003</c:v>
                </c:pt>
                <c:pt idx="1048">
                  <c:v>593.01080000000002</c:v>
                </c:pt>
                <c:pt idx="1049">
                  <c:v>593.35820000000001</c:v>
                </c:pt>
                <c:pt idx="1050">
                  <c:v>593.54600000000005</c:v>
                </c:pt>
                <c:pt idx="1051">
                  <c:v>593.755</c:v>
                </c:pt>
                <c:pt idx="1052">
                  <c:v>593.7482</c:v>
                </c:pt>
                <c:pt idx="1053">
                  <c:v>593.74059999999997</c:v>
                </c:pt>
                <c:pt idx="1054">
                  <c:v>593.78420000000006</c:v>
                </c:pt>
                <c:pt idx="1055">
                  <c:v>594.26700000000005</c:v>
                </c:pt>
                <c:pt idx="1056">
                  <c:v>594.67899999999997</c:v>
                </c:pt>
                <c:pt idx="1057">
                  <c:v>595.23440000000005</c:v>
                </c:pt>
                <c:pt idx="1058">
                  <c:v>595.76139999999998</c:v>
                </c:pt>
                <c:pt idx="1059">
                  <c:v>596.06939999999997</c:v>
                </c:pt>
                <c:pt idx="1060">
                  <c:v>596.35220000000004</c:v>
                </c:pt>
                <c:pt idx="1061">
                  <c:v>596.54780000000005</c:v>
                </c:pt>
                <c:pt idx="1062">
                  <c:v>596.55999999999995</c:v>
                </c:pt>
                <c:pt idx="1063">
                  <c:v>596.7124</c:v>
                </c:pt>
                <c:pt idx="1064">
                  <c:v>596.8048</c:v>
                </c:pt>
                <c:pt idx="1065">
                  <c:v>597.03859999999997</c:v>
                </c:pt>
                <c:pt idx="1066">
                  <c:v>597.36</c:v>
                </c:pt>
                <c:pt idx="1067">
                  <c:v>597.55240000000003</c:v>
                </c:pt>
                <c:pt idx="1068">
                  <c:v>597.78200000000004</c:v>
                </c:pt>
                <c:pt idx="1069">
                  <c:v>598.05640000000005</c:v>
                </c:pt>
                <c:pt idx="1070">
                  <c:v>598.30939999999998</c:v>
                </c:pt>
                <c:pt idx="1071">
                  <c:v>598.41459999999995</c:v>
                </c:pt>
                <c:pt idx="1072">
                  <c:v>598.56100000000004</c:v>
                </c:pt>
                <c:pt idx="1073">
                  <c:v>598.65419999999995</c:v>
                </c:pt>
                <c:pt idx="1074">
                  <c:v>598.74480000000005</c:v>
                </c:pt>
                <c:pt idx="1075">
                  <c:v>598.88840000000005</c:v>
                </c:pt>
                <c:pt idx="1076">
                  <c:v>599.00980000000004</c:v>
                </c:pt>
                <c:pt idx="1077">
                  <c:v>599.16139999999996</c:v>
                </c:pt>
                <c:pt idx="1078">
                  <c:v>599.26679999999999</c:v>
                </c:pt>
                <c:pt idx="1079">
                  <c:v>599.34119999999996</c:v>
                </c:pt>
                <c:pt idx="1080">
                  <c:v>599.18380000000002</c:v>
                </c:pt>
                <c:pt idx="1081">
                  <c:v>599.03440000000001</c:v>
                </c:pt>
                <c:pt idx="1082">
                  <c:v>598.86320000000001</c:v>
                </c:pt>
                <c:pt idx="1083">
                  <c:v>598.60479999999995</c:v>
                </c:pt>
                <c:pt idx="1084">
                  <c:v>598.2192</c:v>
                </c:pt>
                <c:pt idx="1085">
                  <c:v>598.01859999999999</c:v>
                </c:pt>
                <c:pt idx="1086">
                  <c:v>597.55820000000006</c:v>
                </c:pt>
                <c:pt idx="1087">
                  <c:v>597.00959999999998</c:v>
                </c:pt>
                <c:pt idx="1088">
                  <c:v>596.9452</c:v>
                </c:pt>
                <c:pt idx="1089">
                  <c:v>596.67740000000003</c:v>
                </c:pt>
                <c:pt idx="1090">
                  <c:v>596.37279999999998</c:v>
                </c:pt>
                <c:pt idx="1091">
                  <c:v>595.69060000000002</c:v>
                </c:pt>
                <c:pt idx="1092">
                  <c:v>594.78300000000002</c:v>
                </c:pt>
                <c:pt idx="1093">
                  <c:v>593.93359999999996</c:v>
                </c:pt>
                <c:pt idx="1094">
                  <c:v>593.06179999999995</c:v>
                </c:pt>
                <c:pt idx="1095">
                  <c:v>592.55359999999996</c:v>
                </c:pt>
                <c:pt idx="1096">
                  <c:v>592.17499999999995</c:v>
                </c:pt>
                <c:pt idx="1097">
                  <c:v>591.70259999999996</c:v>
                </c:pt>
                <c:pt idx="1098">
                  <c:v>591.20619999999997</c:v>
                </c:pt>
                <c:pt idx="1099">
                  <c:v>590.60879999999997</c:v>
                </c:pt>
                <c:pt idx="1100">
                  <c:v>590.11580000000004</c:v>
                </c:pt>
                <c:pt idx="1101">
                  <c:v>589.80759999999998</c:v>
                </c:pt>
                <c:pt idx="1102">
                  <c:v>589.70699999999999</c:v>
                </c:pt>
                <c:pt idx="1103">
                  <c:v>589.45100000000002</c:v>
                </c:pt>
                <c:pt idx="1104">
                  <c:v>589.14880000000005</c:v>
                </c:pt>
                <c:pt idx="1105">
                  <c:v>588.40639999999996</c:v>
                </c:pt>
                <c:pt idx="1106">
                  <c:v>587.76139999999998</c:v>
                </c:pt>
                <c:pt idx="1107">
                  <c:v>587.02919999999995</c:v>
                </c:pt>
                <c:pt idx="1108">
                  <c:v>586.2586</c:v>
                </c:pt>
                <c:pt idx="1109">
                  <c:v>584.86379999999997</c:v>
                </c:pt>
                <c:pt idx="1110">
                  <c:v>582.77440000000001</c:v>
                </c:pt>
                <c:pt idx="1111">
                  <c:v>580.70259999999996</c:v>
                </c:pt>
                <c:pt idx="1112">
                  <c:v>578.64480000000003</c:v>
                </c:pt>
                <c:pt idx="1113">
                  <c:v>577.52679999999998</c:v>
                </c:pt>
                <c:pt idx="1114">
                  <c:v>575.98220000000003</c:v>
                </c:pt>
                <c:pt idx="1115">
                  <c:v>574.56020000000001</c:v>
                </c:pt>
                <c:pt idx="1116">
                  <c:v>573.30619999999999</c:v>
                </c:pt>
                <c:pt idx="1117">
                  <c:v>572.10299999999995</c:v>
                </c:pt>
                <c:pt idx="1118">
                  <c:v>570.5806</c:v>
                </c:pt>
                <c:pt idx="1119">
                  <c:v>569.02440000000001</c:v>
                </c:pt>
                <c:pt idx="1120">
                  <c:v>567.17560000000003</c:v>
                </c:pt>
                <c:pt idx="1121">
                  <c:v>565.70519999999999</c:v>
                </c:pt>
                <c:pt idx="1122">
                  <c:v>564.31659999999999</c:v>
                </c:pt>
                <c:pt idx="1123">
                  <c:v>563.14419999999996</c:v>
                </c:pt>
                <c:pt idx="1124">
                  <c:v>562.08979999999997</c:v>
                </c:pt>
                <c:pt idx="1125">
                  <c:v>560.91219999999998</c:v>
                </c:pt>
                <c:pt idx="1126">
                  <c:v>559.80460000000005</c:v>
                </c:pt>
                <c:pt idx="1127">
                  <c:v>558.66560000000004</c:v>
                </c:pt>
                <c:pt idx="1128">
                  <c:v>557.57640000000004</c:v>
                </c:pt>
                <c:pt idx="1129">
                  <c:v>556.70399999999995</c:v>
                </c:pt>
                <c:pt idx="1130">
                  <c:v>555.97540000000004</c:v>
                </c:pt>
                <c:pt idx="1131">
                  <c:v>555.20719999999994</c:v>
                </c:pt>
                <c:pt idx="1132">
                  <c:v>554.54539999999997</c:v>
                </c:pt>
                <c:pt idx="1133">
                  <c:v>553.95579999999995</c:v>
                </c:pt>
                <c:pt idx="1134">
                  <c:v>553.54160000000002</c:v>
                </c:pt>
                <c:pt idx="1135">
                  <c:v>553.31780000000003</c:v>
                </c:pt>
                <c:pt idx="1136">
                  <c:v>553.37919999999997</c:v>
                </c:pt>
                <c:pt idx="1137">
                  <c:v>553.59379999999999</c:v>
                </c:pt>
                <c:pt idx="1138">
                  <c:v>553.74180000000001</c:v>
                </c:pt>
                <c:pt idx="1139">
                  <c:v>554.17160000000001</c:v>
                </c:pt>
                <c:pt idx="1140">
                  <c:v>554.55020000000002</c:v>
                </c:pt>
                <c:pt idx="1141">
                  <c:v>555.19560000000001</c:v>
                </c:pt>
                <c:pt idx="1142">
                  <c:v>555.73440000000005</c:v>
                </c:pt>
                <c:pt idx="1143">
                  <c:v>556.21879999999999</c:v>
                </c:pt>
                <c:pt idx="1144">
                  <c:v>556.77260000000001</c:v>
                </c:pt>
                <c:pt idx="1145">
                  <c:v>557.33939999999996</c:v>
                </c:pt>
                <c:pt idx="1146">
                  <c:v>557.75099999999998</c:v>
                </c:pt>
                <c:pt idx="1147">
                  <c:v>558.33159999999998</c:v>
                </c:pt>
                <c:pt idx="1148">
                  <c:v>558.77679999999998</c:v>
                </c:pt>
                <c:pt idx="1149">
                  <c:v>559.32119999999998</c:v>
                </c:pt>
                <c:pt idx="1150">
                  <c:v>559.96339999999998</c:v>
                </c:pt>
                <c:pt idx="1151">
                  <c:v>560.40039999999999</c:v>
                </c:pt>
                <c:pt idx="1152">
                  <c:v>560.75220000000002</c:v>
                </c:pt>
                <c:pt idx="1153">
                  <c:v>561.36320000000001</c:v>
                </c:pt>
                <c:pt idx="1154">
                  <c:v>562.01520000000005</c:v>
                </c:pt>
                <c:pt idx="1155">
                  <c:v>562.96360000000004</c:v>
                </c:pt>
                <c:pt idx="1156">
                  <c:v>563.803</c:v>
                </c:pt>
                <c:pt idx="1157">
                  <c:v>564.65859999999998</c:v>
                </c:pt>
                <c:pt idx="1158">
                  <c:v>565.30820000000006</c:v>
                </c:pt>
                <c:pt idx="1159">
                  <c:v>566.62779999999998</c:v>
                </c:pt>
                <c:pt idx="1160">
                  <c:v>568.47280000000001</c:v>
                </c:pt>
                <c:pt idx="1161">
                  <c:v>570.33399999999995</c:v>
                </c:pt>
                <c:pt idx="1162">
                  <c:v>572.29</c:v>
                </c:pt>
                <c:pt idx="1163">
                  <c:v>573.32060000000001</c:v>
                </c:pt>
                <c:pt idx="1164">
                  <c:v>574.96460000000002</c:v>
                </c:pt>
                <c:pt idx="1165">
                  <c:v>576.42819999999995</c:v>
                </c:pt>
                <c:pt idx="1166">
                  <c:v>577.88319999999999</c:v>
                </c:pt>
                <c:pt idx="1167">
                  <c:v>579.42920000000004</c:v>
                </c:pt>
                <c:pt idx="1168">
                  <c:v>581.27300000000002</c:v>
                </c:pt>
                <c:pt idx="1169">
                  <c:v>583.09780000000001</c:v>
                </c:pt>
                <c:pt idx="1170">
                  <c:v>585.22919999999999</c:v>
                </c:pt>
                <c:pt idx="1171">
                  <c:v>587.19100000000003</c:v>
                </c:pt>
                <c:pt idx="1172">
                  <c:v>588.89620000000002</c:v>
                </c:pt>
                <c:pt idx="1173">
                  <c:v>590.36919999999998</c:v>
                </c:pt>
                <c:pt idx="1174">
                  <c:v>591.83759999999995</c:v>
                </c:pt>
                <c:pt idx="1175">
                  <c:v>593.33699999999999</c:v>
                </c:pt>
                <c:pt idx="1176">
                  <c:v>594.72299999999996</c:v>
                </c:pt>
                <c:pt idx="1177">
                  <c:v>596.12840000000006</c:v>
                </c:pt>
                <c:pt idx="1178">
                  <c:v>597.40179999999998</c:v>
                </c:pt>
                <c:pt idx="1179">
                  <c:v>598.55100000000004</c:v>
                </c:pt>
                <c:pt idx="1180">
                  <c:v>599.84159999999997</c:v>
                </c:pt>
                <c:pt idx="1181">
                  <c:v>601.21720000000005</c:v>
                </c:pt>
                <c:pt idx="1182">
                  <c:v>602.56960000000004</c:v>
                </c:pt>
                <c:pt idx="1183">
                  <c:v>603.84559999999999</c:v>
                </c:pt>
                <c:pt idx="1184">
                  <c:v>605.24300000000005</c:v>
                </c:pt>
                <c:pt idx="1185">
                  <c:v>606.27160000000003</c:v>
                </c:pt>
                <c:pt idx="1186">
                  <c:v>607.27679999999998</c:v>
                </c:pt>
                <c:pt idx="1187">
                  <c:v>608.26379999999995</c:v>
                </c:pt>
                <c:pt idx="1188">
                  <c:v>609.15980000000002</c:v>
                </c:pt>
                <c:pt idx="1189">
                  <c:v>609.96500000000003</c:v>
                </c:pt>
                <c:pt idx="1190">
                  <c:v>610.70960000000002</c:v>
                </c:pt>
                <c:pt idx="1191">
                  <c:v>611.28700000000003</c:v>
                </c:pt>
                <c:pt idx="1192">
                  <c:v>612.25319999999999</c:v>
                </c:pt>
                <c:pt idx="1193">
                  <c:v>613.1508</c:v>
                </c:pt>
                <c:pt idx="1194">
                  <c:v>614.2242</c:v>
                </c:pt>
                <c:pt idx="1195">
                  <c:v>615.0462</c:v>
                </c:pt>
                <c:pt idx="1196">
                  <c:v>616.03520000000003</c:v>
                </c:pt>
                <c:pt idx="1197">
                  <c:v>616.95259999999996</c:v>
                </c:pt>
                <c:pt idx="1198">
                  <c:v>618.01859999999999</c:v>
                </c:pt>
                <c:pt idx="1199">
                  <c:v>619.06219999999996</c:v>
                </c:pt>
                <c:pt idx="1200">
                  <c:v>620.0394</c:v>
                </c:pt>
                <c:pt idx="1201">
                  <c:v>620.9896</c:v>
                </c:pt>
                <c:pt idx="1202">
                  <c:v>621.99459999999999</c:v>
                </c:pt>
                <c:pt idx="1203">
                  <c:v>622.80799999999999</c:v>
                </c:pt>
                <c:pt idx="1204">
                  <c:v>623.57659999999998</c:v>
                </c:pt>
                <c:pt idx="1205">
                  <c:v>624.226</c:v>
                </c:pt>
                <c:pt idx="1206">
                  <c:v>625.10500000000002</c:v>
                </c:pt>
                <c:pt idx="1207">
                  <c:v>625.87940000000003</c:v>
                </c:pt>
                <c:pt idx="1208">
                  <c:v>626.84259999999995</c:v>
                </c:pt>
                <c:pt idx="1209">
                  <c:v>627.72159999999997</c:v>
                </c:pt>
                <c:pt idx="1210">
                  <c:v>628.74940000000004</c:v>
                </c:pt>
                <c:pt idx="1211">
                  <c:v>629.70159999999998</c:v>
                </c:pt>
                <c:pt idx="1212">
                  <c:v>630.62139999999999</c:v>
                </c:pt>
                <c:pt idx="1213">
                  <c:v>631.4932</c:v>
                </c:pt>
                <c:pt idx="1214">
                  <c:v>632.34</c:v>
                </c:pt>
                <c:pt idx="1215">
                  <c:v>633.14239999999995</c:v>
                </c:pt>
                <c:pt idx="1216">
                  <c:v>633.88160000000005</c:v>
                </c:pt>
                <c:pt idx="1217">
                  <c:v>634.59</c:v>
                </c:pt>
                <c:pt idx="1218">
                  <c:v>635.27719999999999</c:v>
                </c:pt>
                <c:pt idx="1219">
                  <c:v>636.07680000000005</c:v>
                </c:pt>
                <c:pt idx="1220">
                  <c:v>636.81600000000003</c:v>
                </c:pt>
                <c:pt idx="1221">
                  <c:v>637.52739999999994</c:v>
                </c:pt>
                <c:pt idx="1222">
                  <c:v>638.31380000000001</c:v>
                </c:pt>
                <c:pt idx="1223">
                  <c:v>639.09059999999999</c:v>
                </c:pt>
                <c:pt idx="1224">
                  <c:v>639.8546</c:v>
                </c:pt>
                <c:pt idx="1225">
                  <c:v>640.61220000000003</c:v>
                </c:pt>
                <c:pt idx="1226">
                  <c:v>641.47659999999996</c:v>
                </c:pt>
                <c:pt idx="1227">
                  <c:v>642.24459999999999</c:v>
                </c:pt>
                <c:pt idx="1228">
                  <c:v>643.02380000000005</c:v>
                </c:pt>
                <c:pt idx="1229">
                  <c:v>643.70039999999995</c:v>
                </c:pt>
                <c:pt idx="1230">
                  <c:v>644.37599999999998</c:v>
                </c:pt>
                <c:pt idx="1231">
                  <c:v>645.09799999999996</c:v>
                </c:pt>
                <c:pt idx="1232">
                  <c:v>645.84619999999995</c:v>
                </c:pt>
                <c:pt idx="1233">
                  <c:v>646.63800000000003</c:v>
                </c:pt>
                <c:pt idx="1234">
                  <c:v>647.33820000000003</c:v>
                </c:pt>
                <c:pt idx="1235">
                  <c:v>648.03399999999999</c:v>
                </c:pt>
                <c:pt idx="1236">
                  <c:v>648.7242</c:v>
                </c:pt>
                <c:pt idx="1237">
                  <c:v>649.36779999999999</c:v>
                </c:pt>
                <c:pt idx="1238">
                  <c:v>650.12480000000005</c:v>
                </c:pt>
                <c:pt idx="1239">
                  <c:v>650.85879999999997</c:v>
                </c:pt>
                <c:pt idx="1240">
                  <c:v>651.27760000000001</c:v>
                </c:pt>
                <c:pt idx="1241">
                  <c:v>652.10400000000004</c:v>
                </c:pt>
                <c:pt idx="1242">
                  <c:v>652.72519999999997</c:v>
                </c:pt>
                <c:pt idx="1243">
                  <c:v>653.4692</c:v>
                </c:pt>
                <c:pt idx="1244">
                  <c:v>654.02639999999997</c:v>
                </c:pt>
                <c:pt idx="1245">
                  <c:v>654.66920000000005</c:v>
                </c:pt>
                <c:pt idx="1246">
                  <c:v>655.35159999999996</c:v>
                </c:pt>
                <c:pt idx="1247">
                  <c:v>656.05899999999997</c:v>
                </c:pt>
                <c:pt idx="1248">
                  <c:v>656.56119999999999</c:v>
                </c:pt>
                <c:pt idx="1249">
                  <c:v>657.09860000000003</c:v>
                </c:pt>
                <c:pt idx="1250">
                  <c:v>657.74459999999999</c:v>
                </c:pt>
                <c:pt idx="1251">
                  <c:v>658.5806</c:v>
                </c:pt>
                <c:pt idx="1252">
                  <c:v>659.45579999999995</c:v>
                </c:pt>
                <c:pt idx="1253">
                  <c:v>660.40740000000005</c:v>
                </c:pt>
                <c:pt idx="1254">
                  <c:v>661.24180000000001</c:v>
                </c:pt>
                <c:pt idx="1255">
                  <c:v>662.17200000000003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2E-4261-8625-5EF5589F650F}"/>
            </c:ext>
          </c:extLst>
        </c:ser>
        <c:ser>
          <c:idx val="2"/>
          <c:order val="2"/>
          <c:tx>
            <c:strRef>
              <c:f>'Close_Moving_Averages'!$J$3</c:f>
              <c:strCache>
                <c:ptCount val="1"/>
                <c:pt idx="0">
                  <c:v>200Day-MA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'Close_Moving_Averages'!$G$4:$G$1260</c:f>
              <c:strCache>
                <c:ptCount val="1256"/>
                <c:pt idx="0">
                  <c:v>02-11-2020</c:v>
                </c:pt>
                <c:pt idx="1">
                  <c:v>03-11-2020</c:v>
                </c:pt>
                <c:pt idx="2">
                  <c:v>04-11-2020</c:v>
                </c:pt>
                <c:pt idx="3">
                  <c:v>05-11-2020</c:v>
                </c:pt>
                <c:pt idx="4">
                  <c:v>06-11-2020</c:v>
                </c:pt>
                <c:pt idx="5">
                  <c:v>09-11-2020</c:v>
                </c:pt>
                <c:pt idx="6">
                  <c:v>10-11-2020</c:v>
                </c:pt>
                <c:pt idx="7">
                  <c:v>11-11-2020</c:v>
                </c:pt>
                <c:pt idx="8">
                  <c:v>12-11-2020</c:v>
                </c:pt>
                <c:pt idx="9">
                  <c:v>13-11-2020</c:v>
                </c:pt>
                <c:pt idx="10">
                  <c:v>16-11-2020</c:v>
                </c:pt>
                <c:pt idx="11">
                  <c:v>17-11-2020</c:v>
                </c:pt>
                <c:pt idx="12">
                  <c:v>18-11-2020</c:v>
                </c:pt>
                <c:pt idx="13">
                  <c:v>19-11-2020</c:v>
                </c:pt>
                <c:pt idx="14">
                  <c:v>20-11-2020</c:v>
                </c:pt>
                <c:pt idx="15">
                  <c:v>23-11-2020</c:v>
                </c:pt>
                <c:pt idx="16">
                  <c:v>24-11-2020</c:v>
                </c:pt>
                <c:pt idx="17">
                  <c:v>25-11-2020</c:v>
                </c:pt>
                <c:pt idx="18">
                  <c:v>27-11-2020</c:v>
                </c:pt>
                <c:pt idx="19">
                  <c:v>30-11-2020</c:v>
                </c:pt>
                <c:pt idx="20">
                  <c:v>01-12-2020</c:v>
                </c:pt>
                <c:pt idx="21">
                  <c:v>02-12-2020</c:v>
                </c:pt>
                <c:pt idx="22">
                  <c:v>03-12-2020</c:v>
                </c:pt>
                <c:pt idx="23">
                  <c:v>04-12-2020</c:v>
                </c:pt>
                <c:pt idx="24">
                  <c:v>07-12-2020</c:v>
                </c:pt>
                <c:pt idx="25">
                  <c:v>08-12-2020</c:v>
                </c:pt>
                <c:pt idx="26">
                  <c:v>09-12-2020</c:v>
                </c:pt>
                <c:pt idx="27">
                  <c:v>10-12-2020</c:v>
                </c:pt>
                <c:pt idx="28">
                  <c:v>11-12-2020</c:v>
                </c:pt>
                <c:pt idx="29">
                  <c:v>14-12-2020</c:v>
                </c:pt>
                <c:pt idx="30">
                  <c:v>15-12-2020</c:v>
                </c:pt>
                <c:pt idx="31">
                  <c:v>16-12-2020</c:v>
                </c:pt>
                <c:pt idx="32">
                  <c:v>17-12-2020</c:v>
                </c:pt>
                <c:pt idx="33">
                  <c:v>18-12-2020</c:v>
                </c:pt>
                <c:pt idx="34">
                  <c:v>21-12-2020</c:v>
                </c:pt>
                <c:pt idx="35">
                  <c:v>22-12-2020</c:v>
                </c:pt>
                <c:pt idx="36">
                  <c:v>23-12-2020</c:v>
                </c:pt>
                <c:pt idx="37">
                  <c:v>24-12-2020</c:v>
                </c:pt>
                <c:pt idx="38">
                  <c:v>28-12-2020</c:v>
                </c:pt>
                <c:pt idx="39">
                  <c:v>29-12-2020</c:v>
                </c:pt>
                <c:pt idx="40">
                  <c:v>30-12-2020</c:v>
                </c:pt>
                <c:pt idx="41">
                  <c:v>31-12-2020</c:v>
                </c:pt>
                <c:pt idx="42">
                  <c:v>04-01-2021</c:v>
                </c:pt>
                <c:pt idx="43">
                  <c:v>05-01-2021</c:v>
                </c:pt>
                <c:pt idx="44">
                  <c:v>06-01-2021</c:v>
                </c:pt>
                <c:pt idx="45">
                  <c:v>07-01-2021</c:v>
                </c:pt>
                <c:pt idx="46">
                  <c:v>08-01-2021</c:v>
                </c:pt>
                <c:pt idx="47">
                  <c:v>11-01-2021</c:v>
                </c:pt>
                <c:pt idx="48">
                  <c:v>12-01-2021</c:v>
                </c:pt>
                <c:pt idx="49">
                  <c:v>13-01-2021</c:v>
                </c:pt>
                <c:pt idx="50">
                  <c:v>14-01-2021</c:v>
                </c:pt>
                <c:pt idx="51">
                  <c:v>15-01-2021</c:v>
                </c:pt>
                <c:pt idx="52">
                  <c:v>19-01-2021</c:v>
                </c:pt>
                <c:pt idx="53">
                  <c:v>20-01-2021</c:v>
                </c:pt>
                <c:pt idx="54">
                  <c:v>21-01-2021</c:v>
                </c:pt>
                <c:pt idx="55">
                  <c:v>22-01-2021</c:v>
                </c:pt>
                <c:pt idx="56">
                  <c:v>25-01-2021</c:v>
                </c:pt>
                <c:pt idx="57">
                  <c:v>26-01-2021</c:v>
                </c:pt>
                <c:pt idx="58">
                  <c:v>27-01-2021</c:v>
                </c:pt>
                <c:pt idx="59">
                  <c:v>28-01-2021</c:v>
                </c:pt>
                <c:pt idx="60">
                  <c:v>29-01-2021</c:v>
                </c:pt>
                <c:pt idx="61">
                  <c:v>01-02-2021</c:v>
                </c:pt>
                <c:pt idx="62">
                  <c:v>02-02-2021</c:v>
                </c:pt>
                <c:pt idx="63">
                  <c:v>03-02-2021</c:v>
                </c:pt>
                <c:pt idx="64">
                  <c:v>04-02-2021</c:v>
                </c:pt>
                <c:pt idx="65">
                  <c:v>05-02-2021</c:v>
                </c:pt>
                <c:pt idx="66">
                  <c:v>08-02-2021</c:v>
                </c:pt>
                <c:pt idx="67">
                  <c:v>09-02-2021</c:v>
                </c:pt>
                <c:pt idx="68">
                  <c:v>10-02-2021</c:v>
                </c:pt>
                <c:pt idx="69">
                  <c:v>11-02-2021</c:v>
                </c:pt>
                <c:pt idx="70">
                  <c:v>12-02-2021</c:v>
                </c:pt>
                <c:pt idx="71">
                  <c:v>16-02-2021</c:v>
                </c:pt>
                <c:pt idx="72">
                  <c:v>17-02-2021</c:v>
                </c:pt>
                <c:pt idx="73">
                  <c:v>18-02-2021</c:v>
                </c:pt>
                <c:pt idx="74">
                  <c:v>19-02-2021</c:v>
                </c:pt>
                <c:pt idx="75">
                  <c:v>22-02-2021</c:v>
                </c:pt>
                <c:pt idx="76">
                  <c:v>23-02-2021</c:v>
                </c:pt>
                <c:pt idx="77">
                  <c:v>24-02-2021</c:v>
                </c:pt>
                <c:pt idx="78">
                  <c:v>25-02-2021</c:v>
                </c:pt>
                <c:pt idx="79">
                  <c:v>26-02-2021</c:v>
                </c:pt>
                <c:pt idx="80">
                  <c:v>01-03-2021</c:v>
                </c:pt>
                <c:pt idx="81">
                  <c:v>02-03-2021</c:v>
                </c:pt>
                <c:pt idx="82">
                  <c:v>03-03-2021</c:v>
                </c:pt>
                <c:pt idx="83">
                  <c:v>04-03-2021</c:v>
                </c:pt>
                <c:pt idx="84">
                  <c:v>05-03-2021</c:v>
                </c:pt>
                <c:pt idx="85">
                  <c:v>08-03-2021</c:v>
                </c:pt>
                <c:pt idx="86">
                  <c:v>09-03-2021</c:v>
                </c:pt>
                <c:pt idx="87">
                  <c:v>10-03-2021</c:v>
                </c:pt>
                <c:pt idx="88">
                  <c:v>11-03-2021</c:v>
                </c:pt>
                <c:pt idx="89">
                  <c:v>12-03-2021</c:v>
                </c:pt>
                <c:pt idx="90">
                  <c:v>15-03-2021</c:v>
                </c:pt>
                <c:pt idx="91">
                  <c:v>16-03-2021</c:v>
                </c:pt>
                <c:pt idx="92">
                  <c:v>17-03-2021</c:v>
                </c:pt>
                <c:pt idx="93">
                  <c:v>18-03-2021</c:v>
                </c:pt>
                <c:pt idx="94">
                  <c:v>19-03-2021</c:v>
                </c:pt>
                <c:pt idx="95">
                  <c:v>22-03-2021</c:v>
                </c:pt>
                <c:pt idx="96">
                  <c:v>23-03-2021</c:v>
                </c:pt>
                <c:pt idx="97">
                  <c:v>24-03-2021</c:v>
                </c:pt>
                <c:pt idx="98">
                  <c:v>25-03-2021</c:v>
                </c:pt>
                <c:pt idx="99">
                  <c:v>26-03-2021</c:v>
                </c:pt>
                <c:pt idx="100">
                  <c:v>29-03-2021</c:v>
                </c:pt>
                <c:pt idx="101">
                  <c:v>30-03-2021</c:v>
                </c:pt>
                <c:pt idx="102">
                  <c:v>31-03-2021</c:v>
                </c:pt>
                <c:pt idx="103">
                  <c:v>01-04-2021</c:v>
                </c:pt>
                <c:pt idx="104">
                  <c:v>05-04-2021</c:v>
                </c:pt>
                <c:pt idx="105">
                  <c:v>06-04-2021</c:v>
                </c:pt>
                <c:pt idx="106">
                  <c:v>07-04-2021</c:v>
                </c:pt>
                <c:pt idx="107">
                  <c:v>08-04-2021</c:v>
                </c:pt>
                <c:pt idx="108">
                  <c:v>09-04-2021</c:v>
                </c:pt>
                <c:pt idx="109">
                  <c:v>12-04-2021</c:v>
                </c:pt>
                <c:pt idx="110">
                  <c:v>13-04-2021</c:v>
                </c:pt>
                <c:pt idx="111">
                  <c:v>14-04-2021</c:v>
                </c:pt>
                <c:pt idx="112">
                  <c:v>15-04-2021</c:v>
                </c:pt>
                <c:pt idx="113">
                  <c:v>16-04-2021</c:v>
                </c:pt>
                <c:pt idx="114">
                  <c:v>19-04-2021</c:v>
                </c:pt>
                <c:pt idx="115">
                  <c:v>20-04-2021</c:v>
                </c:pt>
                <c:pt idx="116">
                  <c:v>21-04-2021</c:v>
                </c:pt>
                <c:pt idx="117">
                  <c:v>22-04-2021</c:v>
                </c:pt>
                <c:pt idx="118">
                  <c:v>23-04-2021</c:v>
                </c:pt>
                <c:pt idx="119">
                  <c:v>26-04-2021</c:v>
                </c:pt>
                <c:pt idx="120">
                  <c:v>27-04-2021</c:v>
                </c:pt>
                <c:pt idx="121">
                  <c:v>28-04-2021</c:v>
                </c:pt>
                <c:pt idx="122">
                  <c:v>29-04-2021</c:v>
                </c:pt>
                <c:pt idx="123">
                  <c:v>30-04-2021</c:v>
                </c:pt>
                <c:pt idx="124">
                  <c:v>03-05-2021</c:v>
                </c:pt>
                <c:pt idx="125">
                  <c:v>04-05-2021</c:v>
                </c:pt>
                <c:pt idx="126">
                  <c:v>05-05-2021</c:v>
                </c:pt>
                <c:pt idx="127">
                  <c:v>06-05-2021</c:v>
                </c:pt>
                <c:pt idx="128">
                  <c:v>07-05-2021</c:v>
                </c:pt>
                <c:pt idx="129">
                  <c:v>10-05-2021</c:v>
                </c:pt>
                <c:pt idx="130">
                  <c:v>11-05-2021</c:v>
                </c:pt>
                <c:pt idx="131">
                  <c:v>12-05-2021</c:v>
                </c:pt>
                <c:pt idx="132">
                  <c:v>13-05-2021</c:v>
                </c:pt>
                <c:pt idx="133">
                  <c:v>14-05-2021</c:v>
                </c:pt>
                <c:pt idx="134">
                  <c:v>17-05-2021</c:v>
                </c:pt>
                <c:pt idx="135">
                  <c:v>18-05-2021</c:v>
                </c:pt>
                <c:pt idx="136">
                  <c:v>19-05-2021</c:v>
                </c:pt>
                <c:pt idx="137">
                  <c:v>20-05-2021</c:v>
                </c:pt>
                <c:pt idx="138">
                  <c:v>21-05-2021</c:v>
                </c:pt>
                <c:pt idx="139">
                  <c:v>24-05-2021</c:v>
                </c:pt>
                <c:pt idx="140">
                  <c:v>25-05-2021</c:v>
                </c:pt>
                <c:pt idx="141">
                  <c:v>26-05-2021</c:v>
                </c:pt>
                <c:pt idx="142">
                  <c:v>27-05-2021</c:v>
                </c:pt>
                <c:pt idx="143">
                  <c:v>28-05-2021</c:v>
                </c:pt>
                <c:pt idx="144">
                  <c:v>01-06-2021</c:v>
                </c:pt>
                <c:pt idx="145">
                  <c:v>02-06-2021</c:v>
                </c:pt>
                <c:pt idx="146">
                  <c:v>03-06-2021</c:v>
                </c:pt>
                <c:pt idx="147">
                  <c:v>04-06-2021</c:v>
                </c:pt>
                <c:pt idx="148">
                  <c:v>07-06-2021</c:v>
                </c:pt>
                <c:pt idx="149">
                  <c:v>08-06-2021</c:v>
                </c:pt>
                <c:pt idx="150">
                  <c:v>09-06-2021</c:v>
                </c:pt>
                <c:pt idx="151">
                  <c:v>10-06-2021</c:v>
                </c:pt>
                <c:pt idx="152">
                  <c:v>11-06-2021</c:v>
                </c:pt>
                <c:pt idx="153">
                  <c:v>14-06-2021</c:v>
                </c:pt>
                <c:pt idx="154">
                  <c:v>15-06-2021</c:v>
                </c:pt>
                <c:pt idx="155">
                  <c:v>16-06-2021</c:v>
                </c:pt>
                <c:pt idx="156">
                  <c:v>17-06-2021</c:v>
                </c:pt>
                <c:pt idx="157">
                  <c:v>18-06-2021</c:v>
                </c:pt>
                <c:pt idx="158">
                  <c:v>21-06-2021</c:v>
                </c:pt>
                <c:pt idx="159">
                  <c:v>22-06-2021</c:v>
                </c:pt>
                <c:pt idx="160">
                  <c:v>23-06-2021</c:v>
                </c:pt>
                <c:pt idx="161">
                  <c:v>24-06-2021</c:v>
                </c:pt>
                <c:pt idx="162">
                  <c:v>25-06-2021</c:v>
                </c:pt>
                <c:pt idx="163">
                  <c:v>28-06-2021</c:v>
                </c:pt>
                <c:pt idx="164">
                  <c:v>29-06-2021</c:v>
                </c:pt>
                <c:pt idx="165">
                  <c:v>30-06-2021</c:v>
                </c:pt>
                <c:pt idx="166">
                  <c:v>01-07-2021</c:v>
                </c:pt>
                <c:pt idx="167">
                  <c:v>02-07-2021</c:v>
                </c:pt>
                <c:pt idx="168">
                  <c:v>06-07-2021</c:v>
                </c:pt>
                <c:pt idx="169">
                  <c:v>07-07-2021</c:v>
                </c:pt>
                <c:pt idx="170">
                  <c:v>08-07-2021</c:v>
                </c:pt>
                <c:pt idx="171">
                  <c:v>09-07-2021</c:v>
                </c:pt>
                <c:pt idx="172">
                  <c:v>12-07-2021</c:v>
                </c:pt>
                <c:pt idx="173">
                  <c:v>13-07-2021</c:v>
                </c:pt>
                <c:pt idx="174">
                  <c:v>14-07-2021</c:v>
                </c:pt>
                <c:pt idx="175">
                  <c:v>15-07-2021</c:v>
                </c:pt>
                <c:pt idx="176">
                  <c:v>16-07-2021</c:v>
                </c:pt>
                <c:pt idx="177">
                  <c:v>19-07-2021</c:v>
                </c:pt>
                <c:pt idx="178">
                  <c:v>20-07-2021</c:v>
                </c:pt>
                <c:pt idx="179">
                  <c:v>21-07-2021</c:v>
                </c:pt>
                <c:pt idx="180">
                  <c:v>22-07-2021</c:v>
                </c:pt>
                <c:pt idx="181">
                  <c:v>23-07-2021</c:v>
                </c:pt>
                <c:pt idx="182">
                  <c:v>26-07-2021</c:v>
                </c:pt>
                <c:pt idx="183">
                  <c:v>27-07-2021</c:v>
                </c:pt>
                <c:pt idx="184">
                  <c:v>28-07-2021</c:v>
                </c:pt>
                <c:pt idx="185">
                  <c:v>29-07-2021</c:v>
                </c:pt>
                <c:pt idx="186">
                  <c:v>30-07-2021</c:v>
                </c:pt>
                <c:pt idx="187">
                  <c:v>02-08-2021</c:v>
                </c:pt>
                <c:pt idx="188">
                  <c:v>03-08-2021</c:v>
                </c:pt>
                <c:pt idx="189">
                  <c:v>04-08-2021</c:v>
                </c:pt>
                <c:pt idx="190">
                  <c:v>05-08-2021</c:v>
                </c:pt>
                <c:pt idx="191">
                  <c:v>06-08-2021</c:v>
                </c:pt>
                <c:pt idx="192">
                  <c:v>09-08-2021</c:v>
                </c:pt>
                <c:pt idx="193">
                  <c:v>10-08-2021</c:v>
                </c:pt>
                <c:pt idx="194">
                  <c:v>11-08-2021</c:v>
                </c:pt>
                <c:pt idx="195">
                  <c:v>12-08-2021</c:v>
                </c:pt>
                <c:pt idx="196">
                  <c:v>13-08-2021</c:v>
                </c:pt>
                <c:pt idx="197">
                  <c:v>16-08-2021</c:v>
                </c:pt>
                <c:pt idx="198">
                  <c:v>17-08-2021</c:v>
                </c:pt>
                <c:pt idx="199">
                  <c:v>18-08-2021</c:v>
                </c:pt>
                <c:pt idx="200">
                  <c:v>19-08-2021</c:v>
                </c:pt>
                <c:pt idx="201">
                  <c:v>20-08-2021</c:v>
                </c:pt>
                <c:pt idx="202">
                  <c:v>23-08-2021</c:v>
                </c:pt>
                <c:pt idx="203">
                  <c:v>24-08-2021</c:v>
                </c:pt>
                <c:pt idx="204">
                  <c:v>25-08-2021</c:v>
                </c:pt>
                <c:pt idx="205">
                  <c:v>26-08-2021</c:v>
                </c:pt>
                <c:pt idx="206">
                  <c:v>27-08-2021</c:v>
                </c:pt>
                <c:pt idx="207">
                  <c:v>30-08-2021</c:v>
                </c:pt>
                <c:pt idx="208">
                  <c:v>31-08-2021</c:v>
                </c:pt>
                <c:pt idx="209">
                  <c:v>01-09-2021</c:v>
                </c:pt>
                <c:pt idx="210">
                  <c:v>02-09-2021</c:v>
                </c:pt>
                <c:pt idx="211">
                  <c:v>03-09-2021</c:v>
                </c:pt>
                <c:pt idx="212">
                  <c:v>07-09-2021</c:v>
                </c:pt>
                <c:pt idx="213">
                  <c:v>08-09-2021</c:v>
                </c:pt>
                <c:pt idx="214">
                  <c:v>09-09-2021</c:v>
                </c:pt>
                <c:pt idx="215">
                  <c:v>10-09-2021</c:v>
                </c:pt>
                <c:pt idx="216">
                  <c:v>13-09-2021</c:v>
                </c:pt>
                <c:pt idx="217">
                  <c:v>14-09-2021</c:v>
                </c:pt>
                <c:pt idx="218">
                  <c:v>15-09-2021</c:v>
                </c:pt>
                <c:pt idx="219">
                  <c:v>16-09-2021</c:v>
                </c:pt>
                <c:pt idx="220">
                  <c:v>17-09-2021</c:v>
                </c:pt>
                <c:pt idx="221">
                  <c:v>20-09-2021</c:v>
                </c:pt>
                <c:pt idx="222">
                  <c:v>21-09-2021</c:v>
                </c:pt>
                <c:pt idx="223">
                  <c:v>22-09-2021</c:v>
                </c:pt>
                <c:pt idx="224">
                  <c:v>23-09-2021</c:v>
                </c:pt>
                <c:pt idx="225">
                  <c:v>24-09-2021</c:v>
                </c:pt>
                <c:pt idx="226">
                  <c:v>27-09-2021</c:v>
                </c:pt>
                <c:pt idx="227">
                  <c:v>28-09-2021</c:v>
                </c:pt>
                <c:pt idx="228">
                  <c:v>29-09-2021</c:v>
                </c:pt>
                <c:pt idx="229">
                  <c:v>30-09-2021</c:v>
                </c:pt>
                <c:pt idx="230">
                  <c:v>01-10-2021</c:v>
                </c:pt>
                <c:pt idx="231">
                  <c:v>04-10-2021</c:v>
                </c:pt>
                <c:pt idx="232">
                  <c:v>05-10-2021</c:v>
                </c:pt>
                <c:pt idx="233">
                  <c:v>06-10-2021</c:v>
                </c:pt>
                <c:pt idx="234">
                  <c:v>07-10-2021</c:v>
                </c:pt>
                <c:pt idx="235">
                  <c:v>08-10-2021</c:v>
                </c:pt>
                <c:pt idx="236">
                  <c:v>11-10-2021</c:v>
                </c:pt>
                <c:pt idx="237">
                  <c:v>12-10-2021</c:v>
                </c:pt>
                <c:pt idx="238">
                  <c:v>13-10-2021</c:v>
                </c:pt>
                <c:pt idx="239">
                  <c:v>14-10-2021</c:v>
                </c:pt>
                <c:pt idx="240">
                  <c:v>15-10-2021</c:v>
                </c:pt>
                <c:pt idx="241">
                  <c:v>18-10-2021</c:v>
                </c:pt>
                <c:pt idx="242">
                  <c:v>19-10-2021</c:v>
                </c:pt>
                <c:pt idx="243">
                  <c:v>20-10-2021</c:v>
                </c:pt>
                <c:pt idx="244">
                  <c:v>21-10-2021</c:v>
                </c:pt>
                <c:pt idx="245">
                  <c:v>22-10-2021</c:v>
                </c:pt>
                <c:pt idx="246">
                  <c:v>25-10-2021</c:v>
                </c:pt>
                <c:pt idx="247">
                  <c:v>26-10-2021</c:v>
                </c:pt>
                <c:pt idx="248">
                  <c:v>27-10-2021</c:v>
                </c:pt>
                <c:pt idx="249">
                  <c:v>28-10-2021</c:v>
                </c:pt>
                <c:pt idx="250">
                  <c:v>29-10-2021</c:v>
                </c:pt>
                <c:pt idx="251">
                  <c:v>01-11-2021</c:v>
                </c:pt>
                <c:pt idx="252">
                  <c:v>02-11-2021</c:v>
                </c:pt>
                <c:pt idx="253">
                  <c:v>03-11-2021</c:v>
                </c:pt>
                <c:pt idx="254">
                  <c:v>04-11-2021</c:v>
                </c:pt>
                <c:pt idx="255">
                  <c:v>05-11-2021</c:v>
                </c:pt>
                <c:pt idx="256">
                  <c:v>08-11-2021</c:v>
                </c:pt>
                <c:pt idx="257">
                  <c:v>09-11-2021</c:v>
                </c:pt>
                <c:pt idx="258">
                  <c:v>10-11-2021</c:v>
                </c:pt>
                <c:pt idx="259">
                  <c:v>11-11-2021</c:v>
                </c:pt>
                <c:pt idx="260">
                  <c:v>12-11-2021</c:v>
                </c:pt>
                <c:pt idx="261">
                  <c:v>15-11-2021</c:v>
                </c:pt>
                <c:pt idx="262">
                  <c:v>16-11-2021</c:v>
                </c:pt>
                <c:pt idx="263">
                  <c:v>17-11-2021</c:v>
                </c:pt>
                <c:pt idx="264">
                  <c:v>18-11-2021</c:v>
                </c:pt>
                <c:pt idx="265">
                  <c:v>19-11-2021</c:v>
                </c:pt>
                <c:pt idx="266">
                  <c:v>22-11-2021</c:v>
                </c:pt>
                <c:pt idx="267">
                  <c:v>23-11-2021</c:v>
                </c:pt>
                <c:pt idx="268">
                  <c:v>24-11-2021</c:v>
                </c:pt>
                <c:pt idx="269">
                  <c:v>26-11-2021</c:v>
                </c:pt>
                <c:pt idx="270">
                  <c:v>29-11-2021</c:v>
                </c:pt>
                <c:pt idx="271">
                  <c:v>30-11-2021</c:v>
                </c:pt>
                <c:pt idx="272">
                  <c:v>01-12-2021</c:v>
                </c:pt>
                <c:pt idx="273">
                  <c:v>02-12-2021</c:v>
                </c:pt>
                <c:pt idx="274">
                  <c:v>03-12-2021</c:v>
                </c:pt>
                <c:pt idx="275">
                  <c:v>06-12-2021</c:v>
                </c:pt>
                <c:pt idx="276">
                  <c:v>07-12-2021</c:v>
                </c:pt>
                <c:pt idx="277">
                  <c:v>08-12-2021</c:v>
                </c:pt>
                <c:pt idx="278">
                  <c:v>09-12-2021</c:v>
                </c:pt>
                <c:pt idx="279">
                  <c:v>10-12-2021</c:v>
                </c:pt>
                <c:pt idx="280">
                  <c:v>13-12-2021</c:v>
                </c:pt>
                <c:pt idx="281">
                  <c:v>14-12-2021</c:v>
                </c:pt>
                <c:pt idx="282">
                  <c:v>15-12-2021</c:v>
                </c:pt>
                <c:pt idx="283">
                  <c:v>16-12-2021</c:v>
                </c:pt>
                <c:pt idx="284">
                  <c:v>17-12-2021</c:v>
                </c:pt>
                <c:pt idx="285">
                  <c:v>20-12-2021</c:v>
                </c:pt>
                <c:pt idx="286">
                  <c:v>21-12-2021</c:v>
                </c:pt>
                <c:pt idx="287">
                  <c:v>22-12-2021</c:v>
                </c:pt>
                <c:pt idx="288">
                  <c:v>23-12-2021</c:v>
                </c:pt>
                <c:pt idx="289">
                  <c:v>27-12-2021</c:v>
                </c:pt>
                <c:pt idx="290">
                  <c:v>28-12-2021</c:v>
                </c:pt>
                <c:pt idx="291">
                  <c:v>29-12-2021</c:v>
                </c:pt>
                <c:pt idx="292">
                  <c:v>30-12-2021</c:v>
                </c:pt>
                <c:pt idx="293">
                  <c:v>31-12-2021</c:v>
                </c:pt>
                <c:pt idx="294">
                  <c:v>03-01-2022</c:v>
                </c:pt>
                <c:pt idx="295">
                  <c:v>04-01-2022</c:v>
                </c:pt>
                <c:pt idx="296">
                  <c:v>05-01-2022</c:v>
                </c:pt>
                <c:pt idx="297">
                  <c:v>06-01-2022</c:v>
                </c:pt>
                <c:pt idx="298">
                  <c:v>07-01-2022</c:v>
                </c:pt>
                <c:pt idx="299">
                  <c:v>10-01-2022</c:v>
                </c:pt>
                <c:pt idx="300">
                  <c:v>11-01-2022</c:v>
                </c:pt>
                <c:pt idx="301">
                  <c:v>12-01-2022</c:v>
                </c:pt>
                <c:pt idx="302">
                  <c:v>13-01-2022</c:v>
                </c:pt>
                <c:pt idx="303">
                  <c:v>14-01-2022</c:v>
                </c:pt>
                <c:pt idx="304">
                  <c:v>18-01-2022</c:v>
                </c:pt>
                <c:pt idx="305">
                  <c:v>19-01-2022</c:v>
                </c:pt>
                <c:pt idx="306">
                  <c:v>20-01-2022</c:v>
                </c:pt>
                <c:pt idx="307">
                  <c:v>21-01-2022</c:v>
                </c:pt>
                <c:pt idx="308">
                  <c:v>24-01-2022</c:v>
                </c:pt>
                <c:pt idx="309">
                  <c:v>25-01-2022</c:v>
                </c:pt>
                <c:pt idx="310">
                  <c:v>26-01-2022</c:v>
                </c:pt>
                <c:pt idx="311">
                  <c:v>27-01-2022</c:v>
                </c:pt>
                <c:pt idx="312">
                  <c:v>28-01-2022</c:v>
                </c:pt>
                <c:pt idx="313">
                  <c:v>31-01-2022</c:v>
                </c:pt>
                <c:pt idx="314">
                  <c:v>01-02-2022</c:v>
                </c:pt>
                <c:pt idx="315">
                  <c:v>02-02-2022</c:v>
                </c:pt>
                <c:pt idx="316">
                  <c:v>03-02-2022</c:v>
                </c:pt>
                <c:pt idx="317">
                  <c:v>04-02-2022</c:v>
                </c:pt>
                <c:pt idx="318">
                  <c:v>07-02-2022</c:v>
                </c:pt>
                <c:pt idx="319">
                  <c:v>08-02-2022</c:v>
                </c:pt>
                <c:pt idx="320">
                  <c:v>09-02-2022</c:v>
                </c:pt>
                <c:pt idx="321">
                  <c:v>10-02-2022</c:v>
                </c:pt>
                <c:pt idx="322">
                  <c:v>11-02-2022</c:v>
                </c:pt>
                <c:pt idx="323">
                  <c:v>14-02-2022</c:v>
                </c:pt>
                <c:pt idx="324">
                  <c:v>15-02-2022</c:v>
                </c:pt>
                <c:pt idx="325">
                  <c:v>16-02-2022</c:v>
                </c:pt>
                <c:pt idx="326">
                  <c:v>17-02-2022</c:v>
                </c:pt>
                <c:pt idx="327">
                  <c:v>18-02-2022</c:v>
                </c:pt>
                <c:pt idx="328">
                  <c:v>22-02-2022</c:v>
                </c:pt>
                <c:pt idx="329">
                  <c:v>23-02-2022</c:v>
                </c:pt>
                <c:pt idx="330">
                  <c:v>24-02-2022</c:v>
                </c:pt>
                <c:pt idx="331">
                  <c:v>25-02-2022</c:v>
                </c:pt>
                <c:pt idx="332">
                  <c:v>28-02-2022</c:v>
                </c:pt>
                <c:pt idx="333">
                  <c:v>01-03-2022</c:v>
                </c:pt>
                <c:pt idx="334">
                  <c:v>02-03-2022</c:v>
                </c:pt>
                <c:pt idx="335">
                  <c:v>03-03-2022</c:v>
                </c:pt>
                <c:pt idx="336">
                  <c:v>04-03-2022</c:v>
                </c:pt>
                <c:pt idx="337">
                  <c:v>07-03-2022</c:v>
                </c:pt>
                <c:pt idx="338">
                  <c:v>08-03-2022</c:v>
                </c:pt>
                <c:pt idx="339">
                  <c:v>09-03-2022</c:v>
                </c:pt>
                <c:pt idx="340">
                  <c:v>10-03-2022</c:v>
                </c:pt>
                <c:pt idx="341">
                  <c:v>11-03-2022</c:v>
                </c:pt>
                <c:pt idx="342">
                  <c:v>14-03-2022</c:v>
                </c:pt>
                <c:pt idx="343">
                  <c:v>15-03-2022</c:v>
                </c:pt>
                <c:pt idx="344">
                  <c:v>16-03-2022</c:v>
                </c:pt>
                <c:pt idx="345">
                  <c:v>17-03-2022</c:v>
                </c:pt>
                <c:pt idx="346">
                  <c:v>18-03-2022</c:v>
                </c:pt>
                <c:pt idx="347">
                  <c:v>21-03-2022</c:v>
                </c:pt>
                <c:pt idx="348">
                  <c:v>22-03-2022</c:v>
                </c:pt>
                <c:pt idx="349">
                  <c:v>23-03-2022</c:v>
                </c:pt>
                <c:pt idx="350">
                  <c:v>24-03-2022</c:v>
                </c:pt>
                <c:pt idx="351">
                  <c:v>25-03-2022</c:v>
                </c:pt>
                <c:pt idx="352">
                  <c:v>28-03-2022</c:v>
                </c:pt>
                <c:pt idx="353">
                  <c:v>29-03-2022</c:v>
                </c:pt>
                <c:pt idx="354">
                  <c:v>30-03-2022</c:v>
                </c:pt>
                <c:pt idx="355">
                  <c:v>31-03-2022</c:v>
                </c:pt>
                <c:pt idx="356">
                  <c:v>01-04-2022</c:v>
                </c:pt>
                <c:pt idx="357">
                  <c:v>04-04-2022</c:v>
                </c:pt>
                <c:pt idx="358">
                  <c:v>05-04-2022</c:v>
                </c:pt>
                <c:pt idx="359">
                  <c:v>06-04-2022</c:v>
                </c:pt>
                <c:pt idx="360">
                  <c:v>07-04-2022</c:v>
                </c:pt>
                <c:pt idx="361">
                  <c:v>08-04-2022</c:v>
                </c:pt>
                <c:pt idx="362">
                  <c:v>11-04-2022</c:v>
                </c:pt>
                <c:pt idx="363">
                  <c:v>12-04-2022</c:v>
                </c:pt>
                <c:pt idx="364">
                  <c:v>13-04-2022</c:v>
                </c:pt>
                <c:pt idx="365">
                  <c:v>14-04-2022</c:v>
                </c:pt>
                <c:pt idx="366">
                  <c:v>18-04-2022</c:v>
                </c:pt>
                <c:pt idx="367">
                  <c:v>19-04-2022</c:v>
                </c:pt>
                <c:pt idx="368">
                  <c:v>20-04-2022</c:v>
                </c:pt>
                <c:pt idx="369">
                  <c:v>21-04-2022</c:v>
                </c:pt>
                <c:pt idx="370">
                  <c:v>22-04-2022</c:v>
                </c:pt>
                <c:pt idx="371">
                  <c:v>25-04-2022</c:v>
                </c:pt>
                <c:pt idx="372">
                  <c:v>26-04-2022</c:v>
                </c:pt>
                <c:pt idx="373">
                  <c:v>27-04-2022</c:v>
                </c:pt>
                <c:pt idx="374">
                  <c:v>28-04-2022</c:v>
                </c:pt>
                <c:pt idx="375">
                  <c:v>29-04-2022</c:v>
                </c:pt>
                <c:pt idx="376">
                  <c:v>02-05-2022</c:v>
                </c:pt>
                <c:pt idx="377">
                  <c:v>03-05-2022</c:v>
                </c:pt>
                <c:pt idx="378">
                  <c:v>04-05-2022</c:v>
                </c:pt>
                <c:pt idx="379">
                  <c:v>05-05-2022</c:v>
                </c:pt>
                <c:pt idx="380">
                  <c:v>06-05-2022</c:v>
                </c:pt>
                <c:pt idx="381">
                  <c:v>09-05-2022</c:v>
                </c:pt>
                <c:pt idx="382">
                  <c:v>10-05-2022</c:v>
                </c:pt>
                <c:pt idx="383">
                  <c:v>11-05-2022</c:v>
                </c:pt>
                <c:pt idx="384">
                  <c:v>12-05-2022</c:v>
                </c:pt>
                <c:pt idx="385">
                  <c:v>13-05-2022</c:v>
                </c:pt>
                <c:pt idx="386">
                  <c:v>16-05-2022</c:v>
                </c:pt>
                <c:pt idx="387">
                  <c:v>17-05-2022</c:v>
                </c:pt>
                <c:pt idx="388">
                  <c:v>18-05-2022</c:v>
                </c:pt>
                <c:pt idx="389">
                  <c:v>19-05-2022</c:v>
                </c:pt>
                <c:pt idx="390">
                  <c:v>20-05-2022</c:v>
                </c:pt>
                <c:pt idx="391">
                  <c:v>23-05-2022</c:v>
                </c:pt>
                <c:pt idx="392">
                  <c:v>24-05-2022</c:v>
                </c:pt>
                <c:pt idx="393">
                  <c:v>25-05-2022</c:v>
                </c:pt>
                <c:pt idx="394">
                  <c:v>26-05-2022</c:v>
                </c:pt>
                <c:pt idx="395">
                  <c:v>27-05-2022</c:v>
                </c:pt>
                <c:pt idx="396">
                  <c:v>31-05-2022</c:v>
                </c:pt>
                <c:pt idx="397">
                  <c:v>01-06-2022</c:v>
                </c:pt>
                <c:pt idx="398">
                  <c:v>02-06-2022</c:v>
                </c:pt>
                <c:pt idx="399">
                  <c:v>03-06-2022</c:v>
                </c:pt>
                <c:pt idx="400">
                  <c:v>06-06-2022</c:v>
                </c:pt>
                <c:pt idx="401">
                  <c:v>07-06-2022</c:v>
                </c:pt>
                <c:pt idx="402">
                  <c:v>08-06-2022</c:v>
                </c:pt>
                <c:pt idx="403">
                  <c:v>09-06-2022</c:v>
                </c:pt>
                <c:pt idx="404">
                  <c:v>10-06-2022</c:v>
                </c:pt>
                <c:pt idx="405">
                  <c:v>13-06-2022</c:v>
                </c:pt>
                <c:pt idx="406">
                  <c:v>14-06-2022</c:v>
                </c:pt>
                <c:pt idx="407">
                  <c:v>15-06-2022</c:v>
                </c:pt>
                <c:pt idx="408">
                  <c:v>16-06-2022</c:v>
                </c:pt>
                <c:pt idx="409">
                  <c:v>17-06-2022</c:v>
                </c:pt>
                <c:pt idx="410">
                  <c:v>21-06-2022</c:v>
                </c:pt>
                <c:pt idx="411">
                  <c:v>22-06-2022</c:v>
                </c:pt>
                <c:pt idx="412">
                  <c:v>23-06-2022</c:v>
                </c:pt>
                <c:pt idx="413">
                  <c:v>24-06-2022</c:v>
                </c:pt>
                <c:pt idx="414">
                  <c:v>27-06-2022</c:v>
                </c:pt>
                <c:pt idx="415">
                  <c:v>28-06-2022</c:v>
                </c:pt>
                <c:pt idx="416">
                  <c:v>29-06-2022</c:v>
                </c:pt>
                <c:pt idx="417">
                  <c:v>30-06-2022</c:v>
                </c:pt>
                <c:pt idx="418">
                  <c:v>01-07-2022</c:v>
                </c:pt>
                <c:pt idx="419">
                  <c:v>05-07-2022</c:v>
                </c:pt>
                <c:pt idx="420">
                  <c:v>06-07-2022</c:v>
                </c:pt>
                <c:pt idx="421">
                  <c:v>07-07-2022</c:v>
                </c:pt>
                <c:pt idx="422">
                  <c:v>08-07-2022</c:v>
                </c:pt>
                <c:pt idx="423">
                  <c:v>11-07-2022</c:v>
                </c:pt>
                <c:pt idx="424">
                  <c:v>12-07-2022</c:v>
                </c:pt>
                <c:pt idx="425">
                  <c:v>13-07-2022</c:v>
                </c:pt>
                <c:pt idx="426">
                  <c:v>14-07-2022</c:v>
                </c:pt>
                <c:pt idx="427">
                  <c:v>15-07-2022</c:v>
                </c:pt>
                <c:pt idx="428">
                  <c:v>18-07-2022</c:v>
                </c:pt>
                <c:pt idx="429">
                  <c:v>19-07-2022</c:v>
                </c:pt>
                <c:pt idx="430">
                  <c:v>20-07-2022</c:v>
                </c:pt>
                <c:pt idx="431">
                  <c:v>21-07-2022</c:v>
                </c:pt>
                <c:pt idx="432">
                  <c:v>22-07-2022</c:v>
                </c:pt>
                <c:pt idx="433">
                  <c:v>25-07-2022</c:v>
                </c:pt>
                <c:pt idx="434">
                  <c:v>26-07-2022</c:v>
                </c:pt>
                <c:pt idx="435">
                  <c:v>27-07-2022</c:v>
                </c:pt>
                <c:pt idx="436">
                  <c:v>28-07-2022</c:v>
                </c:pt>
                <c:pt idx="437">
                  <c:v>29-07-2022</c:v>
                </c:pt>
                <c:pt idx="438">
                  <c:v>01-08-2022</c:v>
                </c:pt>
                <c:pt idx="439">
                  <c:v>02-08-2022</c:v>
                </c:pt>
                <c:pt idx="440">
                  <c:v>03-08-2022</c:v>
                </c:pt>
                <c:pt idx="441">
                  <c:v>04-08-2022</c:v>
                </c:pt>
                <c:pt idx="442">
                  <c:v>05-08-2022</c:v>
                </c:pt>
                <c:pt idx="443">
                  <c:v>08-08-2022</c:v>
                </c:pt>
                <c:pt idx="444">
                  <c:v>09-08-2022</c:v>
                </c:pt>
                <c:pt idx="445">
                  <c:v>10-08-2022</c:v>
                </c:pt>
                <c:pt idx="446">
                  <c:v>11-08-2022</c:v>
                </c:pt>
                <c:pt idx="447">
                  <c:v>12-08-2022</c:v>
                </c:pt>
                <c:pt idx="448">
                  <c:v>15-08-2022</c:v>
                </c:pt>
                <c:pt idx="449">
                  <c:v>16-08-2022</c:v>
                </c:pt>
                <c:pt idx="450">
                  <c:v>17-08-2022</c:v>
                </c:pt>
                <c:pt idx="451">
                  <c:v>18-08-2022</c:v>
                </c:pt>
                <c:pt idx="452">
                  <c:v>19-08-2022</c:v>
                </c:pt>
                <c:pt idx="453">
                  <c:v>22-08-2022</c:v>
                </c:pt>
                <c:pt idx="454">
                  <c:v>23-08-2022</c:v>
                </c:pt>
                <c:pt idx="455">
                  <c:v>24-08-2022</c:v>
                </c:pt>
                <c:pt idx="456">
                  <c:v>25-08-2022</c:v>
                </c:pt>
                <c:pt idx="457">
                  <c:v>26-08-2022</c:v>
                </c:pt>
                <c:pt idx="458">
                  <c:v>29-08-2022</c:v>
                </c:pt>
                <c:pt idx="459">
                  <c:v>30-08-2022</c:v>
                </c:pt>
                <c:pt idx="460">
                  <c:v>31-08-2022</c:v>
                </c:pt>
                <c:pt idx="461">
                  <c:v>01-09-2022</c:v>
                </c:pt>
                <c:pt idx="462">
                  <c:v>02-09-2022</c:v>
                </c:pt>
                <c:pt idx="463">
                  <c:v>06-09-2022</c:v>
                </c:pt>
                <c:pt idx="464">
                  <c:v>07-09-2022</c:v>
                </c:pt>
                <c:pt idx="465">
                  <c:v>08-09-2022</c:v>
                </c:pt>
                <c:pt idx="466">
                  <c:v>09-09-2022</c:v>
                </c:pt>
                <c:pt idx="467">
                  <c:v>12-09-2022</c:v>
                </c:pt>
                <c:pt idx="468">
                  <c:v>13-09-2022</c:v>
                </c:pt>
                <c:pt idx="469">
                  <c:v>14-09-2022</c:v>
                </c:pt>
                <c:pt idx="470">
                  <c:v>15-09-2022</c:v>
                </c:pt>
                <c:pt idx="471">
                  <c:v>16-09-2022</c:v>
                </c:pt>
                <c:pt idx="472">
                  <c:v>19-09-2022</c:v>
                </c:pt>
                <c:pt idx="473">
                  <c:v>20-09-2022</c:v>
                </c:pt>
                <c:pt idx="474">
                  <c:v>21-09-2022</c:v>
                </c:pt>
                <c:pt idx="475">
                  <c:v>22-09-2022</c:v>
                </c:pt>
                <c:pt idx="476">
                  <c:v>23-09-2022</c:v>
                </c:pt>
                <c:pt idx="477">
                  <c:v>26-09-2022</c:v>
                </c:pt>
                <c:pt idx="478">
                  <c:v>27-09-2022</c:v>
                </c:pt>
                <c:pt idx="479">
                  <c:v>28-09-2022</c:v>
                </c:pt>
                <c:pt idx="480">
                  <c:v>29-09-2022</c:v>
                </c:pt>
                <c:pt idx="481">
                  <c:v>30-09-2022</c:v>
                </c:pt>
                <c:pt idx="482">
                  <c:v>03-10-2022</c:v>
                </c:pt>
                <c:pt idx="483">
                  <c:v>04-10-2022</c:v>
                </c:pt>
                <c:pt idx="484">
                  <c:v>05-10-2022</c:v>
                </c:pt>
                <c:pt idx="485">
                  <c:v>06-10-2022</c:v>
                </c:pt>
                <c:pt idx="486">
                  <c:v>07-10-2022</c:v>
                </c:pt>
                <c:pt idx="487">
                  <c:v>10-10-2022</c:v>
                </c:pt>
                <c:pt idx="488">
                  <c:v>11-10-2022</c:v>
                </c:pt>
                <c:pt idx="489">
                  <c:v>12-10-2022</c:v>
                </c:pt>
                <c:pt idx="490">
                  <c:v>13-10-2022</c:v>
                </c:pt>
                <c:pt idx="491">
                  <c:v>14-10-2022</c:v>
                </c:pt>
                <c:pt idx="492">
                  <c:v>17-10-2022</c:v>
                </c:pt>
                <c:pt idx="493">
                  <c:v>18-10-2022</c:v>
                </c:pt>
                <c:pt idx="494">
                  <c:v>19-10-2022</c:v>
                </c:pt>
                <c:pt idx="495">
                  <c:v>20-10-2022</c:v>
                </c:pt>
                <c:pt idx="496">
                  <c:v>21-10-2022</c:v>
                </c:pt>
                <c:pt idx="497">
                  <c:v>24-10-2022</c:v>
                </c:pt>
                <c:pt idx="498">
                  <c:v>25-10-2022</c:v>
                </c:pt>
                <c:pt idx="499">
                  <c:v>26-10-2022</c:v>
                </c:pt>
                <c:pt idx="500">
                  <c:v>27-10-2022</c:v>
                </c:pt>
                <c:pt idx="501">
                  <c:v>28-10-2022</c:v>
                </c:pt>
                <c:pt idx="502">
                  <c:v>31-10-2022</c:v>
                </c:pt>
                <c:pt idx="503">
                  <c:v>01-11-2022</c:v>
                </c:pt>
                <c:pt idx="504">
                  <c:v>02-11-2022</c:v>
                </c:pt>
                <c:pt idx="505">
                  <c:v>03-11-2022</c:v>
                </c:pt>
                <c:pt idx="506">
                  <c:v>04-11-2022</c:v>
                </c:pt>
                <c:pt idx="507">
                  <c:v>07-11-2022</c:v>
                </c:pt>
                <c:pt idx="508">
                  <c:v>08-11-2022</c:v>
                </c:pt>
                <c:pt idx="509">
                  <c:v>09-11-2022</c:v>
                </c:pt>
                <c:pt idx="510">
                  <c:v>10-11-2022</c:v>
                </c:pt>
                <c:pt idx="511">
                  <c:v>11-11-2022</c:v>
                </c:pt>
                <c:pt idx="512">
                  <c:v>14-11-2022</c:v>
                </c:pt>
                <c:pt idx="513">
                  <c:v>15-11-2022</c:v>
                </c:pt>
                <c:pt idx="514">
                  <c:v>16-11-2022</c:v>
                </c:pt>
                <c:pt idx="515">
                  <c:v>17-11-2022</c:v>
                </c:pt>
                <c:pt idx="516">
                  <c:v>18-11-2022</c:v>
                </c:pt>
                <c:pt idx="517">
                  <c:v>21-11-2022</c:v>
                </c:pt>
                <c:pt idx="518">
                  <c:v>22-11-2022</c:v>
                </c:pt>
                <c:pt idx="519">
                  <c:v>23-11-2022</c:v>
                </c:pt>
                <c:pt idx="520">
                  <c:v>25-11-2022</c:v>
                </c:pt>
                <c:pt idx="521">
                  <c:v>28-11-2022</c:v>
                </c:pt>
                <c:pt idx="522">
                  <c:v>29-11-2022</c:v>
                </c:pt>
                <c:pt idx="523">
                  <c:v>30-11-2022</c:v>
                </c:pt>
                <c:pt idx="524">
                  <c:v>01-12-2022</c:v>
                </c:pt>
                <c:pt idx="525">
                  <c:v>02-12-2022</c:v>
                </c:pt>
                <c:pt idx="526">
                  <c:v>05-12-2022</c:v>
                </c:pt>
                <c:pt idx="527">
                  <c:v>06-12-2022</c:v>
                </c:pt>
                <c:pt idx="528">
                  <c:v>07-12-2022</c:v>
                </c:pt>
                <c:pt idx="529">
                  <c:v>08-12-2022</c:v>
                </c:pt>
                <c:pt idx="530">
                  <c:v>09-12-2022</c:v>
                </c:pt>
                <c:pt idx="531">
                  <c:v>12-12-2022</c:v>
                </c:pt>
                <c:pt idx="532">
                  <c:v>13-12-2022</c:v>
                </c:pt>
                <c:pt idx="533">
                  <c:v>14-12-2022</c:v>
                </c:pt>
                <c:pt idx="534">
                  <c:v>15-12-2022</c:v>
                </c:pt>
                <c:pt idx="535">
                  <c:v>16-12-2022</c:v>
                </c:pt>
                <c:pt idx="536">
                  <c:v>19-12-2022</c:v>
                </c:pt>
                <c:pt idx="537">
                  <c:v>20-12-2022</c:v>
                </c:pt>
                <c:pt idx="538">
                  <c:v>21-12-2022</c:v>
                </c:pt>
                <c:pt idx="539">
                  <c:v>22-12-2022</c:v>
                </c:pt>
                <c:pt idx="540">
                  <c:v>23-12-2022</c:v>
                </c:pt>
                <c:pt idx="541">
                  <c:v>27-12-2022</c:v>
                </c:pt>
                <c:pt idx="542">
                  <c:v>28-12-2022</c:v>
                </c:pt>
                <c:pt idx="543">
                  <c:v>29-12-2022</c:v>
                </c:pt>
                <c:pt idx="544">
                  <c:v>30-12-2022</c:v>
                </c:pt>
                <c:pt idx="545">
                  <c:v>03-01-2023</c:v>
                </c:pt>
                <c:pt idx="546">
                  <c:v>04-01-2023</c:v>
                </c:pt>
                <c:pt idx="547">
                  <c:v>05-01-2023</c:v>
                </c:pt>
                <c:pt idx="548">
                  <c:v>06-01-2023</c:v>
                </c:pt>
                <c:pt idx="549">
                  <c:v>09-01-2023</c:v>
                </c:pt>
                <c:pt idx="550">
                  <c:v>10-01-2023</c:v>
                </c:pt>
                <c:pt idx="551">
                  <c:v>11-01-2023</c:v>
                </c:pt>
                <c:pt idx="552">
                  <c:v>12-01-2023</c:v>
                </c:pt>
                <c:pt idx="553">
                  <c:v>13-01-2023</c:v>
                </c:pt>
                <c:pt idx="554">
                  <c:v>17-01-2023</c:v>
                </c:pt>
                <c:pt idx="555">
                  <c:v>18-01-2023</c:v>
                </c:pt>
                <c:pt idx="556">
                  <c:v>19-01-2023</c:v>
                </c:pt>
                <c:pt idx="557">
                  <c:v>20-01-2023</c:v>
                </c:pt>
                <c:pt idx="558">
                  <c:v>23-01-2023</c:v>
                </c:pt>
                <c:pt idx="559">
                  <c:v>24-01-2023</c:v>
                </c:pt>
                <c:pt idx="560">
                  <c:v>25-01-2023</c:v>
                </c:pt>
                <c:pt idx="561">
                  <c:v>26-01-2023</c:v>
                </c:pt>
                <c:pt idx="562">
                  <c:v>27-01-2023</c:v>
                </c:pt>
                <c:pt idx="563">
                  <c:v>30-01-2023</c:v>
                </c:pt>
                <c:pt idx="564">
                  <c:v>31-01-2023</c:v>
                </c:pt>
                <c:pt idx="565">
                  <c:v>01-02-2023</c:v>
                </c:pt>
                <c:pt idx="566">
                  <c:v>02-02-2023</c:v>
                </c:pt>
                <c:pt idx="567">
                  <c:v>03-02-2023</c:v>
                </c:pt>
                <c:pt idx="568">
                  <c:v>06-02-2023</c:v>
                </c:pt>
                <c:pt idx="569">
                  <c:v>07-02-2023</c:v>
                </c:pt>
                <c:pt idx="570">
                  <c:v>08-02-2023</c:v>
                </c:pt>
                <c:pt idx="571">
                  <c:v>09-02-2023</c:v>
                </c:pt>
                <c:pt idx="572">
                  <c:v>10-02-2023</c:v>
                </c:pt>
                <c:pt idx="573">
                  <c:v>13-02-2023</c:v>
                </c:pt>
                <c:pt idx="574">
                  <c:v>14-02-2023</c:v>
                </c:pt>
                <c:pt idx="575">
                  <c:v>15-02-2023</c:v>
                </c:pt>
                <c:pt idx="576">
                  <c:v>16-02-2023</c:v>
                </c:pt>
                <c:pt idx="577">
                  <c:v>17-02-2023</c:v>
                </c:pt>
                <c:pt idx="578">
                  <c:v>21-02-2023</c:v>
                </c:pt>
                <c:pt idx="579">
                  <c:v>22-02-2023</c:v>
                </c:pt>
                <c:pt idx="580">
                  <c:v>23-02-2023</c:v>
                </c:pt>
                <c:pt idx="581">
                  <c:v>24-02-2023</c:v>
                </c:pt>
                <c:pt idx="582">
                  <c:v>27-02-2023</c:v>
                </c:pt>
                <c:pt idx="583">
                  <c:v>28-02-2023</c:v>
                </c:pt>
                <c:pt idx="584">
                  <c:v>01-03-2023</c:v>
                </c:pt>
                <c:pt idx="585">
                  <c:v>02-03-2023</c:v>
                </c:pt>
                <c:pt idx="586">
                  <c:v>03-03-2023</c:v>
                </c:pt>
                <c:pt idx="587">
                  <c:v>06-03-2023</c:v>
                </c:pt>
                <c:pt idx="588">
                  <c:v>07-03-2023</c:v>
                </c:pt>
                <c:pt idx="589">
                  <c:v>08-03-2023</c:v>
                </c:pt>
                <c:pt idx="590">
                  <c:v>09-03-2023</c:v>
                </c:pt>
                <c:pt idx="591">
                  <c:v>10-03-2023</c:v>
                </c:pt>
                <c:pt idx="592">
                  <c:v>13-03-2023</c:v>
                </c:pt>
                <c:pt idx="593">
                  <c:v>14-03-2023</c:v>
                </c:pt>
                <c:pt idx="594">
                  <c:v>15-03-2023</c:v>
                </c:pt>
                <c:pt idx="595">
                  <c:v>16-03-2023</c:v>
                </c:pt>
                <c:pt idx="596">
                  <c:v>17-03-2023</c:v>
                </c:pt>
                <c:pt idx="597">
                  <c:v>20-03-2023</c:v>
                </c:pt>
                <c:pt idx="598">
                  <c:v>21-03-2023</c:v>
                </c:pt>
                <c:pt idx="599">
                  <c:v>22-03-2023</c:v>
                </c:pt>
                <c:pt idx="600">
                  <c:v>23-03-2023</c:v>
                </c:pt>
                <c:pt idx="601">
                  <c:v>24-03-2023</c:v>
                </c:pt>
                <c:pt idx="602">
                  <c:v>27-03-2023</c:v>
                </c:pt>
                <c:pt idx="603">
                  <c:v>28-03-2023</c:v>
                </c:pt>
                <c:pt idx="604">
                  <c:v>29-03-2023</c:v>
                </c:pt>
                <c:pt idx="605">
                  <c:v>30-03-2023</c:v>
                </c:pt>
                <c:pt idx="606">
                  <c:v>31-03-2023</c:v>
                </c:pt>
                <c:pt idx="607">
                  <c:v>03-04-2023</c:v>
                </c:pt>
                <c:pt idx="608">
                  <c:v>04-04-2023</c:v>
                </c:pt>
                <c:pt idx="609">
                  <c:v>05-04-2023</c:v>
                </c:pt>
                <c:pt idx="610">
                  <c:v>06-04-2023</c:v>
                </c:pt>
                <c:pt idx="611">
                  <c:v>10-04-2023</c:v>
                </c:pt>
                <c:pt idx="612">
                  <c:v>11-04-2023</c:v>
                </c:pt>
                <c:pt idx="613">
                  <c:v>12-04-2023</c:v>
                </c:pt>
                <c:pt idx="614">
                  <c:v>13-04-2023</c:v>
                </c:pt>
                <c:pt idx="615">
                  <c:v>14-04-2023</c:v>
                </c:pt>
                <c:pt idx="616">
                  <c:v>17-04-2023</c:v>
                </c:pt>
                <c:pt idx="617">
                  <c:v>18-04-2023</c:v>
                </c:pt>
                <c:pt idx="618">
                  <c:v>19-04-2023</c:v>
                </c:pt>
                <c:pt idx="619">
                  <c:v>20-04-2023</c:v>
                </c:pt>
                <c:pt idx="620">
                  <c:v>21-04-2023</c:v>
                </c:pt>
                <c:pt idx="621">
                  <c:v>24-04-2023</c:v>
                </c:pt>
                <c:pt idx="622">
                  <c:v>25-04-2023</c:v>
                </c:pt>
                <c:pt idx="623">
                  <c:v>26-04-2023</c:v>
                </c:pt>
                <c:pt idx="624">
                  <c:v>27-04-2023</c:v>
                </c:pt>
                <c:pt idx="625">
                  <c:v>28-04-2023</c:v>
                </c:pt>
                <c:pt idx="626">
                  <c:v>01-05-2023</c:v>
                </c:pt>
                <c:pt idx="627">
                  <c:v>02-05-2023</c:v>
                </c:pt>
                <c:pt idx="628">
                  <c:v>03-05-2023</c:v>
                </c:pt>
                <c:pt idx="629">
                  <c:v>04-05-2023</c:v>
                </c:pt>
                <c:pt idx="630">
                  <c:v>05-05-2023</c:v>
                </c:pt>
                <c:pt idx="631">
                  <c:v>08-05-2023</c:v>
                </c:pt>
                <c:pt idx="632">
                  <c:v>09-05-2023</c:v>
                </c:pt>
                <c:pt idx="633">
                  <c:v>10-05-2023</c:v>
                </c:pt>
                <c:pt idx="634">
                  <c:v>11-05-2023</c:v>
                </c:pt>
                <c:pt idx="635">
                  <c:v>12-05-2023</c:v>
                </c:pt>
                <c:pt idx="636">
                  <c:v>15-05-2023</c:v>
                </c:pt>
                <c:pt idx="637">
                  <c:v>16-05-2023</c:v>
                </c:pt>
                <c:pt idx="638">
                  <c:v>17-05-2023</c:v>
                </c:pt>
                <c:pt idx="639">
                  <c:v>18-05-2023</c:v>
                </c:pt>
                <c:pt idx="640">
                  <c:v>19-05-2023</c:v>
                </c:pt>
                <c:pt idx="641">
                  <c:v>22-05-2023</c:v>
                </c:pt>
                <c:pt idx="642">
                  <c:v>23-05-2023</c:v>
                </c:pt>
                <c:pt idx="643">
                  <c:v>24-05-2023</c:v>
                </c:pt>
                <c:pt idx="644">
                  <c:v>25-05-2023</c:v>
                </c:pt>
                <c:pt idx="645">
                  <c:v>26-05-2023</c:v>
                </c:pt>
                <c:pt idx="646">
                  <c:v>30-05-2023</c:v>
                </c:pt>
                <c:pt idx="647">
                  <c:v>31-05-2023</c:v>
                </c:pt>
                <c:pt idx="648">
                  <c:v>01-06-2023</c:v>
                </c:pt>
                <c:pt idx="649">
                  <c:v>02-06-2023</c:v>
                </c:pt>
                <c:pt idx="650">
                  <c:v>05-06-2023</c:v>
                </c:pt>
                <c:pt idx="651">
                  <c:v>06-06-2023</c:v>
                </c:pt>
                <c:pt idx="652">
                  <c:v>07-06-2023</c:v>
                </c:pt>
                <c:pt idx="653">
                  <c:v>08-06-2023</c:v>
                </c:pt>
                <c:pt idx="654">
                  <c:v>09-06-2023</c:v>
                </c:pt>
                <c:pt idx="655">
                  <c:v>12-06-2023</c:v>
                </c:pt>
                <c:pt idx="656">
                  <c:v>13-06-2023</c:v>
                </c:pt>
                <c:pt idx="657">
                  <c:v>14-06-2023</c:v>
                </c:pt>
                <c:pt idx="658">
                  <c:v>15-06-2023</c:v>
                </c:pt>
                <c:pt idx="659">
                  <c:v>16-06-2023</c:v>
                </c:pt>
                <c:pt idx="660">
                  <c:v>20-06-2023</c:v>
                </c:pt>
                <c:pt idx="661">
                  <c:v>21-06-2023</c:v>
                </c:pt>
                <c:pt idx="662">
                  <c:v>22-06-2023</c:v>
                </c:pt>
                <c:pt idx="663">
                  <c:v>23-06-2023</c:v>
                </c:pt>
                <c:pt idx="664">
                  <c:v>26-06-2023</c:v>
                </c:pt>
                <c:pt idx="665">
                  <c:v>27-06-2023</c:v>
                </c:pt>
                <c:pt idx="666">
                  <c:v>28-06-2023</c:v>
                </c:pt>
                <c:pt idx="667">
                  <c:v>29-06-2023</c:v>
                </c:pt>
                <c:pt idx="668">
                  <c:v>30-06-2023</c:v>
                </c:pt>
                <c:pt idx="669">
                  <c:v>03-07-2023</c:v>
                </c:pt>
                <c:pt idx="670">
                  <c:v>05-07-2023</c:v>
                </c:pt>
                <c:pt idx="671">
                  <c:v>06-07-2023</c:v>
                </c:pt>
                <c:pt idx="672">
                  <c:v>07-07-2023</c:v>
                </c:pt>
                <c:pt idx="673">
                  <c:v>10-07-2023</c:v>
                </c:pt>
                <c:pt idx="674">
                  <c:v>11-07-2023</c:v>
                </c:pt>
                <c:pt idx="675">
                  <c:v>12-07-2023</c:v>
                </c:pt>
                <c:pt idx="676">
                  <c:v>13-07-2023</c:v>
                </c:pt>
                <c:pt idx="677">
                  <c:v>14-07-2023</c:v>
                </c:pt>
                <c:pt idx="678">
                  <c:v>17-07-2023</c:v>
                </c:pt>
                <c:pt idx="679">
                  <c:v>18-07-2023</c:v>
                </c:pt>
                <c:pt idx="680">
                  <c:v>19-07-2023</c:v>
                </c:pt>
                <c:pt idx="681">
                  <c:v>20-07-2023</c:v>
                </c:pt>
                <c:pt idx="682">
                  <c:v>21-07-2023</c:v>
                </c:pt>
                <c:pt idx="683">
                  <c:v>24-07-2023</c:v>
                </c:pt>
                <c:pt idx="684">
                  <c:v>25-07-2023</c:v>
                </c:pt>
                <c:pt idx="685">
                  <c:v>26-07-2023</c:v>
                </c:pt>
                <c:pt idx="686">
                  <c:v>27-07-2023</c:v>
                </c:pt>
                <c:pt idx="687">
                  <c:v>28-07-2023</c:v>
                </c:pt>
                <c:pt idx="688">
                  <c:v>31-07-2023</c:v>
                </c:pt>
                <c:pt idx="689">
                  <c:v>01-08-2023</c:v>
                </c:pt>
                <c:pt idx="690">
                  <c:v>02-08-2023</c:v>
                </c:pt>
                <c:pt idx="691">
                  <c:v>03-08-2023</c:v>
                </c:pt>
                <c:pt idx="692">
                  <c:v>04-08-2023</c:v>
                </c:pt>
                <c:pt idx="693">
                  <c:v>07-08-2023</c:v>
                </c:pt>
                <c:pt idx="694">
                  <c:v>08-08-2023</c:v>
                </c:pt>
                <c:pt idx="695">
                  <c:v>09-08-2023</c:v>
                </c:pt>
                <c:pt idx="696">
                  <c:v>10-08-2023</c:v>
                </c:pt>
                <c:pt idx="697">
                  <c:v>11-08-2023</c:v>
                </c:pt>
                <c:pt idx="698">
                  <c:v>14-08-2023</c:v>
                </c:pt>
                <c:pt idx="699">
                  <c:v>15-08-2023</c:v>
                </c:pt>
                <c:pt idx="700">
                  <c:v>16-08-2023</c:v>
                </c:pt>
                <c:pt idx="701">
                  <c:v>17-08-2023</c:v>
                </c:pt>
                <c:pt idx="702">
                  <c:v>18-08-2023</c:v>
                </c:pt>
                <c:pt idx="703">
                  <c:v>21-08-2023</c:v>
                </c:pt>
                <c:pt idx="704">
                  <c:v>22-08-2023</c:v>
                </c:pt>
                <c:pt idx="705">
                  <c:v>23-08-2023</c:v>
                </c:pt>
                <c:pt idx="706">
                  <c:v>24-08-2023</c:v>
                </c:pt>
                <c:pt idx="707">
                  <c:v>25-08-2023</c:v>
                </c:pt>
                <c:pt idx="708">
                  <c:v>28-08-2023</c:v>
                </c:pt>
                <c:pt idx="709">
                  <c:v>29-08-2023</c:v>
                </c:pt>
                <c:pt idx="710">
                  <c:v>30-08-2023</c:v>
                </c:pt>
                <c:pt idx="711">
                  <c:v>31-08-2023</c:v>
                </c:pt>
                <c:pt idx="712">
                  <c:v>01-09-2023</c:v>
                </c:pt>
                <c:pt idx="713">
                  <c:v>05-09-2023</c:v>
                </c:pt>
                <c:pt idx="714">
                  <c:v>06-09-2023</c:v>
                </c:pt>
                <c:pt idx="715">
                  <c:v>07-09-2023</c:v>
                </c:pt>
                <c:pt idx="716">
                  <c:v>08-09-2023</c:v>
                </c:pt>
                <c:pt idx="717">
                  <c:v>11-09-2023</c:v>
                </c:pt>
                <c:pt idx="718">
                  <c:v>12-09-2023</c:v>
                </c:pt>
                <c:pt idx="719">
                  <c:v>13-09-2023</c:v>
                </c:pt>
                <c:pt idx="720">
                  <c:v>14-09-2023</c:v>
                </c:pt>
                <c:pt idx="721">
                  <c:v>15-09-2023</c:v>
                </c:pt>
                <c:pt idx="722">
                  <c:v>18-09-2023</c:v>
                </c:pt>
                <c:pt idx="723">
                  <c:v>19-09-2023</c:v>
                </c:pt>
                <c:pt idx="724">
                  <c:v>20-09-2023</c:v>
                </c:pt>
                <c:pt idx="725">
                  <c:v>21-09-2023</c:v>
                </c:pt>
                <c:pt idx="726">
                  <c:v>22-09-2023</c:v>
                </c:pt>
                <c:pt idx="727">
                  <c:v>25-09-2023</c:v>
                </c:pt>
                <c:pt idx="728">
                  <c:v>26-09-2023</c:v>
                </c:pt>
                <c:pt idx="729">
                  <c:v>27-09-2023</c:v>
                </c:pt>
                <c:pt idx="730">
                  <c:v>28-09-2023</c:v>
                </c:pt>
                <c:pt idx="731">
                  <c:v>29-09-2023</c:v>
                </c:pt>
                <c:pt idx="732">
                  <c:v>02-10-2023</c:v>
                </c:pt>
                <c:pt idx="733">
                  <c:v>03-10-2023</c:v>
                </c:pt>
                <c:pt idx="734">
                  <c:v>04-10-2023</c:v>
                </c:pt>
                <c:pt idx="735">
                  <c:v>05-10-2023</c:v>
                </c:pt>
                <c:pt idx="736">
                  <c:v>06-10-2023</c:v>
                </c:pt>
                <c:pt idx="737">
                  <c:v>09-10-2023</c:v>
                </c:pt>
                <c:pt idx="738">
                  <c:v>10-10-2023</c:v>
                </c:pt>
                <c:pt idx="739">
                  <c:v>11-10-2023</c:v>
                </c:pt>
                <c:pt idx="740">
                  <c:v>12-10-2023</c:v>
                </c:pt>
                <c:pt idx="741">
                  <c:v>13-10-2023</c:v>
                </c:pt>
                <c:pt idx="742">
                  <c:v>16-10-2023</c:v>
                </c:pt>
                <c:pt idx="743">
                  <c:v>17-10-2023</c:v>
                </c:pt>
                <c:pt idx="744">
                  <c:v>18-10-2023</c:v>
                </c:pt>
                <c:pt idx="745">
                  <c:v>19-10-2023</c:v>
                </c:pt>
                <c:pt idx="746">
                  <c:v>20-10-2023</c:v>
                </c:pt>
                <c:pt idx="747">
                  <c:v>23-10-2023</c:v>
                </c:pt>
                <c:pt idx="748">
                  <c:v>24-10-2023</c:v>
                </c:pt>
                <c:pt idx="749">
                  <c:v>25-10-2023</c:v>
                </c:pt>
                <c:pt idx="750">
                  <c:v>26-10-2023</c:v>
                </c:pt>
                <c:pt idx="751">
                  <c:v>27-10-2023</c:v>
                </c:pt>
                <c:pt idx="752">
                  <c:v>30-10-2023</c:v>
                </c:pt>
                <c:pt idx="753">
                  <c:v>31-10-2023</c:v>
                </c:pt>
                <c:pt idx="754">
                  <c:v>01-11-2023</c:v>
                </c:pt>
                <c:pt idx="755">
                  <c:v>02-11-2023</c:v>
                </c:pt>
                <c:pt idx="756">
                  <c:v>03-11-2023</c:v>
                </c:pt>
                <c:pt idx="757">
                  <c:v>06-11-2023</c:v>
                </c:pt>
                <c:pt idx="758">
                  <c:v>07-11-2023</c:v>
                </c:pt>
                <c:pt idx="759">
                  <c:v>08-11-2023</c:v>
                </c:pt>
                <c:pt idx="760">
                  <c:v>09-11-2023</c:v>
                </c:pt>
                <c:pt idx="761">
                  <c:v>10-11-2023</c:v>
                </c:pt>
                <c:pt idx="762">
                  <c:v>13-11-2023</c:v>
                </c:pt>
                <c:pt idx="763">
                  <c:v>14-11-2023</c:v>
                </c:pt>
                <c:pt idx="764">
                  <c:v>15-11-2023</c:v>
                </c:pt>
                <c:pt idx="765">
                  <c:v>16-11-2023</c:v>
                </c:pt>
                <c:pt idx="766">
                  <c:v>17-11-2023</c:v>
                </c:pt>
                <c:pt idx="767">
                  <c:v>20-11-2023</c:v>
                </c:pt>
                <c:pt idx="768">
                  <c:v>21-11-2023</c:v>
                </c:pt>
                <c:pt idx="769">
                  <c:v>22-11-2023</c:v>
                </c:pt>
                <c:pt idx="770">
                  <c:v>24-11-2023</c:v>
                </c:pt>
                <c:pt idx="771">
                  <c:v>27-11-2023</c:v>
                </c:pt>
                <c:pt idx="772">
                  <c:v>28-11-2023</c:v>
                </c:pt>
                <c:pt idx="773">
                  <c:v>29-11-2023</c:v>
                </c:pt>
                <c:pt idx="774">
                  <c:v>30-11-2023</c:v>
                </c:pt>
                <c:pt idx="775">
                  <c:v>01-12-2023</c:v>
                </c:pt>
                <c:pt idx="776">
                  <c:v>04-12-2023</c:v>
                </c:pt>
                <c:pt idx="777">
                  <c:v>05-12-2023</c:v>
                </c:pt>
                <c:pt idx="778">
                  <c:v>06-12-2023</c:v>
                </c:pt>
                <c:pt idx="779">
                  <c:v>07-12-2023</c:v>
                </c:pt>
                <c:pt idx="780">
                  <c:v>08-12-2023</c:v>
                </c:pt>
                <c:pt idx="781">
                  <c:v>11-12-2023</c:v>
                </c:pt>
                <c:pt idx="782">
                  <c:v>12-12-2023</c:v>
                </c:pt>
                <c:pt idx="783">
                  <c:v>13-12-2023</c:v>
                </c:pt>
                <c:pt idx="784">
                  <c:v>14-12-2023</c:v>
                </c:pt>
                <c:pt idx="785">
                  <c:v>15-12-2023</c:v>
                </c:pt>
                <c:pt idx="786">
                  <c:v>18-12-2023</c:v>
                </c:pt>
                <c:pt idx="787">
                  <c:v>19-12-2023</c:v>
                </c:pt>
                <c:pt idx="788">
                  <c:v>20-12-2023</c:v>
                </c:pt>
                <c:pt idx="789">
                  <c:v>21-12-2023</c:v>
                </c:pt>
                <c:pt idx="790">
                  <c:v>22-12-2023</c:v>
                </c:pt>
                <c:pt idx="791">
                  <c:v>26-12-2023</c:v>
                </c:pt>
                <c:pt idx="792">
                  <c:v>27-12-2023</c:v>
                </c:pt>
                <c:pt idx="793">
                  <c:v>28-12-2023</c:v>
                </c:pt>
                <c:pt idx="794">
                  <c:v>29-12-2023</c:v>
                </c:pt>
                <c:pt idx="795">
                  <c:v>02-01-2024</c:v>
                </c:pt>
                <c:pt idx="796">
                  <c:v>03-01-2024</c:v>
                </c:pt>
                <c:pt idx="797">
                  <c:v>04-01-2024</c:v>
                </c:pt>
                <c:pt idx="798">
                  <c:v>05-01-2024</c:v>
                </c:pt>
                <c:pt idx="799">
                  <c:v>08-01-2024</c:v>
                </c:pt>
                <c:pt idx="800">
                  <c:v>09-01-2024</c:v>
                </c:pt>
                <c:pt idx="801">
                  <c:v>10-01-2024</c:v>
                </c:pt>
                <c:pt idx="802">
                  <c:v>11-01-2024</c:v>
                </c:pt>
                <c:pt idx="803">
                  <c:v>12-01-2024</c:v>
                </c:pt>
                <c:pt idx="804">
                  <c:v>16-01-2024</c:v>
                </c:pt>
                <c:pt idx="805">
                  <c:v>17-01-2024</c:v>
                </c:pt>
                <c:pt idx="806">
                  <c:v>18-01-2024</c:v>
                </c:pt>
                <c:pt idx="807">
                  <c:v>19-01-2024</c:v>
                </c:pt>
                <c:pt idx="808">
                  <c:v>22-01-2024</c:v>
                </c:pt>
                <c:pt idx="809">
                  <c:v>23-01-2024</c:v>
                </c:pt>
                <c:pt idx="810">
                  <c:v>24-01-2024</c:v>
                </c:pt>
                <c:pt idx="811">
                  <c:v>25-01-2024</c:v>
                </c:pt>
                <c:pt idx="812">
                  <c:v>26-01-2024</c:v>
                </c:pt>
                <c:pt idx="813">
                  <c:v>29-01-2024</c:v>
                </c:pt>
                <c:pt idx="814">
                  <c:v>30-01-2024</c:v>
                </c:pt>
                <c:pt idx="815">
                  <c:v>31-01-2024</c:v>
                </c:pt>
                <c:pt idx="816">
                  <c:v>01-02-2024</c:v>
                </c:pt>
                <c:pt idx="817">
                  <c:v>02-02-2024</c:v>
                </c:pt>
                <c:pt idx="818">
                  <c:v>05-02-2024</c:v>
                </c:pt>
                <c:pt idx="819">
                  <c:v>06-02-2024</c:v>
                </c:pt>
                <c:pt idx="820">
                  <c:v>07-02-2024</c:v>
                </c:pt>
                <c:pt idx="821">
                  <c:v>08-02-2024</c:v>
                </c:pt>
                <c:pt idx="822">
                  <c:v>09-02-2024</c:v>
                </c:pt>
                <c:pt idx="823">
                  <c:v>12-02-2024</c:v>
                </c:pt>
                <c:pt idx="824">
                  <c:v>13-02-2024</c:v>
                </c:pt>
                <c:pt idx="825">
                  <c:v>14-02-2024</c:v>
                </c:pt>
                <c:pt idx="826">
                  <c:v>15-02-2024</c:v>
                </c:pt>
                <c:pt idx="827">
                  <c:v>16-02-2024</c:v>
                </c:pt>
                <c:pt idx="828">
                  <c:v>20-02-2024</c:v>
                </c:pt>
                <c:pt idx="829">
                  <c:v>21-02-2024</c:v>
                </c:pt>
                <c:pt idx="830">
                  <c:v>22-02-2024</c:v>
                </c:pt>
                <c:pt idx="831">
                  <c:v>23-02-2024</c:v>
                </c:pt>
                <c:pt idx="832">
                  <c:v>26-02-2024</c:v>
                </c:pt>
                <c:pt idx="833">
                  <c:v>27-02-2024</c:v>
                </c:pt>
                <c:pt idx="834">
                  <c:v>28-02-2024</c:v>
                </c:pt>
                <c:pt idx="835">
                  <c:v>29-02-2024</c:v>
                </c:pt>
                <c:pt idx="836">
                  <c:v>01-03-2024</c:v>
                </c:pt>
                <c:pt idx="837">
                  <c:v>04-03-2024</c:v>
                </c:pt>
                <c:pt idx="838">
                  <c:v>05-03-2024</c:v>
                </c:pt>
                <c:pt idx="839">
                  <c:v>06-03-2024</c:v>
                </c:pt>
                <c:pt idx="840">
                  <c:v>07-03-2024</c:v>
                </c:pt>
                <c:pt idx="841">
                  <c:v>08-03-2024</c:v>
                </c:pt>
                <c:pt idx="842">
                  <c:v>11-03-2024</c:v>
                </c:pt>
                <c:pt idx="843">
                  <c:v>12-03-2024</c:v>
                </c:pt>
                <c:pt idx="844">
                  <c:v>13-03-2024</c:v>
                </c:pt>
                <c:pt idx="845">
                  <c:v>14-03-2024</c:v>
                </c:pt>
                <c:pt idx="846">
                  <c:v>15-03-2024</c:v>
                </c:pt>
                <c:pt idx="847">
                  <c:v>18-03-2024</c:v>
                </c:pt>
                <c:pt idx="848">
                  <c:v>19-03-2024</c:v>
                </c:pt>
                <c:pt idx="849">
                  <c:v>20-03-2024</c:v>
                </c:pt>
                <c:pt idx="850">
                  <c:v>21-03-2024</c:v>
                </c:pt>
                <c:pt idx="851">
                  <c:v>22-03-2024</c:v>
                </c:pt>
                <c:pt idx="852">
                  <c:v>25-03-2024</c:v>
                </c:pt>
                <c:pt idx="853">
                  <c:v>26-03-2024</c:v>
                </c:pt>
                <c:pt idx="854">
                  <c:v>27-03-2024</c:v>
                </c:pt>
                <c:pt idx="855">
                  <c:v>28-03-2024</c:v>
                </c:pt>
                <c:pt idx="856">
                  <c:v>01-04-2024</c:v>
                </c:pt>
                <c:pt idx="857">
                  <c:v>02-04-2024</c:v>
                </c:pt>
                <c:pt idx="858">
                  <c:v>03-04-2024</c:v>
                </c:pt>
                <c:pt idx="859">
                  <c:v>04-04-2024</c:v>
                </c:pt>
                <c:pt idx="860">
                  <c:v>05-04-2024</c:v>
                </c:pt>
                <c:pt idx="861">
                  <c:v>08-04-2024</c:v>
                </c:pt>
                <c:pt idx="862">
                  <c:v>09-04-2024</c:v>
                </c:pt>
                <c:pt idx="863">
                  <c:v>10-04-2024</c:v>
                </c:pt>
                <c:pt idx="864">
                  <c:v>11-04-2024</c:v>
                </c:pt>
                <c:pt idx="865">
                  <c:v>12-04-2024</c:v>
                </c:pt>
                <c:pt idx="866">
                  <c:v>15-04-2024</c:v>
                </c:pt>
                <c:pt idx="867">
                  <c:v>16-04-2024</c:v>
                </c:pt>
                <c:pt idx="868">
                  <c:v>17-04-2024</c:v>
                </c:pt>
                <c:pt idx="869">
                  <c:v>18-04-2024</c:v>
                </c:pt>
                <c:pt idx="870">
                  <c:v>19-04-2024</c:v>
                </c:pt>
                <c:pt idx="871">
                  <c:v>22-04-2024</c:v>
                </c:pt>
                <c:pt idx="872">
                  <c:v>23-04-2024</c:v>
                </c:pt>
                <c:pt idx="873">
                  <c:v>24-04-2024</c:v>
                </c:pt>
                <c:pt idx="874">
                  <c:v>25-04-2024</c:v>
                </c:pt>
                <c:pt idx="875">
                  <c:v>26-04-2024</c:v>
                </c:pt>
                <c:pt idx="876">
                  <c:v>29-04-2024</c:v>
                </c:pt>
                <c:pt idx="877">
                  <c:v>30-04-2024</c:v>
                </c:pt>
                <c:pt idx="878">
                  <c:v>01-05-2024</c:v>
                </c:pt>
                <c:pt idx="879">
                  <c:v>02-05-2024</c:v>
                </c:pt>
                <c:pt idx="880">
                  <c:v>03-05-2024</c:v>
                </c:pt>
                <c:pt idx="881">
                  <c:v>06-05-2024</c:v>
                </c:pt>
                <c:pt idx="882">
                  <c:v>07-05-2024</c:v>
                </c:pt>
                <c:pt idx="883">
                  <c:v>08-05-2024</c:v>
                </c:pt>
                <c:pt idx="884">
                  <c:v>09-05-2024</c:v>
                </c:pt>
                <c:pt idx="885">
                  <c:v>10-05-2024</c:v>
                </c:pt>
                <c:pt idx="886">
                  <c:v>13-05-2024</c:v>
                </c:pt>
                <c:pt idx="887">
                  <c:v>14-05-2024</c:v>
                </c:pt>
                <c:pt idx="888">
                  <c:v>15-05-2024</c:v>
                </c:pt>
                <c:pt idx="889">
                  <c:v>16-05-2024</c:v>
                </c:pt>
                <c:pt idx="890">
                  <c:v>17-05-2024</c:v>
                </c:pt>
                <c:pt idx="891">
                  <c:v>20-05-2024</c:v>
                </c:pt>
                <c:pt idx="892">
                  <c:v>21-05-2024</c:v>
                </c:pt>
                <c:pt idx="893">
                  <c:v>22-05-2024</c:v>
                </c:pt>
                <c:pt idx="894">
                  <c:v>23-05-2024</c:v>
                </c:pt>
                <c:pt idx="895">
                  <c:v>24-05-2024</c:v>
                </c:pt>
                <c:pt idx="896">
                  <c:v>28-05-2024</c:v>
                </c:pt>
                <c:pt idx="897">
                  <c:v>29-05-2024</c:v>
                </c:pt>
                <c:pt idx="898">
                  <c:v>30-05-2024</c:v>
                </c:pt>
                <c:pt idx="899">
                  <c:v>31-05-2024</c:v>
                </c:pt>
                <c:pt idx="900">
                  <c:v>03-06-2024</c:v>
                </c:pt>
                <c:pt idx="901">
                  <c:v>04-06-2024</c:v>
                </c:pt>
                <c:pt idx="902">
                  <c:v>05-06-2024</c:v>
                </c:pt>
                <c:pt idx="903">
                  <c:v>06-06-2024</c:v>
                </c:pt>
                <c:pt idx="904">
                  <c:v>07-06-2024</c:v>
                </c:pt>
                <c:pt idx="905">
                  <c:v>10-06-2024</c:v>
                </c:pt>
                <c:pt idx="906">
                  <c:v>11-06-2024</c:v>
                </c:pt>
                <c:pt idx="907">
                  <c:v>12-06-2024</c:v>
                </c:pt>
                <c:pt idx="908">
                  <c:v>13-06-2024</c:v>
                </c:pt>
                <c:pt idx="909">
                  <c:v>14-06-2024</c:v>
                </c:pt>
                <c:pt idx="910">
                  <c:v>17-06-2024</c:v>
                </c:pt>
                <c:pt idx="911">
                  <c:v>18-06-2024</c:v>
                </c:pt>
                <c:pt idx="912">
                  <c:v>20-06-2024</c:v>
                </c:pt>
                <c:pt idx="913">
                  <c:v>21-06-2024</c:v>
                </c:pt>
                <c:pt idx="914">
                  <c:v>24-06-2024</c:v>
                </c:pt>
                <c:pt idx="915">
                  <c:v>25-06-2024</c:v>
                </c:pt>
                <c:pt idx="916">
                  <c:v>26-06-2024</c:v>
                </c:pt>
                <c:pt idx="917">
                  <c:v>27-06-2024</c:v>
                </c:pt>
                <c:pt idx="918">
                  <c:v>28-06-2024</c:v>
                </c:pt>
                <c:pt idx="919">
                  <c:v>01-07-2024</c:v>
                </c:pt>
                <c:pt idx="920">
                  <c:v>02-07-2024</c:v>
                </c:pt>
                <c:pt idx="921">
                  <c:v>03-07-2024</c:v>
                </c:pt>
                <c:pt idx="922">
                  <c:v>05-07-2024</c:v>
                </c:pt>
                <c:pt idx="923">
                  <c:v>08-07-2024</c:v>
                </c:pt>
                <c:pt idx="924">
                  <c:v>09-07-2024</c:v>
                </c:pt>
                <c:pt idx="925">
                  <c:v>10-07-2024</c:v>
                </c:pt>
                <c:pt idx="926">
                  <c:v>11-07-2024</c:v>
                </c:pt>
                <c:pt idx="927">
                  <c:v>12-07-2024</c:v>
                </c:pt>
                <c:pt idx="928">
                  <c:v>15-07-2024</c:v>
                </c:pt>
                <c:pt idx="929">
                  <c:v>16-07-2024</c:v>
                </c:pt>
                <c:pt idx="930">
                  <c:v>17-07-2024</c:v>
                </c:pt>
                <c:pt idx="931">
                  <c:v>18-07-2024</c:v>
                </c:pt>
                <c:pt idx="932">
                  <c:v>19-07-2024</c:v>
                </c:pt>
                <c:pt idx="933">
                  <c:v>22-07-2024</c:v>
                </c:pt>
                <c:pt idx="934">
                  <c:v>23-07-2024</c:v>
                </c:pt>
                <c:pt idx="935">
                  <c:v>24-07-2024</c:v>
                </c:pt>
                <c:pt idx="936">
                  <c:v>25-07-2024</c:v>
                </c:pt>
                <c:pt idx="937">
                  <c:v>26-07-2024</c:v>
                </c:pt>
                <c:pt idx="938">
                  <c:v>29-07-2024</c:v>
                </c:pt>
                <c:pt idx="939">
                  <c:v>30-07-2024</c:v>
                </c:pt>
                <c:pt idx="940">
                  <c:v>31-07-2024</c:v>
                </c:pt>
                <c:pt idx="941">
                  <c:v>01-08-2024</c:v>
                </c:pt>
                <c:pt idx="942">
                  <c:v>02-08-2024</c:v>
                </c:pt>
                <c:pt idx="943">
                  <c:v>05-08-2024</c:v>
                </c:pt>
                <c:pt idx="944">
                  <c:v>06-08-2024</c:v>
                </c:pt>
                <c:pt idx="945">
                  <c:v>07-08-2024</c:v>
                </c:pt>
                <c:pt idx="946">
                  <c:v>08-08-2024</c:v>
                </c:pt>
                <c:pt idx="947">
                  <c:v>09-08-2024</c:v>
                </c:pt>
                <c:pt idx="948">
                  <c:v>12-08-2024</c:v>
                </c:pt>
                <c:pt idx="949">
                  <c:v>13-08-2024</c:v>
                </c:pt>
                <c:pt idx="950">
                  <c:v>14-08-2024</c:v>
                </c:pt>
                <c:pt idx="951">
                  <c:v>15-08-2024</c:v>
                </c:pt>
                <c:pt idx="952">
                  <c:v>16-08-2024</c:v>
                </c:pt>
                <c:pt idx="953">
                  <c:v>19-08-2024</c:v>
                </c:pt>
                <c:pt idx="954">
                  <c:v>20-08-2024</c:v>
                </c:pt>
                <c:pt idx="955">
                  <c:v>21-08-2024</c:v>
                </c:pt>
                <c:pt idx="956">
                  <c:v>22-08-2024</c:v>
                </c:pt>
                <c:pt idx="957">
                  <c:v>23-08-2024</c:v>
                </c:pt>
                <c:pt idx="958">
                  <c:v>26-08-2024</c:v>
                </c:pt>
                <c:pt idx="959">
                  <c:v>27-08-2024</c:v>
                </c:pt>
                <c:pt idx="960">
                  <c:v>28-08-2024</c:v>
                </c:pt>
                <c:pt idx="961">
                  <c:v>29-08-2024</c:v>
                </c:pt>
                <c:pt idx="962">
                  <c:v>30-08-2024</c:v>
                </c:pt>
                <c:pt idx="963">
                  <c:v>03-09-2024</c:v>
                </c:pt>
                <c:pt idx="964">
                  <c:v>04-09-2024</c:v>
                </c:pt>
                <c:pt idx="965">
                  <c:v>05-09-2024</c:v>
                </c:pt>
                <c:pt idx="966">
                  <c:v>06-09-2024</c:v>
                </c:pt>
                <c:pt idx="967">
                  <c:v>09-09-2024</c:v>
                </c:pt>
                <c:pt idx="968">
                  <c:v>10-09-2024</c:v>
                </c:pt>
                <c:pt idx="969">
                  <c:v>11-09-2024</c:v>
                </c:pt>
                <c:pt idx="970">
                  <c:v>12-09-2024</c:v>
                </c:pt>
                <c:pt idx="971">
                  <c:v>13-09-2024</c:v>
                </c:pt>
                <c:pt idx="972">
                  <c:v>16-09-2024</c:v>
                </c:pt>
                <c:pt idx="973">
                  <c:v>17-09-2024</c:v>
                </c:pt>
                <c:pt idx="974">
                  <c:v>18-09-2024</c:v>
                </c:pt>
                <c:pt idx="975">
                  <c:v>19-09-2024</c:v>
                </c:pt>
                <c:pt idx="976">
                  <c:v>20-09-2024</c:v>
                </c:pt>
                <c:pt idx="977">
                  <c:v>23-09-2024</c:v>
                </c:pt>
                <c:pt idx="978">
                  <c:v>24-09-2024</c:v>
                </c:pt>
                <c:pt idx="979">
                  <c:v>25-09-2024</c:v>
                </c:pt>
                <c:pt idx="980">
                  <c:v>26-09-2024</c:v>
                </c:pt>
                <c:pt idx="981">
                  <c:v>27-09-2024</c:v>
                </c:pt>
                <c:pt idx="982">
                  <c:v>30-09-2024</c:v>
                </c:pt>
                <c:pt idx="983">
                  <c:v>01-10-2024</c:v>
                </c:pt>
                <c:pt idx="984">
                  <c:v>02-10-2024</c:v>
                </c:pt>
                <c:pt idx="985">
                  <c:v>03-10-2024</c:v>
                </c:pt>
                <c:pt idx="986">
                  <c:v>04-10-2024</c:v>
                </c:pt>
                <c:pt idx="987">
                  <c:v>07-10-2024</c:v>
                </c:pt>
                <c:pt idx="988">
                  <c:v>08-10-2024</c:v>
                </c:pt>
                <c:pt idx="989">
                  <c:v>09-10-2024</c:v>
                </c:pt>
                <c:pt idx="990">
                  <c:v>10-10-2024</c:v>
                </c:pt>
                <c:pt idx="991">
                  <c:v>11-10-2024</c:v>
                </c:pt>
                <c:pt idx="992">
                  <c:v>14-10-2024</c:v>
                </c:pt>
                <c:pt idx="993">
                  <c:v>15-10-2024</c:v>
                </c:pt>
                <c:pt idx="994">
                  <c:v>16-10-2024</c:v>
                </c:pt>
                <c:pt idx="995">
                  <c:v>17-10-2024</c:v>
                </c:pt>
                <c:pt idx="996">
                  <c:v>18-10-2024</c:v>
                </c:pt>
                <c:pt idx="997">
                  <c:v>21-10-2024</c:v>
                </c:pt>
                <c:pt idx="998">
                  <c:v>22-10-2024</c:v>
                </c:pt>
                <c:pt idx="999">
                  <c:v>23-10-2024</c:v>
                </c:pt>
                <c:pt idx="1000">
                  <c:v>24-10-2024</c:v>
                </c:pt>
                <c:pt idx="1001">
                  <c:v>25-10-2024</c:v>
                </c:pt>
                <c:pt idx="1002">
                  <c:v>28-10-2024</c:v>
                </c:pt>
                <c:pt idx="1003">
                  <c:v>29-10-2024</c:v>
                </c:pt>
                <c:pt idx="1004">
                  <c:v>30-10-2024</c:v>
                </c:pt>
                <c:pt idx="1005">
                  <c:v>31-10-2024</c:v>
                </c:pt>
                <c:pt idx="1006">
                  <c:v>01-11-2024</c:v>
                </c:pt>
                <c:pt idx="1007">
                  <c:v>04-11-2024</c:v>
                </c:pt>
                <c:pt idx="1008">
                  <c:v>05-11-2024</c:v>
                </c:pt>
                <c:pt idx="1009">
                  <c:v>06-11-2024</c:v>
                </c:pt>
                <c:pt idx="1010">
                  <c:v>07-11-2024</c:v>
                </c:pt>
                <c:pt idx="1011">
                  <c:v>08-11-2024</c:v>
                </c:pt>
                <c:pt idx="1012">
                  <c:v>11-11-2024</c:v>
                </c:pt>
                <c:pt idx="1013">
                  <c:v>12-11-2024</c:v>
                </c:pt>
                <c:pt idx="1014">
                  <c:v>13-11-2024</c:v>
                </c:pt>
                <c:pt idx="1015">
                  <c:v>14-11-2024</c:v>
                </c:pt>
                <c:pt idx="1016">
                  <c:v>15-11-2024</c:v>
                </c:pt>
                <c:pt idx="1017">
                  <c:v>18-11-2024</c:v>
                </c:pt>
                <c:pt idx="1018">
                  <c:v>19-11-2024</c:v>
                </c:pt>
                <c:pt idx="1019">
                  <c:v>20-11-2024</c:v>
                </c:pt>
                <c:pt idx="1020">
                  <c:v>21-11-2024</c:v>
                </c:pt>
                <c:pt idx="1021">
                  <c:v>22-11-2024</c:v>
                </c:pt>
                <c:pt idx="1022">
                  <c:v>25-11-2024</c:v>
                </c:pt>
                <c:pt idx="1023">
                  <c:v>26-11-2024</c:v>
                </c:pt>
                <c:pt idx="1024">
                  <c:v>27-11-2024</c:v>
                </c:pt>
                <c:pt idx="1025">
                  <c:v>29-11-2024</c:v>
                </c:pt>
                <c:pt idx="1026">
                  <c:v>02-12-2024</c:v>
                </c:pt>
                <c:pt idx="1027">
                  <c:v>03-12-2024</c:v>
                </c:pt>
                <c:pt idx="1028">
                  <c:v>04-12-2024</c:v>
                </c:pt>
                <c:pt idx="1029">
                  <c:v>05-12-2024</c:v>
                </c:pt>
                <c:pt idx="1030">
                  <c:v>06-12-2024</c:v>
                </c:pt>
                <c:pt idx="1031">
                  <c:v>09-12-2024</c:v>
                </c:pt>
                <c:pt idx="1032">
                  <c:v>10-12-2024</c:v>
                </c:pt>
                <c:pt idx="1033">
                  <c:v>11-12-2024</c:v>
                </c:pt>
                <c:pt idx="1034">
                  <c:v>12-12-2024</c:v>
                </c:pt>
                <c:pt idx="1035">
                  <c:v>13-12-2024</c:v>
                </c:pt>
                <c:pt idx="1036">
                  <c:v>16-12-2024</c:v>
                </c:pt>
                <c:pt idx="1037">
                  <c:v>17-12-2024</c:v>
                </c:pt>
                <c:pt idx="1038">
                  <c:v>18-12-2024</c:v>
                </c:pt>
                <c:pt idx="1039">
                  <c:v>19-12-2024</c:v>
                </c:pt>
                <c:pt idx="1040">
                  <c:v>20-12-2024</c:v>
                </c:pt>
                <c:pt idx="1041">
                  <c:v>23-12-2024</c:v>
                </c:pt>
                <c:pt idx="1042">
                  <c:v>24-12-2024</c:v>
                </c:pt>
                <c:pt idx="1043">
                  <c:v>26-12-2024</c:v>
                </c:pt>
                <c:pt idx="1044">
                  <c:v>27-12-2024</c:v>
                </c:pt>
                <c:pt idx="1045">
                  <c:v>30-12-2024</c:v>
                </c:pt>
                <c:pt idx="1046">
                  <c:v>31-12-2024</c:v>
                </c:pt>
                <c:pt idx="1047">
                  <c:v>02-01-2025</c:v>
                </c:pt>
                <c:pt idx="1048">
                  <c:v>03-01-2025</c:v>
                </c:pt>
                <c:pt idx="1049">
                  <c:v>06-01-2025</c:v>
                </c:pt>
                <c:pt idx="1050">
                  <c:v>07-01-2025</c:v>
                </c:pt>
                <c:pt idx="1051">
                  <c:v>08-01-2025</c:v>
                </c:pt>
                <c:pt idx="1052">
                  <c:v>10-01-2025</c:v>
                </c:pt>
                <c:pt idx="1053">
                  <c:v>13-01-2025</c:v>
                </c:pt>
                <c:pt idx="1054">
                  <c:v>14-01-2025</c:v>
                </c:pt>
                <c:pt idx="1055">
                  <c:v>15-01-2025</c:v>
                </c:pt>
                <c:pt idx="1056">
                  <c:v>16-01-2025</c:v>
                </c:pt>
                <c:pt idx="1057">
                  <c:v>17-01-2025</c:v>
                </c:pt>
                <c:pt idx="1058">
                  <c:v>21-01-2025</c:v>
                </c:pt>
                <c:pt idx="1059">
                  <c:v>22-01-2025</c:v>
                </c:pt>
                <c:pt idx="1060">
                  <c:v>23-01-2025</c:v>
                </c:pt>
                <c:pt idx="1061">
                  <c:v>24-01-2025</c:v>
                </c:pt>
                <c:pt idx="1062">
                  <c:v>27-01-2025</c:v>
                </c:pt>
                <c:pt idx="1063">
                  <c:v>28-01-2025</c:v>
                </c:pt>
                <c:pt idx="1064">
                  <c:v>29-01-2025</c:v>
                </c:pt>
                <c:pt idx="1065">
                  <c:v>30-01-2025</c:v>
                </c:pt>
                <c:pt idx="1066">
                  <c:v>31-01-2025</c:v>
                </c:pt>
                <c:pt idx="1067">
                  <c:v>03-02-2025</c:v>
                </c:pt>
                <c:pt idx="1068">
                  <c:v>04-02-2025</c:v>
                </c:pt>
                <c:pt idx="1069">
                  <c:v>05-02-2025</c:v>
                </c:pt>
                <c:pt idx="1070">
                  <c:v>06-02-2025</c:v>
                </c:pt>
                <c:pt idx="1071">
                  <c:v>07-02-2025</c:v>
                </c:pt>
                <c:pt idx="1072">
                  <c:v>10-02-2025</c:v>
                </c:pt>
                <c:pt idx="1073">
                  <c:v>11-02-2025</c:v>
                </c:pt>
                <c:pt idx="1074">
                  <c:v>12-02-2025</c:v>
                </c:pt>
                <c:pt idx="1075">
                  <c:v>13-02-2025</c:v>
                </c:pt>
                <c:pt idx="1076">
                  <c:v>14-02-2025</c:v>
                </c:pt>
                <c:pt idx="1077">
                  <c:v>18-02-2025</c:v>
                </c:pt>
                <c:pt idx="1078">
                  <c:v>19-02-2025</c:v>
                </c:pt>
                <c:pt idx="1079">
                  <c:v>20-02-2025</c:v>
                </c:pt>
                <c:pt idx="1080">
                  <c:v>21-02-2025</c:v>
                </c:pt>
                <c:pt idx="1081">
                  <c:v>24-02-2025</c:v>
                </c:pt>
                <c:pt idx="1082">
                  <c:v>25-02-2025</c:v>
                </c:pt>
                <c:pt idx="1083">
                  <c:v>26-02-2025</c:v>
                </c:pt>
                <c:pt idx="1084">
                  <c:v>27-02-2025</c:v>
                </c:pt>
                <c:pt idx="1085">
                  <c:v>28-02-2025</c:v>
                </c:pt>
                <c:pt idx="1086">
                  <c:v>03-03-2025</c:v>
                </c:pt>
                <c:pt idx="1087">
                  <c:v>04-03-2025</c:v>
                </c:pt>
                <c:pt idx="1088">
                  <c:v>05-03-2025</c:v>
                </c:pt>
                <c:pt idx="1089">
                  <c:v>06-03-2025</c:v>
                </c:pt>
                <c:pt idx="1090">
                  <c:v>07-03-2025</c:v>
                </c:pt>
                <c:pt idx="1091">
                  <c:v>10-03-2025</c:v>
                </c:pt>
                <c:pt idx="1092">
                  <c:v>11-03-2025</c:v>
                </c:pt>
                <c:pt idx="1093">
                  <c:v>12-03-2025</c:v>
                </c:pt>
                <c:pt idx="1094">
                  <c:v>13-03-2025</c:v>
                </c:pt>
                <c:pt idx="1095">
                  <c:v>14-03-2025</c:v>
                </c:pt>
                <c:pt idx="1096">
                  <c:v>17-03-2025</c:v>
                </c:pt>
                <c:pt idx="1097">
                  <c:v>18-03-2025</c:v>
                </c:pt>
                <c:pt idx="1098">
                  <c:v>19-03-2025</c:v>
                </c:pt>
                <c:pt idx="1099">
                  <c:v>20-03-2025</c:v>
                </c:pt>
                <c:pt idx="1100">
                  <c:v>21-03-2025</c:v>
                </c:pt>
                <c:pt idx="1101">
                  <c:v>24-03-2025</c:v>
                </c:pt>
                <c:pt idx="1102">
                  <c:v>25-03-2025</c:v>
                </c:pt>
                <c:pt idx="1103">
                  <c:v>26-03-2025</c:v>
                </c:pt>
                <c:pt idx="1104">
                  <c:v>27-03-2025</c:v>
                </c:pt>
                <c:pt idx="1105">
                  <c:v>28-03-2025</c:v>
                </c:pt>
                <c:pt idx="1106">
                  <c:v>31-03-2025</c:v>
                </c:pt>
                <c:pt idx="1107">
                  <c:v>01-04-2025</c:v>
                </c:pt>
                <c:pt idx="1108">
                  <c:v>02-04-2025</c:v>
                </c:pt>
                <c:pt idx="1109">
                  <c:v>03-04-2025</c:v>
                </c:pt>
                <c:pt idx="1110">
                  <c:v>04-04-2025</c:v>
                </c:pt>
                <c:pt idx="1111">
                  <c:v>07-04-2025</c:v>
                </c:pt>
                <c:pt idx="1112">
                  <c:v>08-04-2025</c:v>
                </c:pt>
                <c:pt idx="1113">
                  <c:v>09-04-2025</c:v>
                </c:pt>
                <c:pt idx="1114">
                  <c:v>10-04-2025</c:v>
                </c:pt>
                <c:pt idx="1115">
                  <c:v>11-04-2025</c:v>
                </c:pt>
                <c:pt idx="1116">
                  <c:v>14-04-2025</c:v>
                </c:pt>
                <c:pt idx="1117">
                  <c:v>15-04-2025</c:v>
                </c:pt>
                <c:pt idx="1118">
                  <c:v>16-04-2025</c:v>
                </c:pt>
                <c:pt idx="1119">
                  <c:v>17-04-2025</c:v>
                </c:pt>
                <c:pt idx="1120">
                  <c:v>21-04-2025</c:v>
                </c:pt>
                <c:pt idx="1121">
                  <c:v>22-04-2025</c:v>
                </c:pt>
                <c:pt idx="1122">
                  <c:v>23-04-2025</c:v>
                </c:pt>
                <c:pt idx="1123">
                  <c:v>24-04-2025</c:v>
                </c:pt>
                <c:pt idx="1124">
                  <c:v>25-04-2025</c:v>
                </c:pt>
                <c:pt idx="1125">
                  <c:v>28-04-2025</c:v>
                </c:pt>
                <c:pt idx="1126">
                  <c:v>29-04-2025</c:v>
                </c:pt>
                <c:pt idx="1127">
                  <c:v>30-04-2025</c:v>
                </c:pt>
                <c:pt idx="1128">
                  <c:v>01-05-2025</c:v>
                </c:pt>
                <c:pt idx="1129">
                  <c:v>02-05-2025</c:v>
                </c:pt>
                <c:pt idx="1130">
                  <c:v>05-05-2025</c:v>
                </c:pt>
                <c:pt idx="1131">
                  <c:v>06-05-2025</c:v>
                </c:pt>
                <c:pt idx="1132">
                  <c:v>07-05-2025</c:v>
                </c:pt>
                <c:pt idx="1133">
                  <c:v>08-05-2025</c:v>
                </c:pt>
                <c:pt idx="1134">
                  <c:v>09-05-2025</c:v>
                </c:pt>
                <c:pt idx="1135">
                  <c:v>12-05-2025</c:v>
                </c:pt>
                <c:pt idx="1136">
                  <c:v>13-05-2025</c:v>
                </c:pt>
                <c:pt idx="1137">
                  <c:v>14-05-2025</c:v>
                </c:pt>
                <c:pt idx="1138">
                  <c:v>15-05-2025</c:v>
                </c:pt>
                <c:pt idx="1139">
                  <c:v>16-05-2025</c:v>
                </c:pt>
                <c:pt idx="1140">
                  <c:v>19-05-2025</c:v>
                </c:pt>
                <c:pt idx="1141">
                  <c:v>20-05-2025</c:v>
                </c:pt>
                <c:pt idx="1142">
                  <c:v>21-05-2025</c:v>
                </c:pt>
                <c:pt idx="1143">
                  <c:v>22-05-2025</c:v>
                </c:pt>
                <c:pt idx="1144">
                  <c:v>23-05-2025</c:v>
                </c:pt>
                <c:pt idx="1145">
                  <c:v>27-05-2025</c:v>
                </c:pt>
                <c:pt idx="1146">
                  <c:v>28-05-2025</c:v>
                </c:pt>
                <c:pt idx="1147">
                  <c:v>29-05-2025</c:v>
                </c:pt>
                <c:pt idx="1148">
                  <c:v>30-05-2025</c:v>
                </c:pt>
                <c:pt idx="1149">
                  <c:v>02-06-2025</c:v>
                </c:pt>
                <c:pt idx="1150">
                  <c:v>03-06-2025</c:v>
                </c:pt>
                <c:pt idx="1151">
                  <c:v>04-06-2025</c:v>
                </c:pt>
                <c:pt idx="1152">
                  <c:v>05-06-2025</c:v>
                </c:pt>
                <c:pt idx="1153">
                  <c:v>06-06-2025</c:v>
                </c:pt>
                <c:pt idx="1154">
                  <c:v>09-06-2025</c:v>
                </c:pt>
                <c:pt idx="1155">
                  <c:v>10-06-2025</c:v>
                </c:pt>
                <c:pt idx="1156">
                  <c:v>11-06-2025</c:v>
                </c:pt>
                <c:pt idx="1157">
                  <c:v>12-06-2025</c:v>
                </c:pt>
                <c:pt idx="1158">
                  <c:v>13-06-2025</c:v>
                </c:pt>
                <c:pt idx="1159">
                  <c:v>16-06-2025</c:v>
                </c:pt>
                <c:pt idx="1160">
                  <c:v>17-06-2025</c:v>
                </c:pt>
                <c:pt idx="1161">
                  <c:v>18-06-2025</c:v>
                </c:pt>
                <c:pt idx="1162">
                  <c:v>20-06-2025</c:v>
                </c:pt>
                <c:pt idx="1163">
                  <c:v>23-06-2025</c:v>
                </c:pt>
                <c:pt idx="1164">
                  <c:v>24-06-2025</c:v>
                </c:pt>
                <c:pt idx="1165">
                  <c:v>25-06-2025</c:v>
                </c:pt>
                <c:pt idx="1166">
                  <c:v>26-06-2025</c:v>
                </c:pt>
                <c:pt idx="1167">
                  <c:v>27-06-2025</c:v>
                </c:pt>
                <c:pt idx="1168">
                  <c:v>30-06-2025</c:v>
                </c:pt>
                <c:pt idx="1169">
                  <c:v>01-07-2025</c:v>
                </c:pt>
                <c:pt idx="1170">
                  <c:v>02-07-2025</c:v>
                </c:pt>
                <c:pt idx="1171">
                  <c:v>03-07-2025</c:v>
                </c:pt>
                <c:pt idx="1172">
                  <c:v>07-07-2025</c:v>
                </c:pt>
                <c:pt idx="1173">
                  <c:v>08-07-2025</c:v>
                </c:pt>
                <c:pt idx="1174">
                  <c:v>09-07-2025</c:v>
                </c:pt>
                <c:pt idx="1175">
                  <c:v>10-07-2025</c:v>
                </c:pt>
                <c:pt idx="1176">
                  <c:v>11-07-2025</c:v>
                </c:pt>
                <c:pt idx="1177">
                  <c:v>14-07-2025</c:v>
                </c:pt>
                <c:pt idx="1178">
                  <c:v>15-07-2025</c:v>
                </c:pt>
                <c:pt idx="1179">
                  <c:v>16-07-2025</c:v>
                </c:pt>
                <c:pt idx="1180">
                  <c:v>17-07-2025</c:v>
                </c:pt>
                <c:pt idx="1181">
                  <c:v>18-07-2025</c:v>
                </c:pt>
                <c:pt idx="1182">
                  <c:v>21-07-2025</c:v>
                </c:pt>
                <c:pt idx="1183">
                  <c:v>22-07-2025</c:v>
                </c:pt>
                <c:pt idx="1184">
                  <c:v>23-07-2025</c:v>
                </c:pt>
                <c:pt idx="1185">
                  <c:v>24-07-2025</c:v>
                </c:pt>
                <c:pt idx="1186">
                  <c:v>25-07-2025</c:v>
                </c:pt>
                <c:pt idx="1187">
                  <c:v>28-07-2025</c:v>
                </c:pt>
                <c:pt idx="1188">
                  <c:v>29-07-2025</c:v>
                </c:pt>
                <c:pt idx="1189">
                  <c:v>30-07-2025</c:v>
                </c:pt>
                <c:pt idx="1190">
                  <c:v>31-07-2025</c:v>
                </c:pt>
                <c:pt idx="1191">
                  <c:v>01-08-2025</c:v>
                </c:pt>
                <c:pt idx="1192">
                  <c:v>04-08-2025</c:v>
                </c:pt>
                <c:pt idx="1193">
                  <c:v>05-08-2025</c:v>
                </c:pt>
                <c:pt idx="1194">
                  <c:v>06-08-2025</c:v>
                </c:pt>
                <c:pt idx="1195">
                  <c:v>07-08-2025</c:v>
                </c:pt>
                <c:pt idx="1196">
                  <c:v>08-08-2025</c:v>
                </c:pt>
                <c:pt idx="1197">
                  <c:v>11-08-2025</c:v>
                </c:pt>
                <c:pt idx="1198">
                  <c:v>12-08-2025</c:v>
                </c:pt>
                <c:pt idx="1199">
                  <c:v>13-08-2025</c:v>
                </c:pt>
                <c:pt idx="1200">
                  <c:v>14-08-2025</c:v>
                </c:pt>
                <c:pt idx="1201">
                  <c:v>15-08-2025</c:v>
                </c:pt>
                <c:pt idx="1202">
                  <c:v>18-08-2025</c:v>
                </c:pt>
                <c:pt idx="1203">
                  <c:v>19-08-2025</c:v>
                </c:pt>
                <c:pt idx="1204">
                  <c:v>20-08-2025</c:v>
                </c:pt>
                <c:pt idx="1205">
                  <c:v>21-08-2025</c:v>
                </c:pt>
                <c:pt idx="1206">
                  <c:v>22-08-2025</c:v>
                </c:pt>
                <c:pt idx="1207">
                  <c:v>25-08-2025</c:v>
                </c:pt>
                <c:pt idx="1208">
                  <c:v>26-08-2025</c:v>
                </c:pt>
                <c:pt idx="1209">
                  <c:v>27-08-2025</c:v>
                </c:pt>
                <c:pt idx="1210">
                  <c:v>28-08-2025</c:v>
                </c:pt>
                <c:pt idx="1211">
                  <c:v>29-08-2025</c:v>
                </c:pt>
                <c:pt idx="1212">
                  <c:v>02-09-2025</c:v>
                </c:pt>
                <c:pt idx="1213">
                  <c:v>03-09-2025</c:v>
                </c:pt>
                <c:pt idx="1214">
                  <c:v>04-09-2025</c:v>
                </c:pt>
                <c:pt idx="1215">
                  <c:v>05-09-2025</c:v>
                </c:pt>
                <c:pt idx="1216">
                  <c:v>08-09-2025</c:v>
                </c:pt>
                <c:pt idx="1217">
                  <c:v>09-09-2025</c:v>
                </c:pt>
                <c:pt idx="1218">
                  <c:v>10-09-2025</c:v>
                </c:pt>
                <c:pt idx="1219">
                  <c:v>11-09-2025</c:v>
                </c:pt>
                <c:pt idx="1220">
                  <c:v>12-09-2025</c:v>
                </c:pt>
                <c:pt idx="1221">
                  <c:v>15-09-2025</c:v>
                </c:pt>
                <c:pt idx="1222">
                  <c:v>16-09-2025</c:v>
                </c:pt>
                <c:pt idx="1223">
                  <c:v>17-09-2025</c:v>
                </c:pt>
                <c:pt idx="1224">
                  <c:v>18-09-2025</c:v>
                </c:pt>
                <c:pt idx="1225">
                  <c:v>19-09-2025</c:v>
                </c:pt>
                <c:pt idx="1226">
                  <c:v>22-09-2025</c:v>
                </c:pt>
                <c:pt idx="1227">
                  <c:v>23-09-2025</c:v>
                </c:pt>
                <c:pt idx="1228">
                  <c:v>24-09-2025</c:v>
                </c:pt>
                <c:pt idx="1229">
                  <c:v>25-09-2025</c:v>
                </c:pt>
                <c:pt idx="1230">
                  <c:v>26-09-2025</c:v>
                </c:pt>
                <c:pt idx="1231">
                  <c:v>29-09-2025</c:v>
                </c:pt>
                <c:pt idx="1232">
                  <c:v>30-09-2025</c:v>
                </c:pt>
                <c:pt idx="1233">
                  <c:v>01-10-2025</c:v>
                </c:pt>
                <c:pt idx="1234">
                  <c:v>02-10-2025</c:v>
                </c:pt>
                <c:pt idx="1235">
                  <c:v>03-10-2025</c:v>
                </c:pt>
                <c:pt idx="1236">
                  <c:v>06-10-2025</c:v>
                </c:pt>
                <c:pt idx="1237">
                  <c:v>07-10-2025</c:v>
                </c:pt>
                <c:pt idx="1238">
                  <c:v>08-10-2025</c:v>
                </c:pt>
                <c:pt idx="1239">
                  <c:v>09-10-2025</c:v>
                </c:pt>
                <c:pt idx="1240">
                  <c:v>10-10-2025</c:v>
                </c:pt>
                <c:pt idx="1241">
                  <c:v>13-10-2025</c:v>
                </c:pt>
                <c:pt idx="1242">
                  <c:v>14-10-2025</c:v>
                </c:pt>
                <c:pt idx="1243">
                  <c:v>15-10-2025</c:v>
                </c:pt>
                <c:pt idx="1244">
                  <c:v>16-10-2025</c:v>
                </c:pt>
                <c:pt idx="1245">
                  <c:v>17-10-2025</c:v>
                </c:pt>
                <c:pt idx="1246">
                  <c:v>20-10-2025</c:v>
                </c:pt>
                <c:pt idx="1247">
                  <c:v>21-10-2025</c:v>
                </c:pt>
                <c:pt idx="1248">
                  <c:v>22-10-2025</c:v>
                </c:pt>
                <c:pt idx="1249">
                  <c:v>23-10-2025</c:v>
                </c:pt>
                <c:pt idx="1250">
                  <c:v>24-10-2025</c:v>
                </c:pt>
                <c:pt idx="1251">
                  <c:v>27-10-2025</c:v>
                </c:pt>
                <c:pt idx="1252">
                  <c:v>28-10-2025</c:v>
                </c:pt>
                <c:pt idx="1253">
                  <c:v>29-10-2025</c:v>
                </c:pt>
                <c:pt idx="1254">
                  <c:v>30-10-2025</c:v>
                </c:pt>
                <c:pt idx="1255">
                  <c:v>31-10-2025</c:v>
                </c:pt>
              </c:strCache>
            </c:strRef>
          </c:cat>
          <c:val>
            <c:numRef>
              <c:f>'Close_Moving_Averages'!$J$4:$J$1260</c:f>
              <c:numCache>
                <c:formatCode>General</c:formatCode>
                <c:ptCount val="1256"/>
                <c:pt idx="199">
                  <c:v>399.56560000000002</c:v>
                </c:pt>
                <c:pt idx="200">
                  <c:v>400.11380000000003</c:v>
                </c:pt>
                <c:pt idx="201">
                  <c:v>400.65050000000002</c:v>
                </c:pt>
                <c:pt idx="202">
                  <c:v>401.16910000000001</c:v>
                </c:pt>
                <c:pt idx="203">
                  <c:v>401.65780000000001</c:v>
                </c:pt>
                <c:pt idx="204">
                  <c:v>402.1515</c:v>
                </c:pt>
                <c:pt idx="205">
                  <c:v>402.61</c:v>
                </c:pt>
                <c:pt idx="206">
                  <c:v>403.09100000000001</c:v>
                </c:pt>
                <c:pt idx="207">
                  <c:v>403.56880000000001</c:v>
                </c:pt>
                <c:pt idx="208">
                  <c:v>404.06060000000002</c:v>
                </c:pt>
                <c:pt idx="209">
                  <c:v>404.52910000000003</c:v>
                </c:pt>
                <c:pt idx="210">
                  <c:v>404.98219999999998</c:v>
                </c:pt>
                <c:pt idx="211">
                  <c:v>405.44450000000001</c:v>
                </c:pt>
                <c:pt idx="212">
                  <c:v>405.92039999999997</c:v>
                </c:pt>
                <c:pt idx="213">
                  <c:v>406.38600000000002</c:v>
                </c:pt>
                <c:pt idx="214">
                  <c:v>406.85430000000002</c:v>
                </c:pt>
                <c:pt idx="215">
                  <c:v>407.29419999999999</c:v>
                </c:pt>
                <c:pt idx="216">
                  <c:v>407.71100000000001</c:v>
                </c:pt>
                <c:pt idx="217">
                  <c:v>408.11860000000001</c:v>
                </c:pt>
                <c:pt idx="218">
                  <c:v>408.53960000000001</c:v>
                </c:pt>
                <c:pt idx="219">
                  <c:v>408.96519999999998</c:v>
                </c:pt>
                <c:pt idx="220">
                  <c:v>409.34199999999998</c:v>
                </c:pt>
                <c:pt idx="221">
                  <c:v>409.67829999999998</c:v>
                </c:pt>
                <c:pt idx="222">
                  <c:v>410.01299999999998</c:v>
                </c:pt>
                <c:pt idx="223">
                  <c:v>410.35300000000001</c:v>
                </c:pt>
                <c:pt idx="224">
                  <c:v>410.7235</c:v>
                </c:pt>
                <c:pt idx="225">
                  <c:v>411.09219999999999</c:v>
                </c:pt>
                <c:pt idx="226">
                  <c:v>411.47120000000001</c:v>
                </c:pt>
                <c:pt idx="227">
                  <c:v>411.80610000000001</c:v>
                </c:pt>
                <c:pt idx="228">
                  <c:v>412.14679999999998</c:v>
                </c:pt>
                <c:pt idx="229">
                  <c:v>412.4692</c:v>
                </c:pt>
                <c:pt idx="230">
                  <c:v>412.79250000000002</c:v>
                </c:pt>
                <c:pt idx="231">
                  <c:v>413.08479999999997</c:v>
                </c:pt>
                <c:pt idx="232">
                  <c:v>413.38920000000002</c:v>
                </c:pt>
                <c:pt idx="233">
                  <c:v>413.71780000000001</c:v>
                </c:pt>
                <c:pt idx="234">
                  <c:v>414.0718</c:v>
                </c:pt>
                <c:pt idx="235">
                  <c:v>414.4248</c:v>
                </c:pt>
                <c:pt idx="236">
                  <c:v>414.7604</c:v>
                </c:pt>
                <c:pt idx="237">
                  <c:v>415.08359999999999</c:v>
                </c:pt>
                <c:pt idx="238">
                  <c:v>415.39859999999999</c:v>
                </c:pt>
                <c:pt idx="239">
                  <c:v>415.75380000000001</c:v>
                </c:pt>
                <c:pt idx="240">
                  <c:v>416.1232</c:v>
                </c:pt>
                <c:pt idx="241">
                  <c:v>416.4898</c:v>
                </c:pt>
                <c:pt idx="242">
                  <c:v>416.899</c:v>
                </c:pt>
                <c:pt idx="243">
                  <c:v>417.30439999999999</c:v>
                </c:pt>
                <c:pt idx="244">
                  <c:v>417.70460000000003</c:v>
                </c:pt>
                <c:pt idx="245">
                  <c:v>418.07470000000001</c:v>
                </c:pt>
                <c:pt idx="246">
                  <c:v>418.44619999999998</c:v>
                </c:pt>
                <c:pt idx="247">
                  <c:v>418.83249999999998</c:v>
                </c:pt>
                <c:pt idx="248">
                  <c:v>419.20839999999998</c:v>
                </c:pt>
                <c:pt idx="249">
                  <c:v>419.601</c:v>
                </c:pt>
                <c:pt idx="250">
                  <c:v>420.005</c:v>
                </c:pt>
                <c:pt idx="251">
                  <c:v>420.42660000000001</c:v>
                </c:pt>
                <c:pt idx="252">
                  <c:v>420.84289999999999</c:v>
                </c:pt>
                <c:pt idx="253">
                  <c:v>421.24700000000001</c:v>
                </c:pt>
                <c:pt idx="254">
                  <c:v>421.66039999999998</c:v>
                </c:pt>
                <c:pt idx="255">
                  <c:v>422.08859999999999</c:v>
                </c:pt>
                <c:pt idx="256">
                  <c:v>422.51139999999998</c:v>
                </c:pt>
                <c:pt idx="257">
                  <c:v>422.92930000000001</c:v>
                </c:pt>
                <c:pt idx="258">
                  <c:v>423.37540000000001</c:v>
                </c:pt>
                <c:pt idx="259">
                  <c:v>423.80599999999998</c:v>
                </c:pt>
                <c:pt idx="260">
                  <c:v>424.29199999999997</c:v>
                </c:pt>
                <c:pt idx="261">
                  <c:v>424.74799999999999</c:v>
                </c:pt>
                <c:pt idx="262">
                  <c:v>425.18669999999997</c:v>
                </c:pt>
                <c:pt idx="263">
                  <c:v>425.6182</c:v>
                </c:pt>
                <c:pt idx="264">
                  <c:v>426.03579999999999</c:v>
                </c:pt>
                <c:pt idx="265">
                  <c:v>426.4418</c:v>
                </c:pt>
                <c:pt idx="266">
                  <c:v>426.827</c:v>
                </c:pt>
                <c:pt idx="267">
                  <c:v>427.21679999999998</c:v>
                </c:pt>
                <c:pt idx="268">
                  <c:v>427.61360000000002</c:v>
                </c:pt>
                <c:pt idx="269">
                  <c:v>427.95479999999998</c:v>
                </c:pt>
                <c:pt idx="270">
                  <c:v>428.31459999999998</c:v>
                </c:pt>
                <c:pt idx="271">
                  <c:v>428.63099999999997</c:v>
                </c:pt>
                <c:pt idx="272">
                  <c:v>428.92149999999998</c:v>
                </c:pt>
                <c:pt idx="273">
                  <c:v>429.25490000000002</c:v>
                </c:pt>
                <c:pt idx="274">
                  <c:v>429.5718</c:v>
                </c:pt>
                <c:pt idx="275">
                  <c:v>429.93060000000003</c:v>
                </c:pt>
                <c:pt idx="276">
                  <c:v>430.33460000000002</c:v>
                </c:pt>
                <c:pt idx="277">
                  <c:v>430.72329999999999</c:v>
                </c:pt>
                <c:pt idx="278">
                  <c:v>431.14339999999999</c:v>
                </c:pt>
                <c:pt idx="279">
                  <c:v>431.59530000000001</c:v>
                </c:pt>
                <c:pt idx="280">
                  <c:v>431.98020000000002</c:v>
                </c:pt>
                <c:pt idx="281">
                  <c:v>432.36439999999999</c:v>
                </c:pt>
                <c:pt idx="282">
                  <c:v>432.81020000000001</c:v>
                </c:pt>
                <c:pt idx="283">
                  <c:v>433.25900000000001</c:v>
                </c:pt>
                <c:pt idx="284">
                  <c:v>433.64019999999999</c:v>
                </c:pt>
                <c:pt idx="285">
                  <c:v>434.00650000000002</c:v>
                </c:pt>
                <c:pt idx="286">
                  <c:v>434.38600000000002</c:v>
                </c:pt>
                <c:pt idx="287">
                  <c:v>434.7765</c:v>
                </c:pt>
                <c:pt idx="288">
                  <c:v>435.16180000000003</c:v>
                </c:pt>
                <c:pt idx="289">
                  <c:v>435.57780000000002</c:v>
                </c:pt>
                <c:pt idx="290">
                  <c:v>435.98020000000002</c:v>
                </c:pt>
                <c:pt idx="291">
                  <c:v>436.38799999999998</c:v>
                </c:pt>
                <c:pt idx="292">
                  <c:v>436.78250000000003</c:v>
                </c:pt>
                <c:pt idx="293">
                  <c:v>437.19990000000001</c:v>
                </c:pt>
                <c:pt idx="294">
                  <c:v>437.64100000000002</c:v>
                </c:pt>
                <c:pt idx="295">
                  <c:v>438.06580000000002</c:v>
                </c:pt>
                <c:pt idx="296">
                  <c:v>438.46019999999999</c:v>
                </c:pt>
                <c:pt idx="297">
                  <c:v>438.86239999999998</c:v>
                </c:pt>
                <c:pt idx="298">
                  <c:v>439.24430000000001</c:v>
                </c:pt>
                <c:pt idx="299">
                  <c:v>439.59199999999998</c:v>
                </c:pt>
                <c:pt idx="300">
                  <c:v>439.96179999999998</c:v>
                </c:pt>
                <c:pt idx="301">
                  <c:v>440.34320000000002</c:v>
                </c:pt>
                <c:pt idx="302">
                  <c:v>440.68419999999998</c:v>
                </c:pt>
                <c:pt idx="303">
                  <c:v>441.00479999999999</c:v>
                </c:pt>
                <c:pt idx="304">
                  <c:v>441.25540000000001</c:v>
                </c:pt>
                <c:pt idx="305">
                  <c:v>441.48360000000002</c:v>
                </c:pt>
                <c:pt idx="306">
                  <c:v>441.68439999999998</c:v>
                </c:pt>
                <c:pt idx="307">
                  <c:v>441.83170000000001</c:v>
                </c:pt>
                <c:pt idx="308">
                  <c:v>441.97340000000003</c:v>
                </c:pt>
                <c:pt idx="309">
                  <c:v>442.08760000000001</c:v>
                </c:pt>
                <c:pt idx="310">
                  <c:v>442.1902</c:v>
                </c:pt>
                <c:pt idx="311">
                  <c:v>442.28919999999999</c:v>
                </c:pt>
                <c:pt idx="312">
                  <c:v>442.4196</c:v>
                </c:pt>
                <c:pt idx="313">
                  <c:v>442.58280000000002</c:v>
                </c:pt>
                <c:pt idx="314">
                  <c:v>442.7715</c:v>
                </c:pt>
                <c:pt idx="315">
                  <c:v>442.99740000000003</c:v>
                </c:pt>
                <c:pt idx="316">
                  <c:v>443.15</c:v>
                </c:pt>
                <c:pt idx="317">
                  <c:v>443.3322</c:v>
                </c:pt>
                <c:pt idx="318">
                  <c:v>443.48480000000001</c:v>
                </c:pt>
                <c:pt idx="319">
                  <c:v>443.65140000000002</c:v>
                </c:pt>
                <c:pt idx="320">
                  <c:v>443.85160000000002</c:v>
                </c:pt>
                <c:pt idx="321">
                  <c:v>444.01119999999997</c:v>
                </c:pt>
                <c:pt idx="322">
                  <c:v>444.11320000000001</c:v>
                </c:pt>
                <c:pt idx="323">
                  <c:v>444.22179999999997</c:v>
                </c:pt>
                <c:pt idx="324">
                  <c:v>444.3612</c:v>
                </c:pt>
                <c:pt idx="325">
                  <c:v>444.51620000000003</c:v>
                </c:pt>
                <c:pt idx="326">
                  <c:v>444.62270000000001</c:v>
                </c:pt>
                <c:pt idx="327">
                  <c:v>444.69850000000002</c:v>
                </c:pt>
                <c:pt idx="328">
                  <c:v>444.73579999999998</c:v>
                </c:pt>
                <c:pt idx="329">
                  <c:v>444.75580000000002</c:v>
                </c:pt>
                <c:pt idx="330">
                  <c:v>444.82619999999997</c:v>
                </c:pt>
                <c:pt idx="331">
                  <c:v>444.988</c:v>
                </c:pt>
                <c:pt idx="332">
                  <c:v>445.11970000000002</c:v>
                </c:pt>
                <c:pt idx="333">
                  <c:v>445.18669999999997</c:v>
                </c:pt>
                <c:pt idx="334">
                  <c:v>445.29860000000002</c:v>
                </c:pt>
                <c:pt idx="335">
                  <c:v>445.41739999999999</c:v>
                </c:pt>
                <c:pt idx="336">
                  <c:v>445.524</c:v>
                </c:pt>
                <c:pt idx="337">
                  <c:v>445.54469999999998</c:v>
                </c:pt>
                <c:pt idx="338">
                  <c:v>445.55119999999999</c:v>
                </c:pt>
                <c:pt idx="339">
                  <c:v>445.5924</c:v>
                </c:pt>
                <c:pt idx="340">
                  <c:v>445.62860000000001</c:v>
                </c:pt>
                <c:pt idx="341">
                  <c:v>445.6336</c:v>
                </c:pt>
                <c:pt idx="342">
                  <c:v>445.62220000000002</c:v>
                </c:pt>
                <c:pt idx="343">
                  <c:v>445.65280000000001</c:v>
                </c:pt>
                <c:pt idx="344">
                  <c:v>445.73259999999999</c:v>
                </c:pt>
                <c:pt idx="345">
                  <c:v>445.83629999999999</c:v>
                </c:pt>
                <c:pt idx="346">
                  <c:v>445.96499999999997</c:v>
                </c:pt>
                <c:pt idx="347">
                  <c:v>446.07400000000001</c:v>
                </c:pt>
                <c:pt idx="348">
                  <c:v>446.21100000000001</c:v>
                </c:pt>
                <c:pt idx="349">
                  <c:v>446.3186</c:v>
                </c:pt>
                <c:pt idx="350">
                  <c:v>446.46280000000002</c:v>
                </c:pt>
                <c:pt idx="351">
                  <c:v>446.60820000000001</c:v>
                </c:pt>
                <c:pt idx="352">
                  <c:v>446.76620000000003</c:v>
                </c:pt>
                <c:pt idx="353">
                  <c:v>446.94760000000002</c:v>
                </c:pt>
                <c:pt idx="354">
                  <c:v>447.11880000000002</c:v>
                </c:pt>
                <c:pt idx="355">
                  <c:v>447.26639999999998</c:v>
                </c:pt>
                <c:pt idx="356">
                  <c:v>447.4212</c:v>
                </c:pt>
                <c:pt idx="357">
                  <c:v>447.63060000000002</c:v>
                </c:pt>
                <c:pt idx="358">
                  <c:v>447.78140000000002</c:v>
                </c:pt>
                <c:pt idx="359">
                  <c:v>447.89839999999998</c:v>
                </c:pt>
                <c:pt idx="360">
                  <c:v>448.02929999999998</c:v>
                </c:pt>
                <c:pt idx="361">
                  <c:v>448.14159999999998</c:v>
                </c:pt>
                <c:pt idx="362">
                  <c:v>448.20819999999998</c:v>
                </c:pt>
                <c:pt idx="363">
                  <c:v>448.26229999999998</c:v>
                </c:pt>
                <c:pt idx="364">
                  <c:v>448.34039999999999</c:v>
                </c:pt>
                <c:pt idx="365">
                  <c:v>448.38900000000001</c:v>
                </c:pt>
                <c:pt idx="366">
                  <c:v>448.42669999999998</c:v>
                </c:pt>
                <c:pt idx="367">
                  <c:v>448.48329999999999</c:v>
                </c:pt>
                <c:pt idx="368">
                  <c:v>448.54219999999998</c:v>
                </c:pt>
                <c:pt idx="369">
                  <c:v>448.56020000000001</c:v>
                </c:pt>
                <c:pt idx="370">
                  <c:v>448.53579999999999</c:v>
                </c:pt>
                <c:pt idx="371">
                  <c:v>448.50080000000003</c:v>
                </c:pt>
                <c:pt idx="372">
                  <c:v>448.39580000000001</c:v>
                </c:pt>
                <c:pt idx="373">
                  <c:v>448.30419999999998</c:v>
                </c:pt>
                <c:pt idx="374">
                  <c:v>448.26209999999998</c:v>
                </c:pt>
                <c:pt idx="375">
                  <c:v>448.14839999999998</c:v>
                </c:pt>
                <c:pt idx="376">
                  <c:v>448.06400000000002</c:v>
                </c:pt>
                <c:pt idx="377">
                  <c:v>448.02109999999999</c:v>
                </c:pt>
                <c:pt idx="378">
                  <c:v>448.0111</c:v>
                </c:pt>
                <c:pt idx="379">
                  <c:v>447.9074</c:v>
                </c:pt>
                <c:pt idx="380">
                  <c:v>447.78680000000003</c:v>
                </c:pt>
                <c:pt idx="381">
                  <c:v>447.57799999999997</c:v>
                </c:pt>
                <c:pt idx="382">
                  <c:v>447.36829999999998</c:v>
                </c:pt>
                <c:pt idx="383">
                  <c:v>447.137</c:v>
                </c:pt>
                <c:pt idx="384">
                  <c:v>446.90460000000002</c:v>
                </c:pt>
                <c:pt idx="385">
                  <c:v>446.7099</c:v>
                </c:pt>
                <c:pt idx="386">
                  <c:v>446.51780000000002</c:v>
                </c:pt>
                <c:pt idx="387">
                  <c:v>446.37139999999999</c:v>
                </c:pt>
                <c:pt idx="388">
                  <c:v>446.125</c:v>
                </c:pt>
                <c:pt idx="389">
                  <c:v>445.87740000000002</c:v>
                </c:pt>
                <c:pt idx="390">
                  <c:v>445.61680000000001</c:v>
                </c:pt>
                <c:pt idx="391">
                  <c:v>445.38889999999998</c:v>
                </c:pt>
                <c:pt idx="392">
                  <c:v>445.14769999999999</c:v>
                </c:pt>
                <c:pt idx="393">
                  <c:v>444.9212</c:v>
                </c:pt>
                <c:pt idx="394">
                  <c:v>444.72879999999998</c:v>
                </c:pt>
                <c:pt idx="395">
                  <c:v>444.57960000000003</c:v>
                </c:pt>
                <c:pt idx="396">
                  <c:v>444.41460000000001</c:v>
                </c:pt>
                <c:pt idx="397">
                  <c:v>444.22770000000003</c:v>
                </c:pt>
                <c:pt idx="398">
                  <c:v>444.09440000000001</c:v>
                </c:pt>
                <c:pt idx="399">
                  <c:v>443.95119999999997</c:v>
                </c:pt>
                <c:pt idx="400">
                  <c:v>443.8109</c:v>
                </c:pt>
                <c:pt idx="401">
                  <c:v>443.6728</c:v>
                </c:pt>
                <c:pt idx="402">
                  <c:v>443.49259999999998</c:v>
                </c:pt>
                <c:pt idx="403">
                  <c:v>443.26</c:v>
                </c:pt>
                <c:pt idx="404">
                  <c:v>442.96440000000001</c:v>
                </c:pt>
                <c:pt idx="405">
                  <c:v>442.60809999999998</c:v>
                </c:pt>
                <c:pt idx="406">
                  <c:v>442.22620000000001</c:v>
                </c:pt>
                <c:pt idx="407">
                  <c:v>441.86099999999999</c:v>
                </c:pt>
                <c:pt idx="408">
                  <c:v>441.43650000000002</c:v>
                </c:pt>
                <c:pt idx="409">
                  <c:v>441.0068</c:v>
                </c:pt>
                <c:pt idx="410">
                  <c:v>440.61619999999999</c:v>
                </c:pt>
                <c:pt idx="411">
                  <c:v>440.22280000000001</c:v>
                </c:pt>
                <c:pt idx="412">
                  <c:v>439.85579999999999</c:v>
                </c:pt>
                <c:pt idx="413">
                  <c:v>439.55160000000001</c:v>
                </c:pt>
                <c:pt idx="414">
                  <c:v>439.24959999999999</c:v>
                </c:pt>
                <c:pt idx="415">
                  <c:v>438.92570000000001</c:v>
                </c:pt>
                <c:pt idx="416">
                  <c:v>438.59449999999998</c:v>
                </c:pt>
                <c:pt idx="417">
                  <c:v>438.25990000000002</c:v>
                </c:pt>
                <c:pt idx="418">
                  <c:v>437.92669999999998</c:v>
                </c:pt>
                <c:pt idx="419">
                  <c:v>437.60059999999999</c:v>
                </c:pt>
                <c:pt idx="420">
                  <c:v>437.30990000000003</c:v>
                </c:pt>
                <c:pt idx="421">
                  <c:v>437.08460000000002</c:v>
                </c:pt>
                <c:pt idx="422">
                  <c:v>436.85980000000001</c:v>
                </c:pt>
                <c:pt idx="423">
                  <c:v>436.5917</c:v>
                </c:pt>
                <c:pt idx="424">
                  <c:v>436.28</c:v>
                </c:pt>
                <c:pt idx="425">
                  <c:v>435.95460000000003</c:v>
                </c:pt>
                <c:pt idx="426">
                  <c:v>435.6309</c:v>
                </c:pt>
                <c:pt idx="427">
                  <c:v>435.38799999999998</c:v>
                </c:pt>
                <c:pt idx="428">
                  <c:v>435.12540000000001</c:v>
                </c:pt>
                <c:pt idx="429">
                  <c:v>434.94110000000001</c:v>
                </c:pt>
                <c:pt idx="430">
                  <c:v>434.74380000000002</c:v>
                </c:pt>
                <c:pt idx="431">
                  <c:v>434.59449999999998</c:v>
                </c:pt>
                <c:pt idx="432">
                  <c:v>434.40440000000001</c:v>
                </c:pt>
                <c:pt idx="433">
                  <c:v>434.20780000000002</c:v>
                </c:pt>
                <c:pt idx="434">
                  <c:v>433.96899999999999</c:v>
                </c:pt>
                <c:pt idx="435">
                  <c:v>433.78480000000002</c:v>
                </c:pt>
                <c:pt idx="436">
                  <c:v>433.64179999999999</c:v>
                </c:pt>
                <c:pt idx="437">
                  <c:v>433.53359999999998</c:v>
                </c:pt>
                <c:pt idx="438">
                  <c:v>433.41160000000002</c:v>
                </c:pt>
                <c:pt idx="439">
                  <c:v>433.23939999999999</c:v>
                </c:pt>
                <c:pt idx="440">
                  <c:v>433.0822</c:v>
                </c:pt>
                <c:pt idx="441">
                  <c:v>432.91719999999998</c:v>
                </c:pt>
                <c:pt idx="442">
                  <c:v>432.73129999999998</c:v>
                </c:pt>
                <c:pt idx="443">
                  <c:v>432.5342</c:v>
                </c:pt>
                <c:pt idx="444">
                  <c:v>432.32299999999998</c:v>
                </c:pt>
                <c:pt idx="445">
                  <c:v>432.1574</c:v>
                </c:pt>
                <c:pt idx="446">
                  <c:v>431.9796</c:v>
                </c:pt>
                <c:pt idx="447">
                  <c:v>431.83519999999999</c:v>
                </c:pt>
                <c:pt idx="448">
                  <c:v>431.70979999999997</c:v>
                </c:pt>
                <c:pt idx="449">
                  <c:v>431.5668</c:v>
                </c:pt>
                <c:pt idx="450">
                  <c:v>431.40379999999999</c:v>
                </c:pt>
                <c:pt idx="451">
                  <c:v>431.24299999999999</c:v>
                </c:pt>
                <c:pt idx="452">
                  <c:v>431.04419999999999</c:v>
                </c:pt>
                <c:pt idx="453">
                  <c:v>430.78739999999999</c:v>
                </c:pt>
                <c:pt idx="454">
                  <c:v>430.51459999999997</c:v>
                </c:pt>
                <c:pt idx="455">
                  <c:v>430.24020000000002</c:v>
                </c:pt>
                <c:pt idx="456">
                  <c:v>429.9932</c:v>
                </c:pt>
                <c:pt idx="457">
                  <c:v>429.68279999999999</c:v>
                </c:pt>
                <c:pt idx="458">
                  <c:v>429.37779999999998</c:v>
                </c:pt>
                <c:pt idx="459">
                  <c:v>429.05</c:v>
                </c:pt>
                <c:pt idx="460">
                  <c:v>428.68959999999998</c:v>
                </c:pt>
                <c:pt idx="461">
                  <c:v>428.33460000000002</c:v>
                </c:pt>
                <c:pt idx="462">
                  <c:v>427.94940000000003</c:v>
                </c:pt>
                <c:pt idx="463">
                  <c:v>427.56240000000003</c:v>
                </c:pt>
                <c:pt idx="464">
                  <c:v>427.20269999999999</c:v>
                </c:pt>
                <c:pt idx="465">
                  <c:v>426.86020000000002</c:v>
                </c:pt>
                <c:pt idx="466">
                  <c:v>426.55529999999999</c:v>
                </c:pt>
                <c:pt idx="467">
                  <c:v>426.26920000000001</c:v>
                </c:pt>
                <c:pt idx="468">
                  <c:v>425.88749999999999</c:v>
                </c:pt>
                <c:pt idx="469">
                  <c:v>425.56560000000002</c:v>
                </c:pt>
                <c:pt idx="470">
                  <c:v>425.19319999999999</c:v>
                </c:pt>
                <c:pt idx="471">
                  <c:v>424.84320000000002</c:v>
                </c:pt>
                <c:pt idx="472">
                  <c:v>424.5335</c:v>
                </c:pt>
                <c:pt idx="473">
                  <c:v>424.16699999999997</c:v>
                </c:pt>
                <c:pt idx="474">
                  <c:v>423.78680000000003</c:v>
                </c:pt>
                <c:pt idx="475">
                  <c:v>423.36399999999998</c:v>
                </c:pt>
                <c:pt idx="476">
                  <c:v>422.8623</c:v>
                </c:pt>
                <c:pt idx="477">
                  <c:v>422.33620000000002</c:v>
                </c:pt>
                <c:pt idx="478">
                  <c:v>421.82139999999998</c:v>
                </c:pt>
                <c:pt idx="479">
                  <c:v>421.32040000000001</c:v>
                </c:pt>
                <c:pt idx="480">
                  <c:v>420.8014</c:v>
                </c:pt>
                <c:pt idx="481">
                  <c:v>420.2706</c:v>
                </c:pt>
                <c:pt idx="482">
                  <c:v>419.75060000000002</c:v>
                </c:pt>
                <c:pt idx="483">
                  <c:v>419.3082</c:v>
                </c:pt>
                <c:pt idx="484">
                  <c:v>418.89429999999999</c:v>
                </c:pt>
                <c:pt idx="485">
                  <c:v>418.48540000000003</c:v>
                </c:pt>
                <c:pt idx="486">
                  <c:v>417.98399999999998</c:v>
                </c:pt>
                <c:pt idx="487">
                  <c:v>417.44569999999999</c:v>
                </c:pt>
                <c:pt idx="488">
                  <c:v>416.88139999999999</c:v>
                </c:pt>
                <c:pt idx="489">
                  <c:v>416.27789999999999</c:v>
                </c:pt>
                <c:pt idx="490">
                  <c:v>415.72340000000003</c:v>
                </c:pt>
                <c:pt idx="491">
                  <c:v>415.12419999999997</c:v>
                </c:pt>
                <c:pt idx="492">
                  <c:v>414.57740000000001</c:v>
                </c:pt>
                <c:pt idx="493">
                  <c:v>414.05829999999997</c:v>
                </c:pt>
                <c:pt idx="494">
                  <c:v>413.51220000000001</c:v>
                </c:pt>
                <c:pt idx="495">
                  <c:v>412.95159999999998</c:v>
                </c:pt>
                <c:pt idx="496">
                  <c:v>412.48110000000003</c:v>
                </c:pt>
                <c:pt idx="497">
                  <c:v>412.03579999999999</c:v>
                </c:pt>
                <c:pt idx="498">
                  <c:v>411.62990000000002</c:v>
                </c:pt>
                <c:pt idx="499">
                  <c:v>411.2124</c:v>
                </c:pt>
                <c:pt idx="500">
                  <c:v>410.7636</c:v>
                </c:pt>
                <c:pt idx="501">
                  <c:v>410.35359999999997</c:v>
                </c:pt>
                <c:pt idx="502">
                  <c:v>409.96199999999999</c:v>
                </c:pt>
                <c:pt idx="503">
                  <c:v>409.56099999999998</c:v>
                </c:pt>
                <c:pt idx="504">
                  <c:v>409.15289999999999</c:v>
                </c:pt>
                <c:pt idx="505">
                  <c:v>408.74919999999997</c:v>
                </c:pt>
                <c:pt idx="506">
                  <c:v>408.3972</c:v>
                </c:pt>
                <c:pt idx="507">
                  <c:v>408.10700000000003</c:v>
                </c:pt>
                <c:pt idx="508">
                  <c:v>407.81779999999998</c:v>
                </c:pt>
                <c:pt idx="509">
                  <c:v>407.51620000000003</c:v>
                </c:pt>
                <c:pt idx="510">
                  <c:v>407.3227</c:v>
                </c:pt>
                <c:pt idx="511">
                  <c:v>407.15899999999999</c:v>
                </c:pt>
                <c:pt idx="512">
                  <c:v>406.92489999999998</c:v>
                </c:pt>
                <c:pt idx="513">
                  <c:v>406.6678</c:v>
                </c:pt>
                <c:pt idx="514">
                  <c:v>406.38029999999998</c:v>
                </c:pt>
                <c:pt idx="515">
                  <c:v>406.06479999999999</c:v>
                </c:pt>
                <c:pt idx="516">
                  <c:v>405.81189999999998</c:v>
                </c:pt>
                <c:pt idx="517">
                  <c:v>405.54140000000001</c:v>
                </c:pt>
                <c:pt idx="518">
                  <c:v>405.30459999999999</c:v>
                </c:pt>
                <c:pt idx="519">
                  <c:v>405.06200000000001</c:v>
                </c:pt>
                <c:pt idx="520">
                  <c:v>404.78590000000003</c:v>
                </c:pt>
                <c:pt idx="521">
                  <c:v>404.5188</c:v>
                </c:pt>
                <c:pt idx="522">
                  <c:v>404.29270000000002</c:v>
                </c:pt>
                <c:pt idx="523">
                  <c:v>404.13600000000002</c:v>
                </c:pt>
                <c:pt idx="524">
                  <c:v>403.94240000000002</c:v>
                </c:pt>
                <c:pt idx="525">
                  <c:v>403.74400000000003</c:v>
                </c:pt>
                <c:pt idx="526">
                  <c:v>403.5566</c:v>
                </c:pt>
                <c:pt idx="527">
                  <c:v>403.3546</c:v>
                </c:pt>
                <c:pt idx="528">
                  <c:v>403.17259999999999</c:v>
                </c:pt>
                <c:pt idx="529">
                  <c:v>403.04399999999998</c:v>
                </c:pt>
                <c:pt idx="530">
                  <c:v>402.8689</c:v>
                </c:pt>
                <c:pt idx="531">
                  <c:v>402.67489999999998</c:v>
                </c:pt>
                <c:pt idx="532">
                  <c:v>402.5016</c:v>
                </c:pt>
                <c:pt idx="533">
                  <c:v>402.34870000000001</c:v>
                </c:pt>
                <c:pt idx="534">
                  <c:v>402.10739999999998</c:v>
                </c:pt>
                <c:pt idx="535">
                  <c:v>401.84519999999998</c:v>
                </c:pt>
                <c:pt idx="536">
                  <c:v>401.58440000000002</c:v>
                </c:pt>
                <c:pt idx="537">
                  <c:v>401.39</c:v>
                </c:pt>
                <c:pt idx="538">
                  <c:v>401.23989999999998</c:v>
                </c:pt>
                <c:pt idx="539">
                  <c:v>401.00639999999999</c:v>
                </c:pt>
                <c:pt idx="540">
                  <c:v>400.79360000000003</c:v>
                </c:pt>
                <c:pt idx="541">
                  <c:v>400.60019999999997</c:v>
                </c:pt>
                <c:pt idx="542">
                  <c:v>400.39859999999999</c:v>
                </c:pt>
                <c:pt idx="543">
                  <c:v>400.18490000000003</c:v>
                </c:pt>
                <c:pt idx="544">
                  <c:v>399.91899999999998</c:v>
                </c:pt>
                <c:pt idx="545">
                  <c:v>399.61770000000001</c:v>
                </c:pt>
                <c:pt idx="546">
                  <c:v>399.31389999999999</c:v>
                </c:pt>
                <c:pt idx="547">
                  <c:v>398.98880000000003</c:v>
                </c:pt>
                <c:pt idx="548">
                  <c:v>398.68130000000002</c:v>
                </c:pt>
                <c:pt idx="549">
                  <c:v>398.40159999999997</c:v>
                </c:pt>
                <c:pt idx="550">
                  <c:v>398.10199999999998</c:v>
                </c:pt>
                <c:pt idx="551">
                  <c:v>397.81619999999998</c:v>
                </c:pt>
                <c:pt idx="552">
                  <c:v>397.52140000000003</c:v>
                </c:pt>
                <c:pt idx="553">
                  <c:v>397.20620000000002</c:v>
                </c:pt>
                <c:pt idx="554">
                  <c:v>396.90159999999997</c:v>
                </c:pt>
                <c:pt idx="555">
                  <c:v>396.60079999999999</c:v>
                </c:pt>
                <c:pt idx="556">
                  <c:v>396.27940000000001</c:v>
                </c:pt>
                <c:pt idx="557">
                  <c:v>395.97480000000002</c:v>
                </c:pt>
                <c:pt idx="558">
                  <c:v>395.72280000000001</c:v>
                </c:pt>
                <c:pt idx="559">
                  <c:v>395.49119999999999</c:v>
                </c:pt>
                <c:pt idx="560">
                  <c:v>395.2491</c:v>
                </c:pt>
                <c:pt idx="561">
                  <c:v>395.03500000000003</c:v>
                </c:pt>
                <c:pt idx="562">
                  <c:v>394.86380000000003</c:v>
                </c:pt>
                <c:pt idx="563">
                  <c:v>394.67529999999999</c:v>
                </c:pt>
                <c:pt idx="564">
                  <c:v>394.49119999999999</c:v>
                </c:pt>
                <c:pt idx="565">
                  <c:v>394.3562</c:v>
                </c:pt>
                <c:pt idx="566">
                  <c:v>394.25020000000001</c:v>
                </c:pt>
                <c:pt idx="567">
                  <c:v>394.08679999999998</c:v>
                </c:pt>
                <c:pt idx="568">
                  <c:v>393.91239999999999</c:v>
                </c:pt>
                <c:pt idx="569">
                  <c:v>393.798</c:v>
                </c:pt>
                <c:pt idx="570">
                  <c:v>393.72109999999998</c:v>
                </c:pt>
                <c:pt idx="571">
                  <c:v>393.61399999999998</c:v>
                </c:pt>
                <c:pt idx="572">
                  <c:v>393.57369999999997</c:v>
                </c:pt>
                <c:pt idx="573">
                  <c:v>393.55149999999998</c:v>
                </c:pt>
                <c:pt idx="574">
                  <c:v>393.47559999999999</c:v>
                </c:pt>
                <c:pt idx="575">
                  <c:v>393.48559999999998</c:v>
                </c:pt>
                <c:pt idx="576">
                  <c:v>393.45460000000003</c:v>
                </c:pt>
                <c:pt idx="577">
                  <c:v>393.40899999999999</c:v>
                </c:pt>
                <c:pt idx="578">
                  <c:v>393.25909999999999</c:v>
                </c:pt>
                <c:pt idx="579">
                  <c:v>393.18279999999999</c:v>
                </c:pt>
                <c:pt idx="580">
                  <c:v>393.12939999999998</c:v>
                </c:pt>
                <c:pt idx="581">
                  <c:v>393.12040000000002</c:v>
                </c:pt>
                <c:pt idx="582">
                  <c:v>393.11360000000002</c:v>
                </c:pt>
                <c:pt idx="583">
                  <c:v>393.13119999999998</c:v>
                </c:pt>
                <c:pt idx="584">
                  <c:v>393.14319999999998</c:v>
                </c:pt>
                <c:pt idx="585">
                  <c:v>393.12360000000001</c:v>
                </c:pt>
                <c:pt idx="586">
                  <c:v>393.14409999999998</c:v>
                </c:pt>
                <c:pt idx="587">
                  <c:v>393.12479999999999</c:v>
                </c:pt>
                <c:pt idx="588">
                  <c:v>393.15690000000001</c:v>
                </c:pt>
                <c:pt idx="589">
                  <c:v>393.20420000000001</c:v>
                </c:pt>
                <c:pt idx="590">
                  <c:v>393.21379999999999</c:v>
                </c:pt>
                <c:pt idx="591">
                  <c:v>393.15879999999999</c:v>
                </c:pt>
                <c:pt idx="592">
                  <c:v>393.11619999999999</c:v>
                </c:pt>
                <c:pt idx="593">
                  <c:v>393.08800000000002</c:v>
                </c:pt>
                <c:pt idx="594">
                  <c:v>393.00779999999997</c:v>
                </c:pt>
                <c:pt idx="595">
                  <c:v>392.91199999999998</c:v>
                </c:pt>
                <c:pt idx="596">
                  <c:v>392.79739999999998</c:v>
                </c:pt>
                <c:pt idx="597">
                  <c:v>392.71809999999999</c:v>
                </c:pt>
                <c:pt idx="598">
                  <c:v>392.62569999999999</c:v>
                </c:pt>
                <c:pt idx="599">
                  <c:v>392.53359999999998</c:v>
                </c:pt>
                <c:pt idx="600">
                  <c:v>392.44040000000001</c:v>
                </c:pt>
                <c:pt idx="601">
                  <c:v>392.34050000000002</c:v>
                </c:pt>
                <c:pt idx="602">
                  <c:v>392.26679999999999</c:v>
                </c:pt>
                <c:pt idx="603">
                  <c:v>392.23759999999999</c:v>
                </c:pt>
                <c:pt idx="604">
                  <c:v>392.29539999999997</c:v>
                </c:pt>
                <c:pt idx="605">
                  <c:v>392.43889999999999</c:v>
                </c:pt>
                <c:pt idx="606">
                  <c:v>392.61649999999997</c:v>
                </c:pt>
                <c:pt idx="607">
                  <c:v>392.77519999999998</c:v>
                </c:pt>
                <c:pt idx="608">
                  <c:v>392.98540000000003</c:v>
                </c:pt>
                <c:pt idx="609">
                  <c:v>393.19400000000002</c:v>
                </c:pt>
                <c:pt idx="610">
                  <c:v>393.3646</c:v>
                </c:pt>
                <c:pt idx="611">
                  <c:v>393.54079999999999</c:v>
                </c:pt>
                <c:pt idx="612">
                  <c:v>393.69900000000001</c:v>
                </c:pt>
                <c:pt idx="613">
                  <c:v>393.78890000000001</c:v>
                </c:pt>
                <c:pt idx="614">
                  <c:v>393.91329999999999</c:v>
                </c:pt>
                <c:pt idx="615">
                  <c:v>394.07240000000002</c:v>
                </c:pt>
                <c:pt idx="616">
                  <c:v>394.24040000000002</c:v>
                </c:pt>
                <c:pt idx="617">
                  <c:v>394.42520000000002</c:v>
                </c:pt>
                <c:pt idx="618">
                  <c:v>394.58960000000002</c:v>
                </c:pt>
                <c:pt idx="619">
                  <c:v>394.73919999999998</c:v>
                </c:pt>
                <c:pt idx="620">
                  <c:v>394.88400000000001</c:v>
                </c:pt>
                <c:pt idx="621">
                  <c:v>395.00220000000002</c:v>
                </c:pt>
                <c:pt idx="622">
                  <c:v>395.08920000000001</c:v>
                </c:pt>
                <c:pt idx="623">
                  <c:v>395.18990000000002</c:v>
                </c:pt>
                <c:pt idx="624">
                  <c:v>395.34780000000001</c:v>
                </c:pt>
                <c:pt idx="625">
                  <c:v>395.5333</c:v>
                </c:pt>
                <c:pt idx="626">
                  <c:v>395.72129999999999</c:v>
                </c:pt>
                <c:pt idx="627">
                  <c:v>395.84980000000002</c:v>
                </c:pt>
                <c:pt idx="628">
                  <c:v>395.98020000000002</c:v>
                </c:pt>
                <c:pt idx="629">
                  <c:v>396.04450000000003</c:v>
                </c:pt>
                <c:pt idx="630">
                  <c:v>396.13380000000001</c:v>
                </c:pt>
                <c:pt idx="631">
                  <c:v>396.20359999999999</c:v>
                </c:pt>
                <c:pt idx="632">
                  <c:v>396.28280000000001</c:v>
                </c:pt>
                <c:pt idx="633">
                  <c:v>396.36919999999998</c:v>
                </c:pt>
                <c:pt idx="634">
                  <c:v>396.47539999999998</c:v>
                </c:pt>
                <c:pt idx="635">
                  <c:v>396.52809999999999</c:v>
                </c:pt>
                <c:pt idx="636">
                  <c:v>396.56279999999998</c:v>
                </c:pt>
                <c:pt idx="637">
                  <c:v>396.55410000000001</c:v>
                </c:pt>
                <c:pt idx="638">
                  <c:v>396.57639999999998</c:v>
                </c:pt>
                <c:pt idx="639">
                  <c:v>396.63220000000001</c:v>
                </c:pt>
                <c:pt idx="640">
                  <c:v>396.65309999999999</c:v>
                </c:pt>
                <c:pt idx="641">
                  <c:v>396.67619999999999</c:v>
                </c:pt>
                <c:pt idx="642">
                  <c:v>396.67930000000001</c:v>
                </c:pt>
                <c:pt idx="643">
                  <c:v>396.66980000000001</c:v>
                </c:pt>
                <c:pt idx="644">
                  <c:v>396.68630000000002</c:v>
                </c:pt>
                <c:pt idx="645">
                  <c:v>396.68639999999999</c:v>
                </c:pt>
                <c:pt idx="646">
                  <c:v>396.68740000000003</c:v>
                </c:pt>
                <c:pt idx="647">
                  <c:v>396.64120000000003</c:v>
                </c:pt>
                <c:pt idx="648">
                  <c:v>396.60599999999999</c:v>
                </c:pt>
                <c:pt idx="649">
                  <c:v>396.59699999999998</c:v>
                </c:pt>
                <c:pt idx="650">
                  <c:v>396.59930000000003</c:v>
                </c:pt>
                <c:pt idx="651">
                  <c:v>396.6</c:v>
                </c:pt>
                <c:pt idx="652">
                  <c:v>396.62200000000001</c:v>
                </c:pt>
                <c:pt idx="653">
                  <c:v>396.70100000000002</c:v>
                </c:pt>
                <c:pt idx="654">
                  <c:v>396.78870000000001</c:v>
                </c:pt>
                <c:pt idx="655">
                  <c:v>396.88940000000002</c:v>
                </c:pt>
                <c:pt idx="656">
                  <c:v>396.9751</c:v>
                </c:pt>
                <c:pt idx="657">
                  <c:v>397.13440000000003</c:v>
                </c:pt>
                <c:pt idx="658">
                  <c:v>397.33429999999998</c:v>
                </c:pt>
                <c:pt idx="659">
                  <c:v>397.54059999999998</c:v>
                </c:pt>
                <c:pt idx="660">
                  <c:v>397.75060000000002</c:v>
                </c:pt>
                <c:pt idx="661">
                  <c:v>397.94319999999999</c:v>
                </c:pt>
                <c:pt idx="662">
                  <c:v>398.16449999999998</c:v>
                </c:pt>
                <c:pt idx="663">
                  <c:v>398.3768</c:v>
                </c:pt>
                <c:pt idx="664">
                  <c:v>398.54500000000002</c:v>
                </c:pt>
                <c:pt idx="665">
                  <c:v>398.72399999999999</c:v>
                </c:pt>
                <c:pt idx="666">
                  <c:v>398.87299999999999</c:v>
                </c:pt>
                <c:pt idx="667">
                  <c:v>399.0086</c:v>
                </c:pt>
                <c:pt idx="668">
                  <c:v>399.25959999999998</c:v>
                </c:pt>
                <c:pt idx="669">
                  <c:v>399.50549999999998</c:v>
                </c:pt>
                <c:pt idx="670">
                  <c:v>399.7706</c:v>
                </c:pt>
                <c:pt idx="671">
                  <c:v>400.041</c:v>
                </c:pt>
                <c:pt idx="672">
                  <c:v>400.291</c:v>
                </c:pt>
                <c:pt idx="673">
                  <c:v>400.56889999999999</c:v>
                </c:pt>
                <c:pt idx="674">
                  <c:v>400.89420000000001</c:v>
                </c:pt>
                <c:pt idx="675">
                  <c:v>401.25319999999999</c:v>
                </c:pt>
                <c:pt idx="676">
                  <c:v>401.66129999999998</c:v>
                </c:pt>
                <c:pt idx="677">
                  <c:v>402.08620000000002</c:v>
                </c:pt>
                <c:pt idx="678">
                  <c:v>402.52339999999998</c:v>
                </c:pt>
                <c:pt idx="679">
                  <c:v>402.9418</c:v>
                </c:pt>
                <c:pt idx="680">
                  <c:v>403.40379999999999</c:v>
                </c:pt>
                <c:pt idx="681">
                  <c:v>403.87880000000001</c:v>
                </c:pt>
                <c:pt idx="682">
                  <c:v>404.3066</c:v>
                </c:pt>
                <c:pt idx="683">
                  <c:v>404.68779999999998</c:v>
                </c:pt>
                <c:pt idx="684">
                  <c:v>405.07960000000003</c:v>
                </c:pt>
                <c:pt idx="685">
                  <c:v>405.49110000000002</c:v>
                </c:pt>
                <c:pt idx="686">
                  <c:v>405.93959999999998</c:v>
                </c:pt>
                <c:pt idx="687">
                  <c:v>406.42410000000001</c:v>
                </c:pt>
                <c:pt idx="688">
                  <c:v>406.92439999999999</c:v>
                </c:pt>
                <c:pt idx="689">
                  <c:v>407.42399999999998</c:v>
                </c:pt>
                <c:pt idx="690">
                  <c:v>407.84480000000002</c:v>
                </c:pt>
                <c:pt idx="691">
                  <c:v>408.30079999999998</c:v>
                </c:pt>
                <c:pt idx="692">
                  <c:v>408.70080000000002</c:v>
                </c:pt>
                <c:pt idx="693">
                  <c:v>409.09859999999998</c:v>
                </c:pt>
                <c:pt idx="694">
                  <c:v>409.49990000000003</c:v>
                </c:pt>
                <c:pt idx="695">
                  <c:v>409.90159999999997</c:v>
                </c:pt>
                <c:pt idx="696">
                  <c:v>410.25970000000001</c:v>
                </c:pt>
                <c:pt idx="697">
                  <c:v>410.59359999999998</c:v>
                </c:pt>
                <c:pt idx="698">
                  <c:v>410.90960000000001</c:v>
                </c:pt>
                <c:pt idx="699">
                  <c:v>411.21390000000002</c:v>
                </c:pt>
                <c:pt idx="700">
                  <c:v>411.51220000000001</c:v>
                </c:pt>
                <c:pt idx="701">
                  <c:v>411.74860000000001</c:v>
                </c:pt>
                <c:pt idx="702">
                  <c:v>412</c:v>
                </c:pt>
                <c:pt idx="703">
                  <c:v>412.27409999999998</c:v>
                </c:pt>
                <c:pt idx="704">
                  <c:v>412.59050000000002</c:v>
                </c:pt>
                <c:pt idx="705">
                  <c:v>412.95060000000001</c:v>
                </c:pt>
                <c:pt idx="706">
                  <c:v>413.25330000000002</c:v>
                </c:pt>
                <c:pt idx="707">
                  <c:v>413.55340000000001</c:v>
                </c:pt>
                <c:pt idx="708">
                  <c:v>413.85719999999998</c:v>
                </c:pt>
                <c:pt idx="709">
                  <c:v>414.23239999999998</c:v>
                </c:pt>
                <c:pt idx="710">
                  <c:v>414.51400000000001</c:v>
                </c:pt>
                <c:pt idx="711">
                  <c:v>414.77319999999997</c:v>
                </c:pt>
                <c:pt idx="712">
                  <c:v>415.05349999999999</c:v>
                </c:pt>
                <c:pt idx="713">
                  <c:v>415.30720000000002</c:v>
                </c:pt>
                <c:pt idx="714">
                  <c:v>415.56110000000001</c:v>
                </c:pt>
                <c:pt idx="715">
                  <c:v>415.81420000000003</c:v>
                </c:pt>
                <c:pt idx="716">
                  <c:v>416.0616</c:v>
                </c:pt>
                <c:pt idx="717">
                  <c:v>416.33089999999999</c:v>
                </c:pt>
                <c:pt idx="718">
                  <c:v>416.56139999999999</c:v>
                </c:pt>
                <c:pt idx="719">
                  <c:v>416.78179999999998</c:v>
                </c:pt>
                <c:pt idx="720">
                  <c:v>417.02199999999999</c:v>
                </c:pt>
                <c:pt idx="721">
                  <c:v>417.25920000000002</c:v>
                </c:pt>
                <c:pt idx="722">
                  <c:v>417.50119999999998</c:v>
                </c:pt>
                <c:pt idx="723">
                  <c:v>417.6764</c:v>
                </c:pt>
                <c:pt idx="724">
                  <c:v>417.83269999999999</c:v>
                </c:pt>
                <c:pt idx="725">
                  <c:v>417.95510000000002</c:v>
                </c:pt>
                <c:pt idx="726">
                  <c:v>418.10919999999999</c:v>
                </c:pt>
                <c:pt idx="727">
                  <c:v>418.30119999999999</c:v>
                </c:pt>
                <c:pt idx="728">
                  <c:v>418.46480000000003</c:v>
                </c:pt>
                <c:pt idx="729">
                  <c:v>418.6139</c:v>
                </c:pt>
                <c:pt idx="730">
                  <c:v>418.7901</c:v>
                </c:pt>
                <c:pt idx="731">
                  <c:v>418.93279999999999</c:v>
                </c:pt>
                <c:pt idx="732">
                  <c:v>419.05939999999998</c:v>
                </c:pt>
                <c:pt idx="733">
                  <c:v>419.17039999999997</c:v>
                </c:pt>
                <c:pt idx="734">
                  <c:v>419.34559999999999</c:v>
                </c:pt>
                <c:pt idx="735">
                  <c:v>419.55169999999998</c:v>
                </c:pt>
                <c:pt idx="736">
                  <c:v>419.79930000000002</c:v>
                </c:pt>
                <c:pt idx="737">
                  <c:v>420.05799999999999</c:v>
                </c:pt>
                <c:pt idx="738">
                  <c:v>420.2996</c:v>
                </c:pt>
                <c:pt idx="739">
                  <c:v>420.57760000000002</c:v>
                </c:pt>
                <c:pt idx="740">
                  <c:v>420.83139999999997</c:v>
                </c:pt>
                <c:pt idx="741">
                  <c:v>421.08179999999999</c:v>
                </c:pt>
                <c:pt idx="742">
                  <c:v>421.37880000000001</c:v>
                </c:pt>
                <c:pt idx="743">
                  <c:v>421.64159999999998</c:v>
                </c:pt>
                <c:pt idx="744">
                  <c:v>421.88060000000002</c:v>
                </c:pt>
                <c:pt idx="745">
                  <c:v>422.10860000000002</c:v>
                </c:pt>
                <c:pt idx="746">
                  <c:v>422.29579999999999</c:v>
                </c:pt>
                <c:pt idx="747">
                  <c:v>422.50119999999998</c:v>
                </c:pt>
                <c:pt idx="748">
                  <c:v>422.6789</c:v>
                </c:pt>
                <c:pt idx="749">
                  <c:v>422.82740000000001</c:v>
                </c:pt>
                <c:pt idx="750">
                  <c:v>422.93720000000002</c:v>
                </c:pt>
                <c:pt idx="751">
                  <c:v>423.01299999999998</c:v>
                </c:pt>
                <c:pt idx="752">
                  <c:v>423.1062</c:v>
                </c:pt>
                <c:pt idx="753">
                  <c:v>423.20460000000003</c:v>
                </c:pt>
                <c:pt idx="754">
                  <c:v>423.32909999999998</c:v>
                </c:pt>
                <c:pt idx="755">
                  <c:v>423.52539999999999</c:v>
                </c:pt>
                <c:pt idx="756">
                  <c:v>423.75569999999999</c:v>
                </c:pt>
                <c:pt idx="757">
                  <c:v>423.95479999999998</c:v>
                </c:pt>
                <c:pt idx="758">
                  <c:v>424.13619999999997</c:v>
                </c:pt>
                <c:pt idx="759">
                  <c:v>424.32150000000001</c:v>
                </c:pt>
                <c:pt idx="760">
                  <c:v>424.48899999999998</c:v>
                </c:pt>
                <c:pt idx="761">
                  <c:v>424.66820000000001</c:v>
                </c:pt>
                <c:pt idx="762">
                  <c:v>424.8408</c:v>
                </c:pt>
                <c:pt idx="763">
                  <c:v>425.08150000000001</c:v>
                </c:pt>
                <c:pt idx="764">
                  <c:v>425.29750000000001</c:v>
                </c:pt>
                <c:pt idx="765">
                  <c:v>425.49459999999999</c:v>
                </c:pt>
                <c:pt idx="766">
                  <c:v>425.66469999999998</c:v>
                </c:pt>
                <c:pt idx="767">
                  <c:v>425.87419999999997</c:v>
                </c:pt>
                <c:pt idx="768">
                  <c:v>426.09140000000002</c:v>
                </c:pt>
                <c:pt idx="769">
                  <c:v>426.29059999999998</c:v>
                </c:pt>
                <c:pt idx="770">
                  <c:v>426.5138</c:v>
                </c:pt>
                <c:pt idx="771">
                  <c:v>426.75080000000003</c:v>
                </c:pt>
                <c:pt idx="772">
                  <c:v>426.98520000000002</c:v>
                </c:pt>
                <c:pt idx="773">
                  <c:v>427.19420000000002</c:v>
                </c:pt>
                <c:pt idx="774">
                  <c:v>427.41300000000001</c:v>
                </c:pt>
                <c:pt idx="775">
                  <c:v>427.6386</c:v>
                </c:pt>
                <c:pt idx="776">
                  <c:v>427.88060000000002</c:v>
                </c:pt>
                <c:pt idx="777">
                  <c:v>428.12729999999999</c:v>
                </c:pt>
                <c:pt idx="778">
                  <c:v>428.40559999999999</c:v>
                </c:pt>
                <c:pt idx="779">
                  <c:v>428.70409999999998</c:v>
                </c:pt>
                <c:pt idx="780">
                  <c:v>429.0018</c:v>
                </c:pt>
                <c:pt idx="781">
                  <c:v>429.32979999999998</c:v>
                </c:pt>
                <c:pt idx="782">
                  <c:v>429.6617</c:v>
                </c:pt>
                <c:pt idx="783">
                  <c:v>430.03289999999998</c:v>
                </c:pt>
                <c:pt idx="784">
                  <c:v>430.41919999999999</c:v>
                </c:pt>
                <c:pt idx="785">
                  <c:v>430.77679999999998</c:v>
                </c:pt>
                <c:pt idx="786">
                  <c:v>431.11579999999998</c:v>
                </c:pt>
                <c:pt idx="787">
                  <c:v>431.4676</c:v>
                </c:pt>
                <c:pt idx="788">
                  <c:v>431.81760000000003</c:v>
                </c:pt>
                <c:pt idx="789">
                  <c:v>432.18639999999999</c:v>
                </c:pt>
                <c:pt idx="790">
                  <c:v>432.59690000000001</c:v>
                </c:pt>
                <c:pt idx="791">
                  <c:v>433.04559999999998</c:v>
                </c:pt>
                <c:pt idx="792">
                  <c:v>433.50139999999999</c:v>
                </c:pt>
                <c:pt idx="793">
                  <c:v>433.92619999999999</c:v>
                </c:pt>
                <c:pt idx="794">
                  <c:v>434.35629999999998</c:v>
                </c:pt>
                <c:pt idx="795">
                  <c:v>434.73899999999998</c:v>
                </c:pt>
                <c:pt idx="796">
                  <c:v>435.13299999999998</c:v>
                </c:pt>
                <c:pt idx="797">
                  <c:v>435.50069999999999</c:v>
                </c:pt>
                <c:pt idx="798">
                  <c:v>435.8458</c:v>
                </c:pt>
                <c:pt idx="799">
                  <c:v>436.25819999999999</c:v>
                </c:pt>
                <c:pt idx="800">
                  <c:v>436.66180000000003</c:v>
                </c:pt>
                <c:pt idx="801">
                  <c:v>437.06580000000002</c:v>
                </c:pt>
                <c:pt idx="802">
                  <c:v>437.46510000000001</c:v>
                </c:pt>
                <c:pt idx="803">
                  <c:v>437.87049999999999</c:v>
                </c:pt>
                <c:pt idx="804">
                  <c:v>438.23840000000001</c:v>
                </c:pt>
                <c:pt idx="805">
                  <c:v>438.58139999999997</c:v>
                </c:pt>
                <c:pt idx="806">
                  <c:v>438.91680000000002</c:v>
                </c:pt>
                <c:pt idx="807">
                  <c:v>439.27420000000001</c:v>
                </c:pt>
                <c:pt idx="808">
                  <c:v>439.64819999999997</c:v>
                </c:pt>
                <c:pt idx="809">
                  <c:v>440.03440000000001</c:v>
                </c:pt>
                <c:pt idx="810">
                  <c:v>440.41539999999998</c:v>
                </c:pt>
                <c:pt idx="811">
                  <c:v>440.80759999999998</c:v>
                </c:pt>
                <c:pt idx="812">
                  <c:v>441.19600000000003</c:v>
                </c:pt>
                <c:pt idx="813">
                  <c:v>441.6121</c:v>
                </c:pt>
                <c:pt idx="814">
                  <c:v>441.99919999999997</c:v>
                </c:pt>
                <c:pt idx="815">
                  <c:v>442.35129999999998</c:v>
                </c:pt>
                <c:pt idx="816">
                  <c:v>442.7276</c:v>
                </c:pt>
                <c:pt idx="817">
                  <c:v>443.12830000000002</c:v>
                </c:pt>
                <c:pt idx="818">
                  <c:v>443.5204</c:v>
                </c:pt>
                <c:pt idx="819">
                  <c:v>443.93079999999998</c:v>
                </c:pt>
                <c:pt idx="820">
                  <c:v>444.36040000000003</c:v>
                </c:pt>
                <c:pt idx="821">
                  <c:v>444.78879999999998</c:v>
                </c:pt>
                <c:pt idx="822">
                  <c:v>445.26440000000002</c:v>
                </c:pt>
                <c:pt idx="823">
                  <c:v>445.7475</c:v>
                </c:pt>
                <c:pt idx="824">
                  <c:v>446.1558</c:v>
                </c:pt>
                <c:pt idx="825">
                  <c:v>446.56900000000002</c:v>
                </c:pt>
                <c:pt idx="826">
                  <c:v>447.0016</c:v>
                </c:pt>
                <c:pt idx="827">
                  <c:v>447.44490000000002</c:v>
                </c:pt>
                <c:pt idx="828">
                  <c:v>447.8886</c:v>
                </c:pt>
                <c:pt idx="829">
                  <c:v>448.34899999999999</c:v>
                </c:pt>
                <c:pt idx="830">
                  <c:v>448.82339999999999</c:v>
                </c:pt>
                <c:pt idx="831">
                  <c:v>449.2989</c:v>
                </c:pt>
                <c:pt idx="832">
                  <c:v>449.77420000000001</c:v>
                </c:pt>
                <c:pt idx="833">
                  <c:v>450.24459999999999</c:v>
                </c:pt>
                <c:pt idx="834">
                  <c:v>450.71519999999998</c:v>
                </c:pt>
                <c:pt idx="835">
                  <c:v>451.1977</c:v>
                </c:pt>
                <c:pt idx="836">
                  <c:v>451.69690000000003</c:v>
                </c:pt>
                <c:pt idx="837">
                  <c:v>452.2072</c:v>
                </c:pt>
                <c:pt idx="838">
                  <c:v>452.6669</c:v>
                </c:pt>
                <c:pt idx="839">
                  <c:v>453.11950000000002</c:v>
                </c:pt>
                <c:pt idx="840">
                  <c:v>453.60039999999998</c:v>
                </c:pt>
                <c:pt idx="841">
                  <c:v>454.06509999999997</c:v>
                </c:pt>
                <c:pt idx="842">
                  <c:v>454.55099999999999</c:v>
                </c:pt>
                <c:pt idx="843">
                  <c:v>455.0795</c:v>
                </c:pt>
                <c:pt idx="844">
                  <c:v>455.58609999999999</c:v>
                </c:pt>
                <c:pt idx="845">
                  <c:v>456.06079999999997</c:v>
                </c:pt>
                <c:pt idx="846">
                  <c:v>456.50900000000001</c:v>
                </c:pt>
                <c:pt idx="847">
                  <c:v>456.98399999999998</c:v>
                </c:pt>
                <c:pt idx="848">
                  <c:v>457.45350000000002</c:v>
                </c:pt>
                <c:pt idx="849">
                  <c:v>457.91629999999998</c:v>
                </c:pt>
                <c:pt idx="850">
                  <c:v>458.39179999999999</c:v>
                </c:pt>
                <c:pt idx="851">
                  <c:v>458.85770000000002</c:v>
                </c:pt>
                <c:pt idx="852">
                  <c:v>459.32380000000001</c:v>
                </c:pt>
                <c:pt idx="853">
                  <c:v>459.7722</c:v>
                </c:pt>
                <c:pt idx="854">
                  <c:v>460.23860000000002</c:v>
                </c:pt>
                <c:pt idx="855">
                  <c:v>460.68490000000003</c:v>
                </c:pt>
                <c:pt idx="856">
                  <c:v>461.11239999999998</c:v>
                </c:pt>
                <c:pt idx="857">
                  <c:v>461.52069999999998</c:v>
                </c:pt>
                <c:pt idx="858">
                  <c:v>461.90480000000002</c:v>
                </c:pt>
                <c:pt idx="859">
                  <c:v>462.27280000000002</c:v>
                </c:pt>
                <c:pt idx="860">
                  <c:v>462.67899999999997</c:v>
                </c:pt>
                <c:pt idx="861">
                  <c:v>463.09800000000001</c:v>
                </c:pt>
                <c:pt idx="862">
                  <c:v>463.512</c:v>
                </c:pt>
                <c:pt idx="863">
                  <c:v>463.91660000000002</c:v>
                </c:pt>
                <c:pt idx="864">
                  <c:v>464.3494</c:v>
                </c:pt>
                <c:pt idx="865">
                  <c:v>464.72280000000001</c:v>
                </c:pt>
                <c:pt idx="866">
                  <c:v>465.06299999999999</c:v>
                </c:pt>
                <c:pt idx="867">
                  <c:v>465.39019999999999</c:v>
                </c:pt>
                <c:pt idx="868">
                  <c:v>465.67649999999998</c:v>
                </c:pt>
                <c:pt idx="869">
                  <c:v>465.95519999999999</c:v>
                </c:pt>
                <c:pt idx="870">
                  <c:v>466.21530000000001</c:v>
                </c:pt>
                <c:pt idx="871">
                  <c:v>466.51560000000001</c:v>
                </c:pt>
                <c:pt idx="872">
                  <c:v>466.85109999999997</c:v>
                </c:pt>
                <c:pt idx="873">
                  <c:v>467.1798</c:v>
                </c:pt>
                <c:pt idx="874">
                  <c:v>467.48500000000001</c:v>
                </c:pt>
                <c:pt idx="875">
                  <c:v>467.7962</c:v>
                </c:pt>
                <c:pt idx="876">
                  <c:v>468.09870000000001</c:v>
                </c:pt>
                <c:pt idx="877">
                  <c:v>468.36219999999997</c:v>
                </c:pt>
                <c:pt idx="878">
                  <c:v>468.60980000000001</c:v>
                </c:pt>
                <c:pt idx="879">
                  <c:v>468.86399999999998</c:v>
                </c:pt>
                <c:pt idx="880">
                  <c:v>469.14440000000002</c:v>
                </c:pt>
                <c:pt idx="881">
                  <c:v>469.46640000000002</c:v>
                </c:pt>
                <c:pt idx="882">
                  <c:v>469.7912</c:v>
                </c:pt>
                <c:pt idx="883">
                  <c:v>470.10610000000003</c:v>
                </c:pt>
                <c:pt idx="884">
                  <c:v>470.4298</c:v>
                </c:pt>
                <c:pt idx="885">
                  <c:v>470.75639999999999</c:v>
                </c:pt>
                <c:pt idx="886">
                  <c:v>471.0985</c:v>
                </c:pt>
                <c:pt idx="887">
                  <c:v>471.43040000000002</c:v>
                </c:pt>
                <c:pt idx="888">
                  <c:v>471.79039999999998</c:v>
                </c:pt>
                <c:pt idx="889">
                  <c:v>472.15140000000002</c:v>
                </c:pt>
                <c:pt idx="890">
                  <c:v>472.548</c:v>
                </c:pt>
                <c:pt idx="891">
                  <c:v>472.95409999999998</c:v>
                </c:pt>
                <c:pt idx="892">
                  <c:v>473.3768</c:v>
                </c:pt>
                <c:pt idx="893">
                  <c:v>473.7724</c:v>
                </c:pt>
                <c:pt idx="894">
                  <c:v>474.1585</c:v>
                </c:pt>
                <c:pt idx="895">
                  <c:v>474.577</c:v>
                </c:pt>
                <c:pt idx="896">
                  <c:v>474.99639999999999</c:v>
                </c:pt>
                <c:pt idx="897">
                  <c:v>475.39870000000002</c:v>
                </c:pt>
                <c:pt idx="898">
                  <c:v>475.77120000000002</c:v>
                </c:pt>
                <c:pt idx="899">
                  <c:v>476.1936</c:v>
                </c:pt>
                <c:pt idx="900">
                  <c:v>476.63440000000003</c:v>
                </c:pt>
                <c:pt idx="901">
                  <c:v>477.0949</c:v>
                </c:pt>
                <c:pt idx="902">
                  <c:v>477.58580000000001</c:v>
                </c:pt>
                <c:pt idx="903">
                  <c:v>478.06240000000003</c:v>
                </c:pt>
                <c:pt idx="904">
                  <c:v>478.54160000000002</c:v>
                </c:pt>
                <c:pt idx="905">
                  <c:v>479.00479999999999</c:v>
                </c:pt>
                <c:pt idx="906">
                  <c:v>479.50510000000003</c:v>
                </c:pt>
                <c:pt idx="907">
                  <c:v>480.012</c:v>
                </c:pt>
                <c:pt idx="908">
                  <c:v>480.51049999999998</c:v>
                </c:pt>
                <c:pt idx="909">
                  <c:v>480.97859999999997</c:v>
                </c:pt>
                <c:pt idx="910">
                  <c:v>481.459</c:v>
                </c:pt>
                <c:pt idx="911">
                  <c:v>481.94979999999998</c:v>
                </c:pt>
                <c:pt idx="912">
                  <c:v>482.42880000000002</c:v>
                </c:pt>
                <c:pt idx="913">
                  <c:v>482.90519999999998</c:v>
                </c:pt>
                <c:pt idx="914">
                  <c:v>483.38780000000003</c:v>
                </c:pt>
                <c:pt idx="915">
                  <c:v>483.88760000000002</c:v>
                </c:pt>
                <c:pt idx="916">
                  <c:v>484.38760000000002</c:v>
                </c:pt>
                <c:pt idx="917">
                  <c:v>484.87720000000002</c:v>
                </c:pt>
                <c:pt idx="918">
                  <c:v>485.36840000000001</c:v>
                </c:pt>
                <c:pt idx="919">
                  <c:v>485.86250000000001</c:v>
                </c:pt>
                <c:pt idx="920">
                  <c:v>486.35579999999999</c:v>
                </c:pt>
                <c:pt idx="921">
                  <c:v>486.89620000000002</c:v>
                </c:pt>
                <c:pt idx="922">
                  <c:v>487.45119999999997</c:v>
                </c:pt>
                <c:pt idx="923">
                  <c:v>488.01409999999998</c:v>
                </c:pt>
                <c:pt idx="924">
                  <c:v>488.6</c:v>
                </c:pt>
                <c:pt idx="925">
                  <c:v>489.24959999999999</c:v>
                </c:pt>
                <c:pt idx="926">
                  <c:v>489.88</c:v>
                </c:pt>
                <c:pt idx="927">
                  <c:v>490.5188</c:v>
                </c:pt>
                <c:pt idx="928">
                  <c:v>491.197</c:v>
                </c:pt>
                <c:pt idx="929">
                  <c:v>491.89100000000002</c:v>
                </c:pt>
                <c:pt idx="930">
                  <c:v>492.53320000000002</c:v>
                </c:pt>
                <c:pt idx="931">
                  <c:v>493.15899999999999</c:v>
                </c:pt>
                <c:pt idx="932">
                  <c:v>493.76740000000001</c:v>
                </c:pt>
                <c:pt idx="933">
                  <c:v>494.43279999999999</c:v>
                </c:pt>
                <c:pt idx="934">
                  <c:v>495.07839999999999</c:v>
                </c:pt>
                <c:pt idx="935">
                  <c:v>495.66199999999998</c:v>
                </c:pt>
                <c:pt idx="936">
                  <c:v>496.20639999999997</c:v>
                </c:pt>
                <c:pt idx="937">
                  <c:v>496.76710000000003</c:v>
                </c:pt>
                <c:pt idx="938">
                  <c:v>497.31819999999999</c:v>
                </c:pt>
                <c:pt idx="939">
                  <c:v>497.84660000000002</c:v>
                </c:pt>
                <c:pt idx="940">
                  <c:v>498.43239999999997</c:v>
                </c:pt>
                <c:pt idx="941">
                  <c:v>498.98989999999998</c:v>
                </c:pt>
                <c:pt idx="942">
                  <c:v>499.4742</c:v>
                </c:pt>
                <c:pt idx="943">
                  <c:v>499.88099999999997</c:v>
                </c:pt>
                <c:pt idx="944">
                  <c:v>500.34070000000003</c:v>
                </c:pt>
                <c:pt idx="945">
                  <c:v>500.80180000000001</c:v>
                </c:pt>
                <c:pt idx="946">
                  <c:v>501.3492</c:v>
                </c:pt>
                <c:pt idx="947">
                  <c:v>501.91180000000003</c:v>
                </c:pt>
                <c:pt idx="948">
                  <c:v>502.46</c:v>
                </c:pt>
                <c:pt idx="949">
                  <c:v>503.08240000000001</c:v>
                </c:pt>
                <c:pt idx="950">
                  <c:v>503.73840000000001</c:v>
                </c:pt>
                <c:pt idx="951">
                  <c:v>504.4504</c:v>
                </c:pt>
                <c:pt idx="952">
                  <c:v>505.14400000000001</c:v>
                </c:pt>
                <c:pt idx="953">
                  <c:v>505.851</c:v>
                </c:pt>
                <c:pt idx="954">
                  <c:v>506.53120000000001</c:v>
                </c:pt>
                <c:pt idx="955">
                  <c:v>507.18060000000003</c:v>
                </c:pt>
                <c:pt idx="956">
                  <c:v>507.78820000000002</c:v>
                </c:pt>
                <c:pt idx="957">
                  <c:v>508.42039999999997</c:v>
                </c:pt>
                <c:pt idx="958">
                  <c:v>509.03969999999998</c:v>
                </c:pt>
                <c:pt idx="959">
                  <c:v>509.66120000000001</c:v>
                </c:pt>
                <c:pt idx="960">
                  <c:v>510.28359999999998</c:v>
                </c:pt>
                <c:pt idx="961">
                  <c:v>510.87220000000002</c:v>
                </c:pt>
                <c:pt idx="962">
                  <c:v>511.48970000000003</c:v>
                </c:pt>
                <c:pt idx="963">
                  <c:v>512.00639999999999</c:v>
                </c:pt>
                <c:pt idx="964">
                  <c:v>512.51279999999997</c:v>
                </c:pt>
                <c:pt idx="965">
                  <c:v>513.00969999999995</c:v>
                </c:pt>
                <c:pt idx="966">
                  <c:v>513.45759999999996</c:v>
                </c:pt>
                <c:pt idx="967">
                  <c:v>513.91830000000004</c:v>
                </c:pt>
                <c:pt idx="968">
                  <c:v>514.39589999999998</c:v>
                </c:pt>
                <c:pt idx="969">
                  <c:v>514.89290000000005</c:v>
                </c:pt>
                <c:pt idx="970">
                  <c:v>515.41179999999997</c:v>
                </c:pt>
                <c:pt idx="971">
                  <c:v>515.94949999999994</c:v>
                </c:pt>
                <c:pt idx="972">
                  <c:v>516.48900000000003</c:v>
                </c:pt>
                <c:pt idx="973">
                  <c:v>517.03139999999996</c:v>
                </c:pt>
                <c:pt idx="974">
                  <c:v>517.55640000000005</c:v>
                </c:pt>
                <c:pt idx="975">
                  <c:v>518.11580000000004</c:v>
                </c:pt>
                <c:pt idx="976">
                  <c:v>518.67359999999996</c:v>
                </c:pt>
                <c:pt idx="977">
                  <c:v>519.23889999999994</c:v>
                </c:pt>
                <c:pt idx="978">
                  <c:v>519.82159999999999</c:v>
                </c:pt>
                <c:pt idx="979">
                  <c:v>520.38059999999996</c:v>
                </c:pt>
                <c:pt idx="980">
                  <c:v>520.94119999999998</c:v>
                </c:pt>
                <c:pt idx="981">
                  <c:v>521.48860000000002</c:v>
                </c:pt>
                <c:pt idx="982">
                  <c:v>522.03679999999997</c:v>
                </c:pt>
                <c:pt idx="983">
                  <c:v>522.52739999999994</c:v>
                </c:pt>
                <c:pt idx="984">
                  <c:v>523.01170000000002</c:v>
                </c:pt>
                <c:pt idx="985">
                  <c:v>523.50419999999997</c:v>
                </c:pt>
                <c:pt idx="986">
                  <c:v>524.00919999999996</c:v>
                </c:pt>
                <c:pt idx="987">
                  <c:v>524.47400000000005</c:v>
                </c:pt>
                <c:pt idx="988">
                  <c:v>524.99860000000001</c:v>
                </c:pt>
                <c:pt idx="989">
                  <c:v>525.52080000000001</c:v>
                </c:pt>
                <c:pt idx="990">
                  <c:v>526.03319999999997</c:v>
                </c:pt>
                <c:pt idx="991">
                  <c:v>526.55280000000005</c:v>
                </c:pt>
                <c:pt idx="992">
                  <c:v>527.09180000000003</c:v>
                </c:pt>
                <c:pt idx="993">
                  <c:v>527.60730000000001</c:v>
                </c:pt>
                <c:pt idx="994">
                  <c:v>528.1422</c:v>
                </c:pt>
                <c:pt idx="995">
                  <c:v>528.69079999999997</c:v>
                </c:pt>
                <c:pt idx="996">
                  <c:v>529.26980000000003</c:v>
                </c:pt>
                <c:pt idx="997">
                  <c:v>529.85149999999999</c:v>
                </c:pt>
                <c:pt idx="998">
                  <c:v>530.42849999999999</c:v>
                </c:pt>
                <c:pt idx="999">
                  <c:v>530.94539999999995</c:v>
                </c:pt>
                <c:pt idx="1000">
                  <c:v>531.47220000000004</c:v>
                </c:pt>
                <c:pt idx="1001">
                  <c:v>531.9846</c:v>
                </c:pt>
                <c:pt idx="1002">
                  <c:v>532.50699999999995</c:v>
                </c:pt>
                <c:pt idx="1003">
                  <c:v>533.03250000000003</c:v>
                </c:pt>
                <c:pt idx="1004">
                  <c:v>533.55790000000002</c:v>
                </c:pt>
                <c:pt idx="1005">
                  <c:v>534.03959999999995</c:v>
                </c:pt>
                <c:pt idx="1006">
                  <c:v>534.51239999999996</c:v>
                </c:pt>
                <c:pt idx="1007">
                  <c:v>534.94929999999999</c:v>
                </c:pt>
                <c:pt idx="1008">
                  <c:v>535.41560000000004</c:v>
                </c:pt>
                <c:pt idx="1009">
                  <c:v>535.94640000000004</c:v>
                </c:pt>
                <c:pt idx="1010">
                  <c:v>536.49760000000003</c:v>
                </c:pt>
                <c:pt idx="1011">
                  <c:v>537.04840000000002</c:v>
                </c:pt>
                <c:pt idx="1012">
                  <c:v>537.60509999999999</c:v>
                </c:pt>
                <c:pt idx="1013">
                  <c:v>538.13319999999999</c:v>
                </c:pt>
                <c:pt idx="1014">
                  <c:v>538.66480000000001</c:v>
                </c:pt>
                <c:pt idx="1015">
                  <c:v>539.21709999999996</c:v>
                </c:pt>
                <c:pt idx="1016">
                  <c:v>539.69979999999998</c:v>
                </c:pt>
                <c:pt idx="1017">
                  <c:v>540.16880000000003</c:v>
                </c:pt>
                <c:pt idx="1018">
                  <c:v>540.6576</c:v>
                </c:pt>
                <c:pt idx="1019">
                  <c:v>541.14020000000005</c:v>
                </c:pt>
                <c:pt idx="1020">
                  <c:v>541.61800000000005</c:v>
                </c:pt>
                <c:pt idx="1021">
                  <c:v>542.10400000000004</c:v>
                </c:pt>
                <c:pt idx="1022">
                  <c:v>542.5856</c:v>
                </c:pt>
                <c:pt idx="1023">
                  <c:v>543.08399999999995</c:v>
                </c:pt>
                <c:pt idx="1024">
                  <c:v>543.6078</c:v>
                </c:pt>
                <c:pt idx="1025">
                  <c:v>544.12760000000003</c:v>
                </c:pt>
                <c:pt idx="1026">
                  <c:v>544.63580000000002</c:v>
                </c:pt>
                <c:pt idx="1027">
                  <c:v>545.15779999999995</c:v>
                </c:pt>
                <c:pt idx="1028">
                  <c:v>545.71220000000005</c:v>
                </c:pt>
                <c:pt idx="1029">
                  <c:v>546.2595</c:v>
                </c:pt>
                <c:pt idx="1030">
                  <c:v>546.76099999999997</c:v>
                </c:pt>
                <c:pt idx="1031">
                  <c:v>547.24519999999995</c:v>
                </c:pt>
                <c:pt idx="1032">
                  <c:v>547.72919999999999</c:v>
                </c:pt>
                <c:pt idx="1033">
                  <c:v>548.2319</c:v>
                </c:pt>
                <c:pt idx="1034">
                  <c:v>548.72220000000004</c:v>
                </c:pt>
                <c:pt idx="1035">
                  <c:v>549.2029</c:v>
                </c:pt>
                <c:pt idx="1036">
                  <c:v>549.67259999999999</c:v>
                </c:pt>
                <c:pt idx="1037">
                  <c:v>550.13260000000002</c:v>
                </c:pt>
                <c:pt idx="1038">
                  <c:v>550.52800000000002</c:v>
                </c:pt>
                <c:pt idx="1039">
                  <c:v>550.90980000000002</c:v>
                </c:pt>
                <c:pt idx="1040">
                  <c:v>551.29150000000004</c:v>
                </c:pt>
                <c:pt idx="1041">
                  <c:v>551.70640000000003</c:v>
                </c:pt>
                <c:pt idx="1042">
                  <c:v>552.15639999999996</c:v>
                </c:pt>
                <c:pt idx="1043">
                  <c:v>552.57920000000001</c:v>
                </c:pt>
                <c:pt idx="1044">
                  <c:v>552.97439999999995</c:v>
                </c:pt>
                <c:pt idx="1045">
                  <c:v>553.34079999999994</c:v>
                </c:pt>
                <c:pt idx="1046">
                  <c:v>553.72199999999998</c:v>
                </c:pt>
                <c:pt idx="1047">
                  <c:v>554.08100000000002</c:v>
                </c:pt>
                <c:pt idx="1048">
                  <c:v>554.46220000000005</c:v>
                </c:pt>
                <c:pt idx="1049">
                  <c:v>554.83659999999998</c:v>
                </c:pt>
                <c:pt idx="1050">
                  <c:v>555.16869999999994</c:v>
                </c:pt>
                <c:pt idx="1051">
                  <c:v>555.51009999999997</c:v>
                </c:pt>
                <c:pt idx="1052">
                  <c:v>555.81370000000004</c:v>
                </c:pt>
                <c:pt idx="1053">
                  <c:v>556.12660000000005</c:v>
                </c:pt>
                <c:pt idx="1054">
                  <c:v>556.42169999999999</c:v>
                </c:pt>
                <c:pt idx="1055">
                  <c:v>556.77020000000005</c:v>
                </c:pt>
                <c:pt idx="1056">
                  <c:v>557.11760000000004</c:v>
                </c:pt>
                <c:pt idx="1057">
                  <c:v>557.51139999999998</c:v>
                </c:pt>
                <c:pt idx="1058">
                  <c:v>557.92960000000005</c:v>
                </c:pt>
                <c:pt idx="1059">
                  <c:v>558.39639999999997</c:v>
                </c:pt>
                <c:pt idx="1060">
                  <c:v>558.85299999999995</c:v>
                </c:pt>
                <c:pt idx="1061">
                  <c:v>559.29920000000004</c:v>
                </c:pt>
                <c:pt idx="1062">
                  <c:v>559.69949999999994</c:v>
                </c:pt>
                <c:pt idx="1063">
                  <c:v>560.15150000000006</c:v>
                </c:pt>
                <c:pt idx="1064">
                  <c:v>560.57060000000001</c:v>
                </c:pt>
                <c:pt idx="1065">
                  <c:v>561.04150000000004</c:v>
                </c:pt>
                <c:pt idx="1066">
                  <c:v>561.52840000000003</c:v>
                </c:pt>
                <c:pt idx="1067">
                  <c:v>561.99959999999999</c:v>
                </c:pt>
                <c:pt idx="1068">
                  <c:v>562.50570000000005</c:v>
                </c:pt>
                <c:pt idx="1069">
                  <c:v>563.02919999999995</c:v>
                </c:pt>
                <c:pt idx="1070">
                  <c:v>563.58500000000004</c:v>
                </c:pt>
                <c:pt idx="1071">
                  <c:v>564.09019999999998</c:v>
                </c:pt>
                <c:pt idx="1072">
                  <c:v>564.58619999999996</c:v>
                </c:pt>
                <c:pt idx="1073">
                  <c:v>565.08579999999995</c:v>
                </c:pt>
                <c:pt idx="1074">
                  <c:v>565.58510000000001</c:v>
                </c:pt>
                <c:pt idx="1075">
                  <c:v>566.0924</c:v>
                </c:pt>
                <c:pt idx="1076">
                  <c:v>566.59059999999999</c:v>
                </c:pt>
                <c:pt idx="1077">
                  <c:v>567.13819999999998</c:v>
                </c:pt>
                <c:pt idx="1078">
                  <c:v>567.7011</c:v>
                </c:pt>
                <c:pt idx="1079">
                  <c:v>568.2278</c:v>
                </c:pt>
                <c:pt idx="1080">
                  <c:v>568.67110000000002</c:v>
                </c:pt>
                <c:pt idx="1081">
                  <c:v>569.07429999999999</c:v>
                </c:pt>
                <c:pt idx="1082">
                  <c:v>569.45979999999997</c:v>
                </c:pt>
                <c:pt idx="1083">
                  <c:v>569.84659999999997</c:v>
                </c:pt>
                <c:pt idx="1084">
                  <c:v>570.17100000000005</c:v>
                </c:pt>
                <c:pt idx="1085">
                  <c:v>570.5376</c:v>
                </c:pt>
                <c:pt idx="1086">
                  <c:v>570.85199999999998</c:v>
                </c:pt>
                <c:pt idx="1087">
                  <c:v>571.11980000000005</c:v>
                </c:pt>
                <c:pt idx="1088">
                  <c:v>571.38620000000003</c:v>
                </c:pt>
                <c:pt idx="1089">
                  <c:v>571.60619999999994</c:v>
                </c:pt>
                <c:pt idx="1090">
                  <c:v>571.83860000000004</c:v>
                </c:pt>
                <c:pt idx="1091">
                  <c:v>571.99120000000005</c:v>
                </c:pt>
                <c:pt idx="1092">
                  <c:v>572.11400000000003</c:v>
                </c:pt>
                <c:pt idx="1093">
                  <c:v>572.25919999999996</c:v>
                </c:pt>
                <c:pt idx="1094">
                  <c:v>572.38649999999996</c:v>
                </c:pt>
                <c:pt idx="1095">
                  <c:v>572.55340000000001</c:v>
                </c:pt>
                <c:pt idx="1096">
                  <c:v>572.74</c:v>
                </c:pt>
                <c:pt idx="1097">
                  <c:v>572.91459999999995</c:v>
                </c:pt>
                <c:pt idx="1098">
                  <c:v>573.13720000000001</c:v>
                </c:pt>
                <c:pt idx="1099">
                  <c:v>573.32780000000002</c:v>
                </c:pt>
                <c:pt idx="1100">
                  <c:v>573.50879999999995</c:v>
                </c:pt>
                <c:pt idx="1101">
                  <c:v>573.73720000000003</c:v>
                </c:pt>
                <c:pt idx="1102">
                  <c:v>573.94119999999998</c:v>
                </c:pt>
                <c:pt idx="1103">
                  <c:v>574.11080000000004</c:v>
                </c:pt>
                <c:pt idx="1104">
                  <c:v>574.27620000000002</c:v>
                </c:pt>
                <c:pt idx="1105">
                  <c:v>574.37620000000004</c:v>
                </c:pt>
                <c:pt idx="1106">
                  <c:v>574.48839999999996</c:v>
                </c:pt>
                <c:pt idx="1107">
                  <c:v>574.58640000000003</c:v>
                </c:pt>
                <c:pt idx="1108">
                  <c:v>574.69680000000005</c:v>
                </c:pt>
                <c:pt idx="1109">
                  <c:v>574.66639999999995</c:v>
                </c:pt>
                <c:pt idx="1110">
                  <c:v>574.45719999999994</c:v>
                </c:pt>
                <c:pt idx="1111">
                  <c:v>574.23670000000004</c:v>
                </c:pt>
                <c:pt idx="1112">
                  <c:v>573.98410000000001</c:v>
                </c:pt>
                <c:pt idx="1113">
                  <c:v>574.00459999999998</c:v>
                </c:pt>
                <c:pt idx="1114">
                  <c:v>573.91380000000004</c:v>
                </c:pt>
                <c:pt idx="1115">
                  <c:v>573.85940000000005</c:v>
                </c:pt>
                <c:pt idx="1116">
                  <c:v>573.82740000000001</c:v>
                </c:pt>
                <c:pt idx="1117">
                  <c:v>573.78359999999998</c:v>
                </c:pt>
                <c:pt idx="1118">
                  <c:v>573.69079999999997</c:v>
                </c:pt>
                <c:pt idx="1119">
                  <c:v>573.59619999999995</c:v>
                </c:pt>
                <c:pt idx="1120">
                  <c:v>573.42060000000004</c:v>
                </c:pt>
                <c:pt idx="1121">
                  <c:v>573.29949999999997</c:v>
                </c:pt>
                <c:pt idx="1122">
                  <c:v>573.20339999999999</c:v>
                </c:pt>
                <c:pt idx="1123">
                  <c:v>573.16039999999998</c:v>
                </c:pt>
                <c:pt idx="1124">
                  <c:v>573.13459999999998</c:v>
                </c:pt>
                <c:pt idx="1125">
                  <c:v>573.08219999999994</c:v>
                </c:pt>
                <c:pt idx="1126">
                  <c:v>573.07140000000004</c:v>
                </c:pt>
                <c:pt idx="1127">
                  <c:v>573.04420000000005</c:v>
                </c:pt>
                <c:pt idx="1128">
                  <c:v>573.02880000000005</c:v>
                </c:pt>
                <c:pt idx="1129">
                  <c:v>573.03840000000002</c:v>
                </c:pt>
                <c:pt idx="1130">
                  <c:v>573.07119999999998</c:v>
                </c:pt>
                <c:pt idx="1131">
                  <c:v>573.1019</c:v>
                </c:pt>
                <c:pt idx="1132">
                  <c:v>573.16269999999997</c:v>
                </c:pt>
                <c:pt idx="1133">
                  <c:v>573.21479999999997</c:v>
                </c:pt>
                <c:pt idx="1134">
                  <c:v>573.26760000000002</c:v>
                </c:pt>
                <c:pt idx="1135">
                  <c:v>573.47640000000001</c:v>
                </c:pt>
                <c:pt idx="1136">
                  <c:v>573.71849999999995</c:v>
                </c:pt>
                <c:pt idx="1137">
                  <c:v>573.93420000000003</c:v>
                </c:pt>
                <c:pt idx="1138">
                  <c:v>574.16279999999995</c:v>
                </c:pt>
                <c:pt idx="1139">
                  <c:v>574.42380000000003</c:v>
                </c:pt>
                <c:pt idx="1140">
                  <c:v>574.64400000000001</c:v>
                </c:pt>
                <c:pt idx="1141">
                  <c:v>574.89319999999998</c:v>
                </c:pt>
                <c:pt idx="1142">
                  <c:v>575.14300000000003</c:v>
                </c:pt>
                <c:pt idx="1143">
                  <c:v>575.47149999999999</c:v>
                </c:pt>
                <c:pt idx="1144">
                  <c:v>575.75630000000001</c:v>
                </c:pt>
                <c:pt idx="1145">
                  <c:v>576.11879999999996</c:v>
                </c:pt>
                <c:pt idx="1146">
                  <c:v>576.40419999999995</c:v>
                </c:pt>
                <c:pt idx="1147">
                  <c:v>576.68939999999998</c:v>
                </c:pt>
                <c:pt idx="1148">
                  <c:v>576.97</c:v>
                </c:pt>
                <c:pt idx="1149">
                  <c:v>577.22339999999997</c:v>
                </c:pt>
                <c:pt idx="1150">
                  <c:v>577.48509999999999</c:v>
                </c:pt>
                <c:pt idx="1151">
                  <c:v>577.69939999999997</c:v>
                </c:pt>
                <c:pt idx="1152">
                  <c:v>577.8931</c:v>
                </c:pt>
                <c:pt idx="1153">
                  <c:v>578.09079999999994</c:v>
                </c:pt>
                <c:pt idx="1154">
                  <c:v>578.29560000000004</c:v>
                </c:pt>
                <c:pt idx="1155">
                  <c:v>578.50800000000004</c:v>
                </c:pt>
                <c:pt idx="1156">
                  <c:v>578.73360000000002</c:v>
                </c:pt>
                <c:pt idx="1157">
                  <c:v>578.94179999999994</c:v>
                </c:pt>
                <c:pt idx="1158">
                  <c:v>579.12279999999998</c:v>
                </c:pt>
                <c:pt idx="1159">
                  <c:v>579.32839999999999</c:v>
                </c:pt>
                <c:pt idx="1160">
                  <c:v>579.52459999999996</c:v>
                </c:pt>
                <c:pt idx="1161">
                  <c:v>579.72</c:v>
                </c:pt>
                <c:pt idx="1162">
                  <c:v>579.87300000000005</c:v>
                </c:pt>
                <c:pt idx="1163">
                  <c:v>580.11339999999996</c:v>
                </c:pt>
                <c:pt idx="1164">
                  <c:v>580.39250000000004</c:v>
                </c:pt>
                <c:pt idx="1165">
                  <c:v>580.67999999999995</c:v>
                </c:pt>
                <c:pt idx="1166">
                  <c:v>581.0376</c:v>
                </c:pt>
                <c:pt idx="1167">
                  <c:v>581.38009999999997</c:v>
                </c:pt>
                <c:pt idx="1168">
                  <c:v>581.72540000000004</c:v>
                </c:pt>
                <c:pt idx="1169">
                  <c:v>582.04160000000002</c:v>
                </c:pt>
                <c:pt idx="1170">
                  <c:v>582.34839999999997</c:v>
                </c:pt>
                <c:pt idx="1171">
                  <c:v>582.66499999999996</c:v>
                </c:pt>
                <c:pt idx="1172">
                  <c:v>582.95420000000001</c:v>
                </c:pt>
                <c:pt idx="1173">
                  <c:v>583.24059999999997</c:v>
                </c:pt>
                <c:pt idx="1174">
                  <c:v>583.55380000000002</c:v>
                </c:pt>
                <c:pt idx="1175">
                  <c:v>583.82799999999997</c:v>
                </c:pt>
                <c:pt idx="1176">
                  <c:v>584.10490000000004</c:v>
                </c:pt>
                <c:pt idx="1177">
                  <c:v>584.38059999999996</c:v>
                </c:pt>
                <c:pt idx="1178">
                  <c:v>584.63480000000004</c:v>
                </c:pt>
                <c:pt idx="1179">
                  <c:v>584.90570000000002</c:v>
                </c:pt>
                <c:pt idx="1180">
                  <c:v>585.18439999999998</c:v>
                </c:pt>
                <c:pt idx="1181">
                  <c:v>585.46500000000003</c:v>
                </c:pt>
                <c:pt idx="1182">
                  <c:v>585.74</c:v>
                </c:pt>
                <c:pt idx="1183">
                  <c:v>586.0412</c:v>
                </c:pt>
                <c:pt idx="1184">
                  <c:v>586.36800000000005</c:v>
                </c:pt>
                <c:pt idx="1185">
                  <c:v>586.70100000000002</c:v>
                </c:pt>
                <c:pt idx="1186">
                  <c:v>587.02160000000003</c:v>
                </c:pt>
                <c:pt idx="1187">
                  <c:v>587.36720000000003</c:v>
                </c:pt>
                <c:pt idx="1188">
                  <c:v>587.67769999999996</c:v>
                </c:pt>
                <c:pt idx="1189">
                  <c:v>587.96429999999998</c:v>
                </c:pt>
                <c:pt idx="1190">
                  <c:v>588.24400000000003</c:v>
                </c:pt>
                <c:pt idx="1191">
                  <c:v>588.45479999999998</c:v>
                </c:pt>
                <c:pt idx="1192">
                  <c:v>588.68899999999996</c:v>
                </c:pt>
                <c:pt idx="1193">
                  <c:v>588.92999999999995</c:v>
                </c:pt>
                <c:pt idx="1194">
                  <c:v>589.18240000000003</c:v>
                </c:pt>
                <c:pt idx="1195">
                  <c:v>589.43179999999995</c:v>
                </c:pt>
                <c:pt idx="1196">
                  <c:v>589.69479999999999</c:v>
                </c:pt>
                <c:pt idx="1197">
                  <c:v>589.95619999999997</c:v>
                </c:pt>
                <c:pt idx="1198">
                  <c:v>590.25310000000002</c:v>
                </c:pt>
                <c:pt idx="1199">
                  <c:v>590.58759999999995</c:v>
                </c:pt>
                <c:pt idx="1200">
                  <c:v>590.9162</c:v>
                </c:pt>
                <c:pt idx="1201">
                  <c:v>591.23820000000001</c:v>
                </c:pt>
                <c:pt idx="1202">
                  <c:v>591.55050000000006</c:v>
                </c:pt>
                <c:pt idx="1203">
                  <c:v>591.84069999999997</c:v>
                </c:pt>
                <c:pt idx="1204">
                  <c:v>592.13120000000004</c:v>
                </c:pt>
                <c:pt idx="1205">
                  <c:v>592.46579999999994</c:v>
                </c:pt>
                <c:pt idx="1206">
                  <c:v>592.83709999999996</c:v>
                </c:pt>
                <c:pt idx="1207">
                  <c:v>593.20039999999995</c:v>
                </c:pt>
                <c:pt idx="1208">
                  <c:v>593.54269999999997</c:v>
                </c:pt>
                <c:pt idx="1209">
                  <c:v>593.82060000000001</c:v>
                </c:pt>
                <c:pt idx="1210">
                  <c:v>594.08720000000005</c:v>
                </c:pt>
                <c:pt idx="1211">
                  <c:v>594.32150000000001</c:v>
                </c:pt>
                <c:pt idx="1212">
                  <c:v>594.529</c:v>
                </c:pt>
                <c:pt idx="1213">
                  <c:v>594.76319999999998</c:v>
                </c:pt>
                <c:pt idx="1214">
                  <c:v>595.02290000000005</c:v>
                </c:pt>
                <c:pt idx="1215">
                  <c:v>595.29240000000004</c:v>
                </c:pt>
                <c:pt idx="1216">
                  <c:v>595.6078</c:v>
                </c:pt>
                <c:pt idx="1217">
                  <c:v>595.91859999999997</c:v>
                </c:pt>
                <c:pt idx="1218">
                  <c:v>596.22820000000002</c:v>
                </c:pt>
                <c:pt idx="1219">
                  <c:v>596.56380000000001</c:v>
                </c:pt>
                <c:pt idx="1220">
                  <c:v>596.88260000000002</c:v>
                </c:pt>
                <c:pt idx="1221">
                  <c:v>597.20960000000002</c:v>
                </c:pt>
                <c:pt idx="1222">
                  <c:v>597.52189999999996</c:v>
                </c:pt>
                <c:pt idx="1223">
                  <c:v>597.81460000000004</c:v>
                </c:pt>
                <c:pt idx="1224">
                  <c:v>598.13170000000002</c:v>
                </c:pt>
                <c:pt idx="1225">
                  <c:v>598.43740000000003</c:v>
                </c:pt>
                <c:pt idx="1226">
                  <c:v>598.75350000000003</c:v>
                </c:pt>
                <c:pt idx="1227">
                  <c:v>599.04999999999995</c:v>
                </c:pt>
                <c:pt idx="1228">
                  <c:v>599.31719999999996</c:v>
                </c:pt>
                <c:pt idx="1229">
                  <c:v>599.57420000000002</c:v>
                </c:pt>
                <c:pt idx="1230">
                  <c:v>599.8442</c:v>
                </c:pt>
                <c:pt idx="1231">
                  <c:v>600.13919999999996</c:v>
                </c:pt>
                <c:pt idx="1232">
                  <c:v>600.45609999999999</c:v>
                </c:pt>
                <c:pt idx="1233">
                  <c:v>600.76099999999997</c:v>
                </c:pt>
                <c:pt idx="1234">
                  <c:v>601.08550000000002</c:v>
                </c:pt>
                <c:pt idx="1235">
                  <c:v>601.41049999999996</c:v>
                </c:pt>
                <c:pt idx="1236">
                  <c:v>601.7346</c:v>
                </c:pt>
                <c:pt idx="1237">
                  <c:v>602.05880000000002</c:v>
                </c:pt>
                <c:pt idx="1238">
                  <c:v>602.49289999999996</c:v>
                </c:pt>
                <c:pt idx="1239">
                  <c:v>602.91819999999996</c:v>
                </c:pt>
                <c:pt idx="1240">
                  <c:v>603.22760000000005</c:v>
                </c:pt>
                <c:pt idx="1241">
                  <c:v>603.5693</c:v>
                </c:pt>
                <c:pt idx="1242">
                  <c:v>603.87400000000002</c:v>
                </c:pt>
                <c:pt idx="1243">
                  <c:v>604.19309999999996</c:v>
                </c:pt>
                <c:pt idx="1244">
                  <c:v>604.52120000000002</c:v>
                </c:pt>
                <c:pt idx="1245">
                  <c:v>604.90210000000002</c:v>
                </c:pt>
                <c:pt idx="1246">
                  <c:v>605.32820000000004</c:v>
                </c:pt>
                <c:pt idx="1247">
                  <c:v>605.76139999999998</c:v>
                </c:pt>
                <c:pt idx="1248">
                  <c:v>606.14070000000004</c:v>
                </c:pt>
                <c:pt idx="1249">
                  <c:v>606.52269999999999</c:v>
                </c:pt>
                <c:pt idx="1250">
                  <c:v>606.96579999999994</c:v>
                </c:pt>
                <c:pt idx="1251">
                  <c:v>607.44460000000004</c:v>
                </c:pt>
                <c:pt idx="1252">
                  <c:v>607.97739999999999</c:v>
                </c:pt>
                <c:pt idx="1253">
                  <c:v>608.50739999999996</c:v>
                </c:pt>
                <c:pt idx="1254">
                  <c:v>608.99559999999997</c:v>
                </c:pt>
                <c:pt idx="1255">
                  <c:v>609.44200000000001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2E-4261-8625-5EF5589F6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974592"/>
        <c:axId val="257965472"/>
      </c:lineChart>
      <c:lineChart>
        <c:grouping val="standard"/>
        <c:varyColors val="0"/>
        <c:ser>
          <c:idx val="3"/>
          <c:order val="3"/>
          <c:tx>
            <c:strRef>
              <c:f>'Close_Moving_Averages'!$K$3</c:f>
              <c:strCache>
                <c:ptCount val="1"/>
                <c:pt idx="0">
                  <c:v>Golden_Cross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'Close_Moving_Averages'!$G$4:$G$1260</c:f>
              <c:strCache>
                <c:ptCount val="1256"/>
                <c:pt idx="0">
                  <c:v>02-11-2020</c:v>
                </c:pt>
                <c:pt idx="1">
                  <c:v>03-11-2020</c:v>
                </c:pt>
                <c:pt idx="2">
                  <c:v>04-11-2020</c:v>
                </c:pt>
                <c:pt idx="3">
                  <c:v>05-11-2020</c:v>
                </c:pt>
                <c:pt idx="4">
                  <c:v>06-11-2020</c:v>
                </c:pt>
                <c:pt idx="5">
                  <c:v>09-11-2020</c:v>
                </c:pt>
                <c:pt idx="6">
                  <c:v>10-11-2020</c:v>
                </c:pt>
                <c:pt idx="7">
                  <c:v>11-11-2020</c:v>
                </c:pt>
                <c:pt idx="8">
                  <c:v>12-11-2020</c:v>
                </c:pt>
                <c:pt idx="9">
                  <c:v>13-11-2020</c:v>
                </c:pt>
                <c:pt idx="10">
                  <c:v>16-11-2020</c:v>
                </c:pt>
                <c:pt idx="11">
                  <c:v>17-11-2020</c:v>
                </c:pt>
                <c:pt idx="12">
                  <c:v>18-11-2020</c:v>
                </c:pt>
                <c:pt idx="13">
                  <c:v>19-11-2020</c:v>
                </c:pt>
                <c:pt idx="14">
                  <c:v>20-11-2020</c:v>
                </c:pt>
                <c:pt idx="15">
                  <c:v>23-11-2020</c:v>
                </c:pt>
                <c:pt idx="16">
                  <c:v>24-11-2020</c:v>
                </c:pt>
                <c:pt idx="17">
                  <c:v>25-11-2020</c:v>
                </c:pt>
                <c:pt idx="18">
                  <c:v>27-11-2020</c:v>
                </c:pt>
                <c:pt idx="19">
                  <c:v>30-11-2020</c:v>
                </c:pt>
                <c:pt idx="20">
                  <c:v>01-12-2020</c:v>
                </c:pt>
                <c:pt idx="21">
                  <c:v>02-12-2020</c:v>
                </c:pt>
                <c:pt idx="22">
                  <c:v>03-12-2020</c:v>
                </c:pt>
                <c:pt idx="23">
                  <c:v>04-12-2020</c:v>
                </c:pt>
                <c:pt idx="24">
                  <c:v>07-12-2020</c:v>
                </c:pt>
                <c:pt idx="25">
                  <c:v>08-12-2020</c:v>
                </c:pt>
                <c:pt idx="26">
                  <c:v>09-12-2020</c:v>
                </c:pt>
                <c:pt idx="27">
                  <c:v>10-12-2020</c:v>
                </c:pt>
                <c:pt idx="28">
                  <c:v>11-12-2020</c:v>
                </c:pt>
                <c:pt idx="29">
                  <c:v>14-12-2020</c:v>
                </c:pt>
                <c:pt idx="30">
                  <c:v>15-12-2020</c:v>
                </c:pt>
                <c:pt idx="31">
                  <c:v>16-12-2020</c:v>
                </c:pt>
                <c:pt idx="32">
                  <c:v>17-12-2020</c:v>
                </c:pt>
                <c:pt idx="33">
                  <c:v>18-12-2020</c:v>
                </c:pt>
                <c:pt idx="34">
                  <c:v>21-12-2020</c:v>
                </c:pt>
                <c:pt idx="35">
                  <c:v>22-12-2020</c:v>
                </c:pt>
                <c:pt idx="36">
                  <c:v>23-12-2020</c:v>
                </c:pt>
                <c:pt idx="37">
                  <c:v>24-12-2020</c:v>
                </c:pt>
                <c:pt idx="38">
                  <c:v>28-12-2020</c:v>
                </c:pt>
                <c:pt idx="39">
                  <c:v>29-12-2020</c:v>
                </c:pt>
                <c:pt idx="40">
                  <c:v>30-12-2020</c:v>
                </c:pt>
                <c:pt idx="41">
                  <c:v>31-12-2020</c:v>
                </c:pt>
                <c:pt idx="42">
                  <c:v>04-01-2021</c:v>
                </c:pt>
                <c:pt idx="43">
                  <c:v>05-01-2021</c:v>
                </c:pt>
                <c:pt idx="44">
                  <c:v>06-01-2021</c:v>
                </c:pt>
                <c:pt idx="45">
                  <c:v>07-01-2021</c:v>
                </c:pt>
                <c:pt idx="46">
                  <c:v>08-01-2021</c:v>
                </c:pt>
                <c:pt idx="47">
                  <c:v>11-01-2021</c:v>
                </c:pt>
                <c:pt idx="48">
                  <c:v>12-01-2021</c:v>
                </c:pt>
                <c:pt idx="49">
                  <c:v>13-01-2021</c:v>
                </c:pt>
                <c:pt idx="50">
                  <c:v>14-01-2021</c:v>
                </c:pt>
                <c:pt idx="51">
                  <c:v>15-01-2021</c:v>
                </c:pt>
                <c:pt idx="52">
                  <c:v>19-01-2021</c:v>
                </c:pt>
                <c:pt idx="53">
                  <c:v>20-01-2021</c:v>
                </c:pt>
                <c:pt idx="54">
                  <c:v>21-01-2021</c:v>
                </c:pt>
                <c:pt idx="55">
                  <c:v>22-01-2021</c:v>
                </c:pt>
                <c:pt idx="56">
                  <c:v>25-01-2021</c:v>
                </c:pt>
                <c:pt idx="57">
                  <c:v>26-01-2021</c:v>
                </c:pt>
                <c:pt idx="58">
                  <c:v>27-01-2021</c:v>
                </c:pt>
                <c:pt idx="59">
                  <c:v>28-01-2021</c:v>
                </c:pt>
                <c:pt idx="60">
                  <c:v>29-01-2021</c:v>
                </c:pt>
                <c:pt idx="61">
                  <c:v>01-02-2021</c:v>
                </c:pt>
                <c:pt idx="62">
                  <c:v>02-02-2021</c:v>
                </c:pt>
                <c:pt idx="63">
                  <c:v>03-02-2021</c:v>
                </c:pt>
                <c:pt idx="64">
                  <c:v>04-02-2021</c:v>
                </c:pt>
                <c:pt idx="65">
                  <c:v>05-02-2021</c:v>
                </c:pt>
                <c:pt idx="66">
                  <c:v>08-02-2021</c:v>
                </c:pt>
                <c:pt idx="67">
                  <c:v>09-02-2021</c:v>
                </c:pt>
                <c:pt idx="68">
                  <c:v>10-02-2021</c:v>
                </c:pt>
                <c:pt idx="69">
                  <c:v>11-02-2021</c:v>
                </c:pt>
                <c:pt idx="70">
                  <c:v>12-02-2021</c:v>
                </c:pt>
                <c:pt idx="71">
                  <c:v>16-02-2021</c:v>
                </c:pt>
                <c:pt idx="72">
                  <c:v>17-02-2021</c:v>
                </c:pt>
                <c:pt idx="73">
                  <c:v>18-02-2021</c:v>
                </c:pt>
                <c:pt idx="74">
                  <c:v>19-02-2021</c:v>
                </c:pt>
                <c:pt idx="75">
                  <c:v>22-02-2021</c:v>
                </c:pt>
                <c:pt idx="76">
                  <c:v>23-02-2021</c:v>
                </c:pt>
                <c:pt idx="77">
                  <c:v>24-02-2021</c:v>
                </c:pt>
                <c:pt idx="78">
                  <c:v>25-02-2021</c:v>
                </c:pt>
                <c:pt idx="79">
                  <c:v>26-02-2021</c:v>
                </c:pt>
                <c:pt idx="80">
                  <c:v>01-03-2021</c:v>
                </c:pt>
                <c:pt idx="81">
                  <c:v>02-03-2021</c:v>
                </c:pt>
                <c:pt idx="82">
                  <c:v>03-03-2021</c:v>
                </c:pt>
                <c:pt idx="83">
                  <c:v>04-03-2021</c:v>
                </c:pt>
                <c:pt idx="84">
                  <c:v>05-03-2021</c:v>
                </c:pt>
                <c:pt idx="85">
                  <c:v>08-03-2021</c:v>
                </c:pt>
                <c:pt idx="86">
                  <c:v>09-03-2021</c:v>
                </c:pt>
                <c:pt idx="87">
                  <c:v>10-03-2021</c:v>
                </c:pt>
                <c:pt idx="88">
                  <c:v>11-03-2021</c:v>
                </c:pt>
                <c:pt idx="89">
                  <c:v>12-03-2021</c:v>
                </c:pt>
                <c:pt idx="90">
                  <c:v>15-03-2021</c:v>
                </c:pt>
                <c:pt idx="91">
                  <c:v>16-03-2021</c:v>
                </c:pt>
                <c:pt idx="92">
                  <c:v>17-03-2021</c:v>
                </c:pt>
                <c:pt idx="93">
                  <c:v>18-03-2021</c:v>
                </c:pt>
                <c:pt idx="94">
                  <c:v>19-03-2021</c:v>
                </c:pt>
                <c:pt idx="95">
                  <c:v>22-03-2021</c:v>
                </c:pt>
                <c:pt idx="96">
                  <c:v>23-03-2021</c:v>
                </c:pt>
                <c:pt idx="97">
                  <c:v>24-03-2021</c:v>
                </c:pt>
                <c:pt idx="98">
                  <c:v>25-03-2021</c:v>
                </c:pt>
                <c:pt idx="99">
                  <c:v>26-03-2021</c:v>
                </c:pt>
                <c:pt idx="100">
                  <c:v>29-03-2021</c:v>
                </c:pt>
                <c:pt idx="101">
                  <c:v>30-03-2021</c:v>
                </c:pt>
                <c:pt idx="102">
                  <c:v>31-03-2021</c:v>
                </c:pt>
                <c:pt idx="103">
                  <c:v>01-04-2021</c:v>
                </c:pt>
                <c:pt idx="104">
                  <c:v>05-04-2021</c:v>
                </c:pt>
                <c:pt idx="105">
                  <c:v>06-04-2021</c:v>
                </c:pt>
                <c:pt idx="106">
                  <c:v>07-04-2021</c:v>
                </c:pt>
                <c:pt idx="107">
                  <c:v>08-04-2021</c:v>
                </c:pt>
                <c:pt idx="108">
                  <c:v>09-04-2021</c:v>
                </c:pt>
                <c:pt idx="109">
                  <c:v>12-04-2021</c:v>
                </c:pt>
                <c:pt idx="110">
                  <c:v>13-04-2021</c:v>
                </c:pt>
                <c:pt idx="111">
                  <c:v>14-04-2021</c:v>
                </c:pt>
                <c:pt idx="112">
                  <c:v>15-04-2021</c:v>
                </c:pt>
                <c:pt idx="113">
                  <c:v>16-04-2021</c:v>
                </c:pt>
                <c:pt idx="114">
                  <c:v>19-04-2021</c:v>
                </c:pt>
                <c:pt idx="115">
                  <c:v>20-04-2021</c:v>
                </c:pt>
                <c:pt idx="116">
                  <c:v>21-04-2021</c:v>
                </c:pt>
                <c:pt idx="117">
                  <c:v>22-04-2021</c:v>
                </c:pt>
                <c:pt idx="118">
                  <c:v>23-04-2021</c:v>
                </c:pt>
                <c:pt idx="119">
                  <c:v>26-04-2021</c:v>
                </c:pt>
                <c:pt idx="120">
                  <c:v>27-04-2021</c:v>
                </c:pt>
                <c:pt idx="121">
                  <c:v>28-04-2021</c:v>
                </c:pt>
                <c:pt idx="122">
                  <c:v>29-04-2021</c:v>
                </c:pt>
                <c:pt idx="123">
                  <c:v>30-04-2021</c:v>
                </c:pt>
                <c:pt idx="124">
                  <c:v>03-05-2021</c:v>
                </c:pt>
                <c:pt idx="125">
                  <c:v>04-05-2021</c:v>
                </c:pt>
                <c:pt idx="126">
                  <c:v>05-05-2021</c:v>
                </c:pt>
                <c:pt idx="127">
                  <c:v>06-05-2021</c:v>
                </c:pt>
                <c:pt idx="128">
                  <c:v>07-05-2021</c:v>
                </c:pt>
                <c:pt idx="129">
                  <c:v>10-05-2021</c:v>
                </c:pt>
                <c:pt idx="130">
                  <c:v>11-05-2021</c:v>
                </c:pt>
                <c:pt idx="131">
                  <c:v>12-05-2021</c:v>
                </c:pt>
                <c:pt idx="132">
                  <c:v>13-05-2021</c:v>
                </c:pt>
                <c:pt idx="133">
                  <c:v>14-05-2021</c:v>
                </c:pt>
                <c:pt idx="134">
                  <c:v>17-05-2021</c:v>
                </c:pt>
                <c:pt idx="135">
                  <c:v>18-05-2021</c:v>
                </c:pt>
                <c:pt idx="136">
                  <c:v>19-05-2021</c:v>
                </c:pt>
                <c:pt idx="137">
                  <c:v>20-05-2021</c:v>
                </c:pt>
                <c:pt idx="138">
                  <c:v>21-05-2021</c:v>
                </c:pt>
                <c:pt idx="139">
                  <c:v>24-05-2021</c:v>
                </c:pt>
                <c:pt idx="140">
                  <c:v>25-05-2021</c:v>
                </c:pt>
                <c:pt idx="141">
                  <c:v>26-05-2021</c:v>
                </c:pt>
                <c:pt idx="142">
                  <c:v>27-05-2021</c:v>
                </c:pt>
                <c:pt idx="143">
                  <c:v>28-05-2021</c:v>
                </c:pt>
                <c:pt idx="144">
                  <c:v>01-06-2021</c:v>
                </c:pt>
                <c:pt idx="145">
                  <c:v>02-06-2021</c:v>
                </c:pt>
                <c:pt idx="146">
                  <c:v>03-06-2021</c:v>
                </c:pt>
                <c:pt idx="147">
                  <c:v>04-06-2021</c:v>
                </c:pt>
                <c:pt idx="148">
                  <c:v>07-06-2021</c:v>
                </c:pt>
                <c:pt idx="149">
                  <c:v>08-06-2021</c:v>
                </c:pt>
                <c:pt idx="150">
                  <c:v>09-06-2021</c:v>
                </c:pt>
                <c:pt idx="151">
                  <c:v>10-06-2021</c:v>
                </c:pt>
                <c:pt idx="152">
                  <c:v>11-06-2021</c:v>
                </c:pt>
                <c:pt idx="153">
                  <c:v>14-06-2021</c:v>
                </c:pt>
                <c:pt idx="154">
                  <c:v>15-06-2021</c:v>
                </c:pt>
                <c:pt idx="155">
                  <c:v>16-06-2021</c:v>
                </c:pt>
                <c:pt idx="156">
                  <c:v>17-06-2021</c:v>
                </c:pt>
                <c:pt idx="157">
                  <c:v>18-06-2021</c:v>
                </c:pt>
                <c:pt idx="158">
                  <c:v>21-06-2021</c:v>
                </c:pt>
                <c:pt idx="159">
                  <c:v>22-06-2021</c:v>
                </c:pt>
                <c:pt idx="160">
                  <c:v>23-06-2021</c:v>
                </c:pt>
                <c:pt idx="161">
                  <c:v>24-06-2021</c:v>
                </c:pt>
                <c:pt idx="162">
                  <c:v>25-06-2021</c:v>
                </c:pt>
                <c:pt idx="163">
                  <c:v>28-06-2021</c:v>
                </c:pt>
                <c:pt idx="164">
                  <c:v>29-06-2021</c:v>
                </c:pt>
                <c:pt idx="165">
                  <c:v>30-06-2021</c:v>
                </c:pt>
                <c:pt idx="166">
                  <c:v>01-07-2021</c:v>
                </c:pt>
                <c:pt idx="167">
                  <c:v>02-07-2021</c:v>
                </c:pt>
                <c:pt idx="168">
                  <c:v>06-07-2021</c:v>
                </c:pt>
                <c:pt idx="169">
                  <c:v>07-07-2021</c:v>
                </c:pt>
                <c:pt idx="170">
                  <c:v>08-07-2021</c:v>
                </c:pt>
                <c:pt idx="171">
                  <c:v>09-07-2021</c:v>
                </c:pt>
                <c:pt idx="172">
                  <c:v>12-07-2021</c:v>
                </c:pt>
                <c:pt idx="173">
                  <c:v>13-07-2021</c:v>
                </c:pt>
                <c:pt idx="174">
                  <c:v>14-07-2021</c:v>
                </c:pt>
                <c:pt idx="175">
                  <c:v>15-07-2021</c:v>
                </c:pt>
                <c:pt idx="176">
                  <c:v>16-07-2021</c:v>
                </c:pt>
                <c:pt idx="177">
                  <c:v>19-07-2021</c:v>
                </c:pt>
                <c:pt idx="178">
                  <c:v>20-07-2021</c:v>
                </c:pt>
                <c:pt idx="179">
                  <c:v>21-07-2021</c:v>
                </c:pt>
                <c:pt idx="180">
                  <c:v>22-07-2021</c:v>
                </c:pt>
                <c:pt idx="181">
                  <c:v>23-07-2021</c:v>
                </c:pt>
                <c:pt idx="182">
                  <c:v>26-07-2021</c:v>
                </c:pt>
                <c:pt idx="183">
                  <c:v>27-07-2021</c:v>
                </c:pt>
                <c:pt idx="184">
                  <c:v>28-07-2021</c:v>
                </c:pt>
                <c:pt idx="185">
                  <c:v>29-07-2021</c:v>
                </c:pt>
                <c:pt idx="186">
                  <c:v>30-07-2021</c:v>
                </c:pt>
                <c:pt idx="187">
                  <c:v>02-08-2021</c:v>
                </c:pt>
                <c:pt idx="188">
                  <c:v>03-08-2021</c:v>
                </c:pt>
                <c:pt idx="189">
                  <c:v>04-08-2021</c:v>
                </c:pt>
                <c:pt idx="190">
                  <c:v>05-08-2021</c:v>
                </c:pt>
                <c:pt idx="191">
                  <c:v>06-08-2021</c:v>
                </c:pt>
                <c:pt idx="192">
                  <c:v>09-08-2021</c:v>
                </c:pt>
                <c:pt idx="193">
                  <c:v>10-08-2021</c:v>
                </c:pt>
                <c:pt idx="194">
                  <c:v>11-08-2021</c:v>
                </c:pt>
                <c:pt idx="195">
                  <c:v>12-08-2021</c:v>
                </c:pt>
                <c:pt idx="196">
                  <c:v>13-08-2021</c:v>
                </c:pt>
                <c:pt idx="197">
                  <c:v>16-08-2021</c:v>
                </c:pt>
                <c:pt idx="198">
                  <c:v>17-08-2021</c:v>
                </c:pt>
                <c:pt idx="199">
                  <c:v>18-08-2021</c:v>
                </c:pt>
                <c:pt idx="200">
                  <c:v>19-08-2021</c:v>
                </c:pt>
                <c:pt idx="201">
                  <c:v>20-08-2021</c:v>
                </c:pt>
                <c:pt idx="202">
                  <c:v>23-08-2021</c:v>
                </c:pt>
                <c:pt idx="203">
                  <c:v>24-08-2021</c:v>
                </c:pt>
                <c:pt idx="204">
                  <c:v>25-08-2021</c:v>
                </c:pt>
                <c:pt idx="205">
                  <c:v>26-08-2021</c:v>
                </c:pt>
                <c:pt idx="206">
                  <c:v>27-08-2021</c:v>
                </c:pt>
                <c:pt idx="207">
                  <c:v>30-08-2021</c:v>
                </c:pt>
                <c:pt idx="208">
                  <c:v>31-08-2021</c:v>
                </c:pt>
                <c:pt idx="209">
                  <c:v>01-09-2021</c:v>
                </c:pt>
                <c:pt idx="210">
                  <c:v>02-09-2021</c:v>
                </c:pt>
                <c:pt idx="211">
                  <c:v>03-09-2021</c:v>
                </c:pt>
                <c:pt idx="212">
                  <c:v>07-09-2021</c:v>
                </c:pt>
                <c:pt idx="213">
                  <c:v>08-09-2021</c:v>
                </c:pt>
                <c:pt idx="214">
                  <c:v>09-09-2021</c:v>
                </c:pt>
                <c:pt idx="215">
                  <c:v>10-09-2021</c:v>
                </c:pt>
                <c:pt idx="216">
                  <c:v>13-09-2021</c:v>
                </c:pt>
                <c:pt idx="217">
                  <c:v>14-09-2021</c:v>
                </c:pt>
                <c:pt idx="218">
                  <c:v>15-09-2021</c:v>
                </c:pt>
                <c:pt idx="219">
                  <c:v>16-09-2021</c:v>
                </c:pt>
                <c:pt idx="220">
                  <c:v>17-09-2021</c:v>
                </c:pt>
                <c:pt idx="221">
                  <c:v>20-09-2021</c:v>
                </c:pt>
                <c:pt idx="222">
                  <c:v>21-09-2021</c:v>
                </c:pt>
                <c:pt idx="223">
                  <c:v>22-09-2021</c:v>
                </c:pt>
                <c:pt idx="224">
                  <c:v>23-09-2021</c:v>
                </c:pt>
                <c:pt idx="225">
                  <c:v>24-09-2021</c:v>
                </c:pt>
                <c:pt idx="226">
                  <c:v>27-09-2021</c:v>
                </c:pt>
                <c:pt idx="227">
                  <c:v>28-09-2021</c:v>
                </c:pt>
                <c:pt idx="228">
                  <c:v>29-09-2021</c:v>
                </c:pt>
                <c:pt idx="229">
                  <c:v>30-09-2021</c:v>
                </c:pt>
                <c:pt idx="230">
                  <c:v>01-10-2021</c:v>
                </c:pt>
                <c:pt idx="231">
                  <c:v>04-10-2021</c:v>
                </c:pt>
                <c:pt idx="232">
                  <c:v>05-10-2021</c:v>
                </c:pt>
                <c:pt idx="233">
                  <c:v>06-10-2021</c:v>
                </c:pt>
                <c:pt idx="234">
                  <c:v>07-10-2021</c:v>
                </c:pt>
                <c:pt idx="235">
                  <c:v>08-10-2021</c:v>
                </c:pt>
                <c:pt idx="236">
                  <c:v>11-10-2021</c:v>
                </c:pt>
                <c:pt idx="237">
                  <c:v>12-10-2021</c:v>
                </c:pt>
                <c:pt idx="238">
                  <c:v>13-10-2021</c:v>
                </c:pt>
                <c:pt idx="239">
                  <c:v>14-10-2021</c:v>
                </c:pt>
                <c:pt idx="240">
                  <c:v>15-10-2021</c:v>
                </c:pt>
                <c:pt idx="241">
                  <c:v>18-10-2021</c:v>
                </c:pt>
                <c:pt idx="242">
                  <c:v>19-10-2021</c:v>
                </c:pt>
                <c:pt idx="243">
                  <c:v>20-10-2021</c:v>
                </c:pt>
                <c:pt idx="244">
                  <c:v>21-10-2021</c:v>
                </c:pt>
                <c:pt idx="245">
                  <c:v>22-10-2021</c:v>
                </c:pt>
                <c:pt idx="246">
                  <c:v>25-10-2021</c:v>
                </c:pt>
                <c:pt idx="247">
                  <c:v>26-10-2021</c:v>
                </c:pt>
                <c:pt idx="248">
                  <c:v>27-10-2021</c:v>
                </c:pt>
                <c:pt idx="249">
                  <c:v>28-10-2021</c:v>
                </c:pt>
                <c:pt idx="250">
                  <c:v>29-10-2021</c:v>
                </c:pt>
                <c:pt idx="251">
                  <c:v>01-11-2021</c:v>
                </c:pt>
                <c:pt idx="252">
                  <c:v>02-11-2021</c:v>
                </c:pt>
                <c:pt idx="253">
                  <c:v>03-11-2021</c:v>
                </c:pt>
                <c:pt idx="254">
                  <c:v>04-11-2021</c:v>
                </c:pt>
                <c:pt idx="255">
                  <c:v>05-11-2021</c:v>
                </c:pt>
                <c:pt idx="256">
                  <c:v>08-11-2021</c:v>
                </c:pt>
                <c:pt idx="257">
                  <c:v>09-11-2021</c:v>
                </c:pt>
                <c:pt idx="258">
                  <c:v>10-11-2021</c:v>
                </c:pt>
                <c:pt idx="259">
                  <c:v>11-11-2021</c:v>
                </c:pt>
                <c:pt idx="260">
                  <c:v>12-11-2021</c:v>
                </c:pt>
                <c:pt idx="261">
                  <c:v>15-11-2021</c:v>
                </c:pt>
                <c:pt idx="262">
                  <c:v>16-11-2021</c:v>
                </c:pt>
                <c:pt idx="263">
                  <c:v>17-11-2021</c:v>
                </c:pt>
                <c:pt idx="264">
                  <c:v>18-11-2021</c:v>
                </c:pt>
                <c:pt idx="265">
                  <c:v>19-11-2021</c:v>
                </c:pt>
                <c:pt idx="266">
                  <c:v>22-11-2021</c:v>
                </c:pt>
                <c:pt idx="267">
                  <c:v>23-11-2021</c:v>
                </c:pt>
                <c:pt idx="268">
                  <c:v>24-11-2021</c:v>
                </c:pt>
                <c:pt idx="269">
                  <c:v>26-11-2021</c:v>
                </c:pt>
                <c:pt idx="270">
                  <c:v>29-11-2021</c:v>
                </c:pt>
                <c:pt idx="271">
                  <c:v>30-11-2021</c:v>
                </c:pt>
                <c:pt idx="272">
                  <c:v>01-12-2021</c:v>
                </c:pt>
                <c:pt idx="273">
                  <c:v>02-12-2021</c:v>
                </c:pt>
                <c:pt idx="274">
                  <c:v>03-12-2021</c:v>
                </c:pt>
                <c:pt idx="275">
                  <c:v>06-12-2021</c:v>
                </c:pt>
                <c:pt idx="276">
                  <c:v>07-12-2021</c:v>
                </c:pt>
                <c:pt idx="277">
                  <c:v>08-12-2021</c:v>
                </c:pt>
                <c:pt idx="278">
                  <c:v>09-12-2021</c:v>
                </c:pt>
                <c:pt idx="279">
                  <c:v>10-12-2021</c:v>
                </c:pt>
                <c:pt idx="280">
                  <c:v>13-12-2021</c:v>
                </c:pt>
                <c:pt idx="281">
                  <c:v>14-12-2021</c:v>
                </c:pt>
                <c:pt idx="282">
                  <c:v>15-12-2021</c:v>
                </c:pt>
                <c:pt idx="283">
                  <c:v>16-12-2021</c:v>
                </c:pt>
                <c:pt idx="284">
                  <c:v>17-12-2021</c:v>
                </c:pt>
                <c:pt idx="285">
                  <c:v>20-12-2021</c:v>
                </c:pt>
                <c:pt idx="286">
                  <c:v>21-12-2021</c:v>
                </c:pt>
                <c:pt idx="287">
                  <c:v>22-12-2021</c:v>
                </c:pt>
                <c:pt idx="288">
                  <c:v>23-12-2021</c:v>
                </c:pt>
                <c:pt idx="289">
                  <c:v>27-12-2021</c:v>
                </c:pt>
                <c:pt idx="290">
                  <c:v>28-12-2021</c:v>
                </c:pt>
                <c:pt idx="291">
                  <c:v>29-12-2021</c:v>
                </c:pt>
                <c:pt idx="292">
                  <c:v>30-12-2021</c:v>
                </c:pt>
                <c:pt idx="293">
                  <c:v>31-12-2021</c:v>
                </c:pt>
                <c:pt idx="294">
                  <c:v>03-01-2022</c:v>
                </c:pt>
                <c:pt idx="295">
                  <c:v>04-01-2022</c:v>
                </c:pt>
                <c:pt idx="296">
                  <c:v>05-01-2022</c:v>
                </c:pt>
                <c:pt idx="297">
                  <c:v>06-01-2022</c:v>
                </c:pt>
                <c:pt idx="298">
                  <c:v>07-01-2022</c:v>
                </c:pt>
                <c:pt idx="299">
                  <c:v>10-01-2022</c:v>
                </c:pt>
                <c:pt idx="300">
                  <c:v>11-01-2022</c:v>
                </c:pt>
                <c:pt idx="301">
                  <c:v>12-01-2022</c:v>
                </c:pt>
                <c:pt idx="302">
                  <c:v>13-01-2022</c:v>
                </c:pt>
                <c:pt idx="303">
                  <c:v>14-01-2022</c:v>
                </c:pt>
                <c:pt idx="304">
                  <c:v>18-01-2022</c:v>
                </c:pt>
                <c:pt idx="305">
                  <c:v>19-01-2022</c:v>
                </c:pt>
                <c:pt idx="306">
                  <c:v>20-01-2022</c:v>
                </c:pt>
                <c:pt idx="307">
                  <c:v>21-01-2022</c:v>
                </c:pt>
                <c:pt idx="308">
                  <c:v>24-01-2022</c:v>
                </c:pt>
                <c:pt idx="309">
                  <c:v>25-01-2022</c:v>
                </c:pt>
                <c:pt idx="310">
                  <c:v>26-01-2022</c:v>
                </c:pt>
                <c:pt idx="311">
                  <c:v>27-01-2022</c:v>
                </c:pt>
                <c:pt idx="312">
                  <c:v>28-01-2022</c:v>
                </c:pt>
                <c:pt idx="313">
                  <c:v>31-01-2022</c:v>
                </c:pt>
                <c:pt idx="314">
                  <c:v>01-02-2022</c:v>
                </c:pt>
                <c:pt idx="315">
                  <c:v>02-02-2022</c:v>
                </c:pt>
                <c:pt idx="316">
                  <c:v>03-02-2022</c:v>
                </c:pt>
                <c:pt idx="317">
                  <c:v>04-02-2022</c:v>
                </c:pt>
                <c:pt idx="318">
                  <c:v>07-02-2022</c:v>
                </c:pt>
                <c:pt idx="319">
                  <c:v>08-02-2022</c:v>
                </c:pt>
                <c:pt idx="320">
                  <c:v>09-02-2022</c:v>
                </c:pt>
                <c:pt idx="321">
                  <c:v>10-02-2022</c:v>
                </c:pt>
                <c:pt idx="322">
                  <c:v>11-02-2022</c:v>
                </c:pt>
                <c:pt idx="323">
                  <c:v>14-02-2022</c:v>
                </c:pt>
                <c:pt idx="324">
                  <c:v>15-02-2022</c:v>
                </c:pt>
                <c:pt idx="325">
                  <c:v>16-02-2022</c:v>
                </c:pt>
                <c:pt idx="326">
                  <c:v>17-02-2022</c:v>
                </c:pt>
                <c:pt idx="327">
                  <c:v>18-02-2022</c:v>
                </c:pt>
                <c:pt idx="328">
                  <c:v>22-02-2022</c:v>
                </c:pt>
                <c:pt idx="329">
                  <c:v>23-02-2022</c:v>
                </c:pt>
                <c:pt idx="330">
                  <c:v>24-02-2022</c:v>
                </c:pt>
                <c:pt idx="331">
                  <c:v>25-02-2022</c:v>
                </c:pt>
                <c:pt idx="332">
                  <c:v>28-02-2022</c:v>
                </c:pt>
                <c:pt idx="333">
                  <c:v>01-03-2022</c:v>
                </c:pt>
                <c:pt idx="334">
                  <c:v>02-03-2022</c:v>
                </c:pt>
                <c:pt idx="335">
                  <c:v>03-03-2022</c:v>
                </c:pt>
                <c:pt idx="336">
                  <c:v>04-03-2022</c:v>
                </c:pt>
                <c:pt idx="337">
                  <c:v>07-03-2022</c:v>
                </c:pt>
                <c:pt idx="338">
                  <c:v>08-03-2022</c:v>
                </c:pt>
                <c:pt idx="339">
                  <c:v>09-03-2022</c:v>
                </c:pt>
                <c:pt idx="340">
                  <c:v>10-03-2022</c:v>
                </c:pt>
                <c:pt idx="341">
                  <c:v>11-03-2022</c:v>
                </c:pt>
                <c:pt idx="342">
                  <c:v>14-03-2022</c:v>
                </c:pt>
                <c:pt idx="343">
                  <c:v>15-03-2022</c:v>
                </c:pt>
                <c:pt idx="344">
                  <c:v>16-03-2022</c:v>
                </c:pt>
                <c:pt idx="345">
                  <c:v>17-03-2022</c:v>
                </c:pt>
                <c:pt idx="346">
                  <c:v>18-03-2022</c:v>
                </c:pt>
                <c:pt idx="347">
                  <c:v>21-03-2022</c:v>
                </c:pt>
                <c:pt idx="348">
                  <c:v>22-03-2022</c:v>
                </c:pt>
                <c:pt idx="349">
                  <c:v>23-03-2022</c:v>
                </c:pt>
                <c:pt idx="350">
                  <c:v>24-03-2022</c:v>
                </c:pt>
                <c:pt idx="351">
                  <c:v>25-03-2022</c:v>
                </c:pt>
                <c:pt idx="352">
                  <c:v>28-03-2022</c:v>
                </c:pt>
                <c:pt idx="353">
                  <c:v>29-03-2022</c:v>
                </c:pt>
                <c:pt idx="354">
                  <c:v>30-03-2022</c:v>
                </c:pt>
                <c:pt idx="355">
                  <c:v>31-03-2022</c:v>
                </c:pt>
                <c:pt idx="356">
                  <c:v>01-04-2022</c:v>
                </c:pt>
                <c:pt idx="357">
                  <c:v>04-04-2022</c:v>
                </c:pt>
                <c:pt idx="358">
                  <c:v>05-04-2022</c:v>
                </c:pt>
                <c:pt idx="359">
                  <c:v>06-04-2022</c:v>
                </c:pt>
                <c:pt idx="360">
                  <c:v>07-04-2022</c:v>
                </c:pt>
                <c:pt idx="361">
                  <c:v>08-04-2022</c:v>
                </c:pt>
                <c:pt idx="362">
                  <c:v>11-04-2022</c:v>
                </c:pt>
                <c:pt idx="363">
                  <c:v>12-04-2022</c:v>
                </c:pt>
                <c:pt idx="364">
                  <c:v>13-04-2022</c:v>
                </c:pt>
                <c:pt idx="365">
                  <c:v>14-04-2022</c:v>
                </c:pt>
                <c:pt idx="366">
                  <c:v>18-04-2022</c:v>
                </c:pt>
                <c:pt idx="367">
                  <c:v>19-04-2022</c:v>
                </c:pt>
                <c:pt idx="368">
                  <c:v>20-04-2022</c:v>
                </c:pt>
                <c:pt idx="369">
                  <c:v>21-04-2022</c:v>
                </c:pt>
                <c:pt idx="370">
                  <c:v>22-04-2022</c:v>
                </c:pt>
                <c:pt idx="371">
                  <c:v>25-04-2022</c:v>
                </c:pt>
                <c:pt idx="372">
                  <c:v>26-04-2022</c:v>
                </c:pt>
                <c:pt idx="373">
                  <c:v>27-04-2022</c:v>
                </c:pt>
                <c:pt idx="374">
                  <c:v>28-04-2022</c:v>
                </c:pt>
                <c:pt idx="375">
                  <c:v>29-04-2022</c:v>
                </c:pt>
                <c:pt idx="376">
                  <c:v>02-05-2022</c:v>
                </c:pt>
                <c:pt idx="377">
                  <c:v>03-05-2022</c:v>
                </c:pt>
                <c:pt idx="378">
                  <c:v>04-05-2022</c:v>
                </c:pt>
                <c:pt idx="379">
                  <c:v>05-05-2022</c:v>
                </c:pt>
                <c:pt idx="380">
                  <c:v>06-05-2022</c:v>
                </c:pt>
                <c:pt idx="381">
                  <c:v>09-05-2022</c:v>
                </c:pt>
                <c:pt idx="382">
                  <c:v>10-05-2022</c:v>
                </c:pt>
                <c:pt idx="383">
                  <c:v>11-05-2022</c:v>
                </c:pt>
                <c:pt idx="384">
                  <c:v>12-05-2022</c:v>
                </c:pt>
                <c:pt idx="385">
                  <c:v>13-05-2022</c:v>
                </c:pt>
                <c:pt idx="386">
                  <c:v>16-05-2022</c:v>
                </c:pt>
                <c:pt idx="387">
                  <c:v>17-05-2022</c:v>
                </c:pt>
                <c:pt idx="388">
                  <c:v>18-05-2022</c:v>
                </c:pt>
                <c:pt idx="389">
                  <c:v>19-05-2022</c:v>
                </c:pt>
                <c:pt idx="390">
                  <c:v>20-05-2022</c:v>
                </c:pt>
                <c:pt idx="391">
                  <c:v>23-05-2022</c:v>
                </c:pt>
                <c:pt idx="392">
                  <c:v>24-05-2022</c:v>
                </c:pt>
                <c:pt idx="393">
                  <c:v>25-05-2022</c:v>
                </c:pt>
                <c:pt idx="394">
                  <c:v>26-05-2022</c:v>
                </c:pt>
                <c:pt idx="395">
                  <c:v>27-05-2022</c:v>
                </c:pt>
                <c:pt idx="396">
                  <c:v>31-05-2022</c:v>
                </c:pt>
                <c:pt idx="397">
                  <c:v>01-06-2022</c:v>
                </c:pt>
                <c:pt idx="398">
                  <c:v>02-06-2022</c:v>
                </c:pt>
                <c:pt idx="399">
                  <c:v>03-06-2022</c:v>
                </c:pt>
                <c:pt idx="400">
                  <c:v>06-06-2022</c:v>
                </c:pt>
                <c:pt idx="401">
                  <c:v>07-06-2022</c:v>
                </c:pt>
                <c:pt idx="402">
                  <c:v>08-06-2022</c:v>
                </c:pt>
                <c:pt idx="403">
                  <c:v>09-06-2022</c:v>
                </c:pt>
                <c:pt idx="404">
                  <c:v>10-06-2022</c:v>
                </c:pt>
                <c:pt idx="405">
                  <c:v>13-06-2022</c:v>
                </c:pt>
                <c:pt idx="406">
                  <c:v>14-06-2022</c:v>
                </c:pt>
                <c:pt idx="407">
                  <c:v>15-06-2022</c:v>
                </c:pt>
                <c:pt idx="408">
                  <c:v>16-06-2022</c:v>
                </c:pt>
                <c:pt idx="409">
                  <c:v>17-06-2022</c:v>
                </c:pt>
                <c:pt idx="410">
                  <c:v>21-06-2022</c:v>
                </c:pt>
                <c:pt idx="411">
                  <c:v>22-06-2022</c:v>
                </c:pt>
                <c:pt idx="412">
                  <c:v>23-06-2022</c:v>
                </c:pt>
                <c:pt idx="413">
                  <c:v>24-06-2022</c:v>
                </c:pt>
                <c:pt idx="414">
                  <c:v>27-06-2022</c:v>
                </c:pt>
                <c:pt idx="415">
                  <c:v>28-06-2022</c:v>
                </c:pt>
                <c:pt idx="416">
                  <c:v>29-06-2022</c:v>
                </c:pt>
                <c:pt idx="417">
                  <c:v>30-06-2022</c:v>
                </c:pt>
                <c:pt idx="418">
                  <c:v>01-07-2022</c:v>
                </c:pt>
                <c:pt idx="419">
                  <c:v>05-07-2022</c:v>
                </c:pt>
                <c:pt idx="420">
                  <c:v>06-07-2022</c:v>
                </c:pt>
                <c:pt idx="421">
                  <c:v>07-07-2022</c:v>
                </c:pt>
                <c:pt idx="422">
                  <c:v>08-07-2022</c:v>
                </c:pt>
                <c:pt idx="423">
                  <c:v>11-07-2022</c:v>
                </c:pt>
                <c:pt idx="424">
                  <c:v>12-07-2022</c:v>
                </c:pt>
                <c:pt idx="425">
                  <c:v>13-07-2022</c:v>
                </c:pt>
                <c:pt idx="426">
                  <c:v>14-07-2022</c:v>
                </c:pt>
                <c:pt idx="427">
                  <c:v>15-07-2022</c:v>
                </c:pt>
                <c:pt idx="428">
                  <c:v>18-07-2022</c:v>
                </c:pt>
                <c:pt idx="429">
                  <c:v>19-07-2022</c:v>
                </c:pt>
                <c:pt idx="430">
                  <c:v>20-07-2022</c:v>
                </c:pt>
                <c:pt idx="431">
                  <c:v>21-07-2022</c:v>
                </c:pt>
                <c:pt idx="432">
                  <c:v>22-07-2022</c:v>
                </c:pt>
                <c:pt idx="433">
                  <c:v>25-07-2022</c:v>
                </c:pt>
                <c:pt idx="434">
                  <c:v>26-07-2022</c:v>
                </c:pt>
                <c:pt idx="435">
                  <c:v>27-07-2022</c:v>
                </c:pt>
                <c:pt idx="436">
                  <c:v>28-07-2022</c:v>
                </c:pt>
                <c:pt idx="437">
                  <c:v>29-07-2022</c:v>
                </c:pt>
                <c:pt idx="438">
                  <c:v>01-08-2022</c:v>
                </c:pt>
                <c:pt idx="439">
                  <c:v>02-08-2022</c:v>
                </c:pt>
                <c:pt idx="440">
                  <c:v>03-08-2022</c:v>
                </c:pt>
                <c:pt idx="441">
                  <c:v>04-08-2022</c:v>
                </c:pt>
                <c:pt idx="442">
                  <c:v>05-08-2022</c:v>
                </c:pt>
                <c:pt idx="443">
                  <c:v>08-08-2022</c:v>
                </c:pt>
                <c:pt idx="444">
                  <c:v>09-08-2022</c:v>
                </c:pt>
                <c:pt idx="445">
                  <c:v>10-08-2022</c:v>
                </c:pt>
                <c:pt idx="446">
                  <c:v>11-08-2022</c:v>
                </c:pt>
                <c:pt idx="447">
                  <c:v>12-08-2022</c:v>
                </c:pt>
                <c:pt idx="448">
                  <c:v>15-08-2022</c:v>
                </c:pt>
                <c:pt idx="449">
                  <c:v>16-08-2022</c:v>
                </c:pt>
                <c:pt idx="450">
                  <c:v>17-08-2022</c:v>
                </c:pt>
                <c:pt idx="451">
                  <c:v>18-08-2022</c:v>
                </c:pt>
                <c:pt idx="452">
                  <c:v>19-08-2022</c:v>
                </c:pt>
                <c:pt idx="453">
                  <c:v>22-08-2022</c:v>
                </c:pt>
                <c:pt idx="454">
                  <c:v>23-08-2022</c:v>
                </c:pt>
                <c:pt idx="455">
                  <c:v>24-08-2022</c:v>
                </c:pt>
                <c:pt idx="456">
                  <c:v>25-08-2022</c:v>
                </c:pt>
                <c:pt idx="457">
                  <c:v>26-08-2022</c:v>
                </c:pt>
                <c:pt idx="458">
                  <c:v>29-08-2022</c:v>
                </c:pt>
                <c:pt idx="459">
                  <c:v>30-08-2022</c:v>
                </c:pt>
                <c:pt idx="460">
                  <c:v>31-08-2022</c:v>
                </c:pt>
                <c:pt idx="461">
                  <c:v>01-09-2022</c:v>
                </c:pt>
                <c:pt idx="462">
                  <c:v>02-09-2022</c:v>
                </c:pt>
                <c:pt idx="463">
                  <c:v>06-09-2022</c:v>
                </c:pt>
                <c:pt idx="464">
                  <c:v>07-09-2022</c:v>
                </c:pt>
                <c:pt idx="465">
                  <c:v>08-09-2022</c:v>
                </c:pt>
                <c:pt idx="466">
                  <c:v>09-09-2022</c:v>
                </c:pt>
                <c:pt idx="467">
                  <c:v>12-09-2022</c:v>
                </c:pt>
                <c:pt idx="468">
                  <c:v>13-09-2022</c:v>
                </c:pt>
                <c:pt idx="469">
                  <c:v>14-09-2022</c:v>
                </c:pt>
                <c:pt idx="470">
                  <c:v>15-09-2022</c:v>
                </c:pt>
                <c:pt idx="471">
                  <c:v>16-09-2022</c:v>
                </c:pt>
                <c:pt idx="472">
                  <c:v>19-09-2022</c:v>
                </c:pt>
                <c:pt idx="473">
                  <c:v>20-09-2022</c:v>
                </c:pt>
                <c:pt idx="474">
                  <c:v>21-09-2022</c:v>
                </c:pt>
                <c:pt idx="475">
                  <c:v>22-09-2022</c:v>
                </c:pt>
                <c:pt idx="476">
                  <c:v>23-09-2022</c:v>
                </c:pt>
                <c:pt idx="477">
                  <c:v>26-09-2022</c:v>
                </c:pt>
                <c:pt idx="478">
                  <c:v>27-09-2022</c:v>
                </c:pt>
                <c:pt idx="479">
                  <c:v>28-09-2022</c:v>
                </c:pt>
                <c:pt idx="480">
                  <c:v>29-09-2022</c:v>
                </c:pt>
                <c:pt idx="481">
                  <c:v>30-09-2022</c:v>
                </c:pt>
                <c:pt idx="482">
                  <c:v>03-10-2022</c:v>
                </c:pt>
                <c:pt idx="483">
                  <c:v>04-10-2022</c:v>
                </c:pt>
                <c:pt idx="484">
                  <c:v>05-10-2022</c:v>
                </c:pt>
                <c:pt idx="485">
                  <c:v>06-10-2022</c:v>
                </c:pt>
                <c:pt idx="486">
                  <c:v>07-10-2022</c:v>
                </c:pt>
                <c:pt idx="487">
                  <c:v>10-10-2022</c:v>
                </c:pt>
                <c:pt idx="488">
                  <c:v>11-10-2022</c:v>
                </c:pt>
                <c:pt idx="489">
                  <c:v>12-10-2022</c:v>
                </c:pt>
                <c:pt idx="490">
                  <c:v>13-10-2022</c:v>
                </c:pt>
                <c:pt idx="491">
                  <c:v>14-10-2022</c:v>
                </c:pt>
                <c:pt idx="492">
                  <c:v>17-10-2022</c:v>
                </c:pt>
                <c:pt idx="493">
                  <c:v>18-10-2022</c:v>
                </c:pt>
                <c:pt idx="494">
                  <c:v>19-10-2022</c:v>
                </c:pt>
                <c:pt idx="495">
                  <c:v>20-10-2022</c:v>
                </c:pt>
                <c:pt idx="496">
                  <c:v>21-10-2022</c:v>
                </c:pt>
                <c:pt idx="497">
                  <c:v>24-10-2022</c:v>
                </c:pt>
                <c:pt idx="498">
                  <c:v>25-10-2022</c:v>
                </c:pt>
                <c:pt idx="499">
                  <c:v>26-10-2022</c:v>
                </c:pt>
                <c:pt idx="500">
                  <c:v>27-10-2022</c:v>
                </c:pt>
                <c:pt idx="501">
                  <c:v>28-10-2022</c:v>
                </c:pt>
                <c:pt idx="502">
                  <c:v>31-10-2022</c:v>
                </c:pt>
                <c:pt idx="503">
                  <c:v>01-11-2022</c:v>
                </c:pt>
                <c:pt idx="504">
                  <c:v>02-11-2022</c:v>
                </c:pt>
                <c:pt idx="505">
                  <c:v>03-11-2022</c:v>
                </c:pt>
                <c:pt idx="506">
                  <c:v>04-11-2022</c:v>
                </c:pt>
                <c:pt idx="507">
                  <c:v>07-11-2022</c:v>
                </c:pt>
                <c:pt idx="508">
                  <c:v>08-11-2022</c:v>
                </c:pt>
                <c:pt idx="509">
                  <c:v>09-11-2022</c:v>
                </c:pt>
                <c:pt idx="510">
                  <c:v>10-11-2022</c:v>
                </c:pt>
                <c:pt idx="511">
                  <c:v>11-11-2022</c:v>
                </c:pt>
                <c:pt idx="512">
                  <c:v>14-11-2022</c:v>
                </c:pt>
                <c:pt idx="513">
                  <c:v>15-11-2022</c:v>
                </c:pt>
                <c:pt idx="514">
                  <c:v>16-11-2022</c:v>
                </c:pt>
                <c:pt idx="515">
                  <c:v>17-11-2022</c:v>
                </c:pt>
                <c:pt idx="516">
                  <c:v>18-11-2022</c:v>
                </c:pt>
                <c:pt idx="517">
                  <c:v>21-11-2022</c:v>
                </c:pt>
                <c:pt idx="518">
                  <c:v>22-11-2022</c:v>
                </c:pt>
                <c:pt idx="519">
                  <c:v>23-11-2022</c:v>
                </c:pt>
                <c:pt idx="520">
                  <c:v>25-11-2022</c:v>
                </c:pt>
                <c:pt idx="521">
                  <c:v>28-11-2022</c:v>
                </c:pt>
                <c:pt idx="522">
                  <c:v>29-11-2022</c:v>
                </c:pt>
                <c:pt idx="523">
                  <c:v>30-11-2022</c:v>
                </c:pt>
                <c:pt idx="524">
                  <c:v>01-12-2022</c:v>
                </c:pt>
                <c:pt idx="525">
                  <c:v>02-12-2022</c:v>
                </c:pt>
                <c:pt idx="526">
                  <c:v>05-12-2022</c:v>
                </c:pt>
                <c:pt idx="527">
                  <c:v>06-12-2022</c:v>
                </c:pt>
                <c:pt idx="528">
                  <c:v>07-12-2022</c:v>
                </c:pt>
                <c:pt idx="529">
                  <c:v>08-12-2022</c:v>
                </c:pt>
                <c:pt idx="530">
                  <c:v>09-12-2022</c:v>
                </c:pt>
                <c:pt idx="531">
                  <c:v>12-12-2022</c:v>
                </c:pt>
                <c:pt idx="532">
                  <c:v>13-12-2022</c:v>
                </c:pt>
                <c:pt idx="533">
                  <c:v>14-12-2022</c:v>
                </c:pt>
                <c:pt idx="534">
                  <c:v>15-12-2022</c:v>
                </c:pt>
                <c:pt idx="535">
                  <c:v>16-12-2022</c:v>
                </c:pt>
                <c:pt idx="536">
                  <c:v>19-12-2022</c:v>
                </c:pt>
                <c:pt idx="537">
                  <c:v>20-12-2022</c:v>
                </c:pt>
                <c:pt idx="538">
                  <c:v>21-12-2022</c:v>
                </c:pt>
                <c:pt idx="539">
                  <c:v>22-12-2022</c:v>
                </c:pt>
                <c:pt idx="540">
                  <c:v>23-12-2022</c:v>
                </c:pt>
                <c:pt idx="541">
                  <c:v>27-12-2022</c:v>
                </c:pt>
                <c:pt idx="542">
                  <c:v>28-12-2022</c:v>
                </c:pt>
                <c:pt idx="543">
                  <c:v>29-12-2022</c:v>
                </c:pt>
                <c:pt idx="544">
                  <c:v>30-12-2022</c:v>
                </c:pt>
                <c:pt idx="545">
                  <c:v>03-01-2023</c:v>
                </c:pt>
                <c:pt idx="546">
                  <c:v>04-01-2023</c:v>
                </c:pt>
                <c:pt idx="547">
                  <c:v>05-01-2023</c:v>
                </c:pt>
                <c:pt idx="548">
                  <c:v>06-01-2023</c:v>
                </c:pt>
                <c:pt idx="549">
                  <c:v>09-01-2023</c:v>
                </c:pt>
                <c:pt idx="550">
                  <c:v>10-01-2023</c:v>
                </c:pt>
                <c:pt idx="551">
                  <c:v>11-01-2023</c:v>
                </c:pt>
                <c:pt idx="552">
                  <c:v>12-01-2023</c:v>
                </c:pt>
                <c:pt idx="553">
                  <c:v>13-01-2023</c:v>
                </c:pt>
                <c:pt idx="554">
                  <c:v>17-01-2023</c:v>
                </c:pt>
                <c:pt idx="555">
                  <c:v>18-01-2023</c:v>
                </c:pt>
                <c:pt idx="556">
                  <c:v>19-01-2023</c:v>
                </c:pt>
                <c:pt idx="557">
                  <c:v>20-01-2023</c:v>
                </c:pt>
                <c:pt idx="558">
                  <c:v>23-01-2023</c:v>
                </c:pt>
                <c:pt idx="559">
                  <c:v>24-01-2023</c:v>
                </c:pt>
                <c:pt idx="560">
                  <c:v>25-01-2023</c:v>
                </c:pt>
                <c:pt idx="561">
                  <c:v>26-01-2023</c:v>
                </c:pt>
                <c:pt idx="562">
                  <c:v>27-01-2023</c:v>
                </c:pt>
                <c:pt idx="563">
                  <c:v>30-01-2023</c:v>
                </c:pt>
                <c:pt idx="564">
                  <c:v>31-01-2023</c:v>
                </c:pt>
                <c:pt idx="565">
                  <c:v>01-02-2023</c:v>
                </c:pt>
                <c:pt idx="566">
                  <c:v>02-02-2023</c:v>
                </c:pt>
                <c:pt idx="567">
                  <c:v>03-02-2023</c:v>
                </c:pt>
                <c:pt idx="568">
                  <c:v>06-02-2023</c:v>
                </c:pt>
                <c:pt idx="569">
                  <c:v>07-02-2023</c:v>
                </c:pt>
                <c:pt idx="570">
                  <c:v>08-02-2023</c:v>
                </c:pt>
                <c:pt idx="571">
                  <c:v>09-02-2023</c:v>
                </c:pt>
                <c:pt idx="572">
                  <c:v>10-02-2023</c:v>
                </c:pt>
                <c:pt idx="573">
                  <c:v>13-02-2023</c:v>
                </c:pt>
                <c:pt idx="574">
                  <c:v>14-02-2023</c:v>
                </c:pt>
                <c:pt idx="575">
                  <c:v>15-02-2023</c:v>
                </c:pt>
                <c:pt idx="576">
                  <c:v>16-02-2023</c:v>
                </c:pt>
                <c:pt idx="577">
                  <c:v>17-02-2023</c:v>
                </c:pt>
                <c:pt idx="578">
                  <c:v>21-02-2023</c:v>
                </c:pt>
                <c:pt idx="579">
                  <c:v>22-02-2023</c:v>
                </c:pt>
                <c:pt idx="580">
                  <c:v>23-02-2023</c:v>
                </c:pt>
                <c:pt idx="581">
                  <c:v>24-02-2023</c:v>
                </c:pt>
                <c:pt idx="582">
                  <c:v>27-02-2023</c:v>
                </c:pt>
                <c:pt idx="583">
                  <c:v>28-02-2023</c:v>
                </c:pt>
                <c:pt idx="584">
                  <c:v>01-03-2023</c:v>
                </c:pt>
                <c:pt idx="585">
                  <c:v>02-03-2023</c:v>
                </c:pt>
                <c:pt idx="586">
                  <c:v>03-03-2023</c:v>
                </c:pt>
                <c:pt idx="587">
                  <c:v>06-03-2023</c:v>
                </c:pt>
                <c:pt idx="588">
                  <c:v>07-03-2023</c:v>
                </c:pt>
                <c:pt idx="589">
                  <c:v>08-03-2023</c:v>
                </c:pt>
                <c:pt idx="590">
                  <c:v>09-03-2023</c:v>
                </c:pt>
                <c:pt idx="591">
                  <c:v>10-03-2023</c:v>
                </c:pt>
                <c:pt idx="592">
                  <c:v>13-03-2023</c:v>
                </c:pt>
                <c:pt idx="593">
                  <c:v>14-03-2023</c:v>
                </c:pt>
                <c:pt idx="594">
                  <c:v>15-03-2023</c:v>
                </c:pt>
                <c:pt idx="595">
                  <c:v>16-03-2023</c:v>
                </c:pt>
                <c:pt idx="596">
                  <c:v>17-03-2023</c:v>
                </c:pt>
                <c:pt idx="597">
                  <c:v>20-03-2023</c:v>
                </c:pt>
                <c:pt idx="598">
                  <c:v>21-03-2023</c:v>
                </c:pt>
                <c:pt idx="599">
                  <c:v>22-03-2023</c:v>
                </c:pt>
                <c:pt idx="600">
                  <c:v>23-03-2023</c:v>
                </c:pt>
                <c:pt idx="601">
                  <c:v>24-03-2023</c:v>
                </c:pt>
                <c:pt idx="602">
                  <c:v>27-03-2023</c:v>
                </c:pt>
                <c:pt idx="603">
                  <c:v>28-03-2023</c:v>
                </c:pt>
                <c:pt idx="604">
                  <c:v>29-03-2023</c:v>
                </c:pt>
                <c:pt idx="605">
                  <c:v>30-03-2023</c:v>
                </c:pt>
                <c:pt idx="606">
                  <c:v>31-03-2023</c:v>
                </c:pt>
                <c:pt idx="607">
                  <c:v>03-04-2023</c:v>
                </c:pt>
                <c:pt idx="608">
                  <c:v>04-04-2023</c:v>
                </c:pt>
                <c:pt idx="609">
                  <c:v>05-04-2023</c:v>
                </c:pt>
                <c:pt idx="610">
                  <c:v>06-04-2023</c:v>
                </c:pt>
                <c:pt idx="611">
                  <c:v>10-04-2023</c:v>
                </c:pt>
                <c:pt idx="612">
                  <c:v>11-04-2023</c:v>
                </c:pt>
                <c:pt idx="613">
                  <c:v>12-04-2023</c:v>
                </c:pt>
                <c:pt idx="614">
                  <c:v>13-04-2023</c:v>
                </c:pt>
                <c:pt idx="615">
                  <c:v>14-04-2023</c:v>
                </c:pt>
                <c:pt idx="616">
                  <c:v>17-04-2023</c:v>
                </c:pt>
                <c:pt idx="617">
                  <c:v>18-04-2023</c:v>
                </c:pt>
                <c:pt idx="618">
                  <c:v>19-04-2023</c:v>
                </c:pt>
                <c:pt idx="619">
                  <c:v>20-04-2023</c:v>
                </c:pt>
                <c:pt idx="620">
                  <c:v>21-04-2023</c:v>
                </c:pt>
                <c:pt idx="621">
                  <c:v>24-04-2023</c:v>
                </c:pt>
                <c:pt idx="622">
                  <c:v>25-04-2023</c:v>
                </c:pt>
                <c:pt idx="623">
                  <c:v>26-04-2023</c:v>
                </c:pt>
                <c:pt idx="624">
                  <c:v>27-04-2023</c:v>
                </c:pt>
                <c:pt idx="625">
                  <c:v>28-04-2023</c:v>
                </c:pt>
                <c:pt idx="626">
                  <c:v>01-05-2023</c:v>
                </c:pt>
                <c:pt idx="627">
                  <c:v>02-05-2023</c:v>
                </c:pt>
                <c:pt idx="628">
                  <c:v>03-05-2023</c:v>
                </c:pt>
                <c:pt idx="629">
                  <c:v>04-05-2023</c:v>
                </c:pt>
                <c:pt idx="630">
                  <c:v>05-05-2023</c:v>
                </c:pt>
                <c:pt idx="631">
                  <c:v>08-05-2023</c:v>
                </c:pt>
                <c:pt idx="632">
                  <c:v>09-05-2023</c:v>
                </c:pt>
                <c:pt idx="633">
                  <c:v>10-05-2023</c:v>
                </c:pt>
                <c:pt idx="634">
                  <c:v>11-05-2023</c:v>
                </c:pt>
                <c:pt idx="635">
                  <c:v>12-05-2023</c:v>
                </c:pt>
                <c:pt idx="636">
                  <c:v>15-05-2023</c:v>
                </c:pt>
                <c:pt idx="637">
                  <c:v>16-05-2023</c:v>
                </c:pt>
                <c:pt idx="638">
                  <c:v>17-05-2023</c:v>
                </c:pt>
                <c:pt idx="639">
                  <c:v>18-05-2023</c:v>
                </c:pt>
                <c:pt idx="640">
                  <c:v>19-05-2023</c:v>
                </c:pt>
                <c:pt idx="641">
                  <c:v>22-05-2023</c:v>
                </c:pt>
                <c:pt idx="642">
                  <c:v>23-05-2023</c:v>
                </c:pt>
                <c:pt idx="643">
                  <c:v>24-05-2023</c:v>
                </c:pt>
                <c:pt idx="644">
                  <c:v>25-05-2023</c:v>
                </c:pt>
                <c:pt idx="645">
                  <c:v>26-05-2023</c:v>
                </c:pt>
                <c:pt idx="646">
                  <c:v>30-05-2023</c:v>
                </c:pt>
                <c:pt idx="647">
                  <c:v>31-05-2023</c:v>
                </c:pt>
                <c:pt idx="648">
                  <c:v>01-06-2023</c:v>
                </c:pt>
                <c:pt idx="649">
                  <c:v>02-06-2023</c:v>
                </c:pt>
                <c:pt idx="650">
                  <c:v>05-06-2023</c:v>
                </c:pt>
                <c:pt idx="651">
                  <c:v>06-06-2023</c:v>
                </c:pt>
                <c:pt idx="652">
                  <c:v>07-06-2023</c:v>
                </c:pt>
                <c:pt idx="653">
                  <c:v>08-06-2023</c:v>
                </c:pt>
                <c:pt idx="654">
                  <c:v>09-06-2023</c:v>
                </c:pt>
                <c:pt idx="655">
                  <c:v>12-06-2023</c:v>
                </c:pt>
                <c:pt idx="656">
                  <c:v>13-06-2023</c:v>
                </c:pt>
                <c:pt idx="657">
                  <c:v>14-06-2023</c:v>
                </c:pt>
                <c:pt idx="658">
                  <c:v>15-06-2023</c:v>
                </c:pt>
                <c:pt idx="659">
                  <c:v>16-06-2023</c:v>
                </c:pt>
                <c:pt idx="660">
                  <c:v>20-06-2023</c:v>
                </c:pt>
                <c:pt idx="661">
                  <c:v>21-06-2023</c:v>
                </c:pt>
                <c:pt idx="662">
                  <c:v>22-06-2023</c:v>
                </c:pt>
                <c:pt idx="663">
                  <c:v>23-06-2023</c:v>
                </c:pt>
                <c:pt idx="664">
                  <c:v>26-06-2023</c:v>
                </c:pt>
                <c:pt idx="665">
                  <c:v>27-06-2023</c:v>
                </c:pt>
                <c:pt idx="666">
                  <c:v>28-06-2023</c:v>
                </c:pt>
                <c:pt idx="667">
                  <c:v>29-06-2023</c:v>
                </c:pt>
                <c:pt idx="668">
                  <c:v>30-06-2023</c:v>
                </c:pt>
                <c:pt idx="669">
                  <c:v>03-07-2023</c:v>
                </c:pt>
                <c:pt idx="670">
                  <c:v>05-07-2023</c:v>
                </c:pt>
                <c:pt idx="671">
                  <c:v>06-07-2023</c:v>
                </c:pt>
                <c:pt idx="672">
                  <c:v>07-07-2023</c:v>
                </c:pt>
                <c:pt idx="673">
                  <c:v>10-07-2023</c:v>
                </c:pt>
                <c:pt idx="674">
                  <c:v>11-07-2023</c:v>
                </c:pt>
                <c:pt idx="675">
                  <c:v>12-07-2023</c:v>
                </c:pt>
                <c:pt idx="676">
                  <c:v>13-07-2023</c:v>
                </c:pt>
                <c:pt idx="677">
                  <c:v>14-07-2023</c:v>
                </c:pt>
                <c:pt idx="678">
                  <c:v>17-07-2023</c:v>
                </c:pt>
                <c:pt idx="679">
                  <c:v>18-07-2023</c:v>
                </c:pt>
                <c:pt idx="680">
                  <c:v>19-07-2023</c:v>
                </c:pt>
                <c:pt idx="681">
                  <c:v>20-07-2023</c:v>
                </c:pt>
                <c:pt idx="682">
                  <c:v>21-07-2023</c:v>
                </c:pt>
                <c:pt idx="683">
                  <c:v>24-07-2023</c:v>
                </c:pt>
                <c:pt idx="684">
                  <c:v>25-07-2023</c:v>
                </c:pt>
                <c:pt idx="685">
                  <c:v>26-07-2023</c:v>
                </c:pt>
                <c:pt idx="686">
                  <c:v>27-07-2023</c:v>
                </c:pt>
                <c:pt idx="687">
                  <c:v>28-07-2023</c:v>
                </c:pt>
                <c:pt idx="688">
                  <c:v>31-07-2023</c:v>
                </c:pt>
                <c:pt idx="689">
                  <c:v>01-08-2023</c:v>
                </c:pt>
                <c:pt idx="690">
                  <c:v>02-08-2023</c:v>
                </c:pt>
                <c:pt idx="691">
                  <c:v>03-08-2023</c:v>
                </c:pt>
                <c:pt idx="692">
                  <c:v>04-08-2023</c:v>
                </c:pt>
                <c:pt idx="693">
                  <c:v>07-08-2023</c:v>
                </c:pt>
                <c:pt idx="694">
                  <c:v>08-08-2023</c:v>
                </c:pt>
                <c:pt idx="695">
                  <c:v>09-08-2023</c:v>
                </c:pt>
                <c:pt idx="696">
                  <c:v>10-08-2023</c:v>
                </c:pt>
                <c:pt idx="697">
                  <c:v>11-08-2023</c:v>
                </c:pt>
                <c:pt idx="698">
                  <c:v>14-08-2023</c:v>
                </c:pt>
                <c:pt idx="699">
                  <c:v>15-08-2023</c:v>
                </c:pt>
                <c:pt idx="700">
                  <c:v>16-08-2023</c:v>
                </c:pt>
                <c:pt idx="701">
                  <c:v>17-08-2023</c:v>
                </c:pt>
                <c:pt idx="702">
                  <c:v>18-08-2023</c:v>
                </c:pt>
                <c:pt idx="703">
                  <c:v>21-08-2023</c:v>
                </c:pt>
                <c:pt idx="704">
                  <c:v>22-08-2023</c:v>
                </c:pt>
                <c:pt idx="705">
                  <c:v>23-08-2023</c:v>
                </c:pt>
                <c:pt idx="706">
                  <c:v>24-08-2023</c:v>
                </c:pt>
                <c:pt idx="707">
                  <c:v>25-08-2023</c:v>
                </c:pt>
                <c:pt idx="708">
                  <c:v>28-08-2023</c:v>
                </c:pt>
                <c:pt idx="709">
                  <c:v>29-08-2023</c:v>
                </c:pt>
                <c:pt idx="710">
                  <c:v>30-08-2023</c:v>
                </c:pt>
                <c:pt idx="711">
                  <c:v>31-08-2023</c:v>
                </c:pt>
                <c:pt idx="712">
                  <c:v>01-09-2023</c:v>
                </c:pt>
                <c:pt idx="713">
                  <c:v>05-09-2023</c:v>
                </c:pt>
                <c:pt idx="714">
                  <c:v>06-09-2023</c:v>
                </c:pt>
                <c:pt idx="715">
                  <c:v>07-09-2023</c:v>
                </c:pt>
                <c:pt idx="716">
                  <c:v>08-09-2023</c:v>
                </c:pt>
                <c:pt idx="717">
                  <c:v>11-09-2023</c:v>
                </c:pt>
                <c:pt idx="718">
                  <c:v>12-09-2023</c:v>
                </c:pt>
                <c:pt idx="719">
                  <c:v>13-09-2023</c:v>
                </c:pt>
                <c:pt idx="720">
                  <c:v>14-09-2023</c:v>
                </c:pt>
                <c:pt idx="721">
                  <c:v>15-09-2023</c:v>
                </c:pt>
                <c:pt idx="722">
                  <c:v>18-09-2023</c:v>
                </c:pt>
                <c:pt idx="723">
                  <c:v>19-09-2023</c:v>
                </c:pt>
                <c:pt idx="724">
                  <c:v>20-09-2023</c:v>
                </c:pt>
                <c:pt idx="725">
                  <c:v>21-09-2023</c:v>
                </c:pt>
                <c:pt idx="726">
                  <c:v>22-09-2023</c:v>
                </c:pt>
                <c:pt idx="727">
                  <c:v>25-09-2023</c:v>
                </c:pt>
                <c:pt idx="728">
                  <c:v>26-09-2023</c:v>
                </c:pt>
                <c:pt idx="729">
                  <c:v>27-09-2023</c:v>
                </c:pt>
                <c:pt idx="730">
                  <c:v>28-09-2023</c:v>
                </c:pt>
                <c:pt idx="731">
                  <c:v>29-09-2023</c:v>
                </c:pt>
                <c:pt idx="732">
                  <c:v>02-10-2023</c:v>
                </c:pt>
                <c:pt idx="733">
                  <c:v>03-10-2023</c:v>
                </c:pt>
                <c:pt idx="734">
                  <c:v>04-10-2023</c:v>
                </c:pt>
                <c:pt idx="735">
                  <c:v>05-10-2023</c:v>
                </c:pt>
                <c:pt idx="736">
                  <c:v>06-10-2023</c:v>
                </c:pt>
                <c:pt idx="737">
                  <c:v>09-10-2023</c:v>
                </c:pt>
                <c:pt idx="738">
                  <c:v>10-10-2023</c:v>
                </c:pt>
                <c:pt idx="739">
                  <c:v>11-10-2023</c:v>
                </c:pt>
                <c:pt idx="740">
                  <c:v>12-10-2023</c:v>
                </c:pt>
                <c:pt idx="741">
                  <c:v>13-10-2023</c:v>
                </c:pt>
                <c:pt idx="742">
                  <c:v>16-10-2023</c:v>
                </c:pt>
                <c:pt idx="743">
                  <c:v>17-10-2023</c:v>
                </c:pt>
                <c:pt idx="744">
                  <c:v>18-10-2023</c:v>
                </c:pt>
                <c:pt idx="745">
                  <c:v>19-10-2023</c:v>
                </c:pt>
                <c:pt idx="746">
                  <c:v>20-10-2023</c:v>
                </c:pt>
                <c:pt idx="747">
                  <c:v>23-10-2023</c:v>
                </c:pt>
                <c:pt idx="748">
                  <c:v>24-10-2023</c:v>
                </c:pt>
                <c:pt idx="749">
                  <c:v>25-10-2023</c:v>
                </c:pt>
                <c:pt idx="750">
                  <c:v>26-10-2023</c:v>
                </c:pt>
                <c:pt idx="751">
                  <c:v>27-10-2023</c:v>
                </c:pt>
                <c:pt idx="752">
                  <c:v>30-10-2023</c:v>
                </c:pt>
                <c:pt idx="753">
                  <c:v>31-10-2023</c:v>
                </c:pt>
                <c:pt idx="754">
                  <c:v>01-11-2023</c:v>
                </c:pt>
                <c:pt idx="755">
                  <c:v>02-11-2023</c:v>
                </c:pt>
                <c:pt idx="756">
                  <c:v>03-11-2023</c:v>
                </c:pt>
                <c:pt idx="757">
                  <c:v>06-11-2023</c:v>
                </c:pt>
                <c:pt idx="758">
                  <c:v>07-11-2023</c:v>
                </c:pt>
                <c:pt idx="759">
                  <c:v>08-11-2023</c:v>
                </c:pt>
                <c:pt idx="760">
                  <c:v>09-11-2023</c:v>
                </c:pt>
                <c:pt idx="761">
                  <c:v>10-11-2023</c:v>
                </c:pt>
                <c:pt idx="762">
                  <c:v>13-11-2023</c:v>
                </c:pt>
                <c:pt idx="763">
                  <c:v>14-11-2023</c:v>
                </c:pt>
                <c:pt idx="764">
                  <c:v>15-11-2023</c:v>
                </c:pt>
                <c:pt idx="765">
                  <c:v>16-11-2023</c:v>
                </c:pt>
                <c:pt idx="766">
                  <c:v>17-11-2023</c:v>
                </c:pt>
                <c:pt idx="767">
                  <c:v>20-11-2023</c:v>
                </c:pt>
                <c:pt idx="768">
                  <c:v>21-11-2023</c:v>
                </c:pt>
                <c:pt idx="769">
                  <c:v>22-11-2023</c:v>
                </c:pt>
                <c:pt idx="770">
                  <c:v>24-11-2023</c:v>
                </c:pt>
                <c:pt idx="771">
                  <c:v>27-11-2023</c:v>
                </c:pt>
                <c:pt idx="772">
                  <c:v>28-11-2023</c:v>
                </c:pt>
                <c:pt idx="773">
                  <c:v>29-11-2023</c:v>
                </c:pt>
                <c:pt idx="774">
                  <c:v>30-11-2023</c:v>
                </c:pt>
                <c:pt idx="775">
                  <c:v>01-12-2023</c:v>
                </c:pt>
                <c:pt idx="776">
                  <c:v>04-12-2023</c:v>
                </c:pt>
                <c:pt idx="777">
                  <c:v>05-12-2023</c:v>
                </c:pt>
                <c:pt idx="778">
                  <c:v>06-12-2023</c:v>
                </c:pt>
                <c:pt idx="779">
                  <c:v>07-12-2023</c:v>
                </c:pt>
                <c:pt idx="780">
                  <c:v>08-12-2023</c:v>
                </c:pt>
                <c:pt idx="781">
                  <c:v>11-12-2023</c:v>
                </c:pt>
                <c:pt idx="782">
                  <c:v>12-12-2023</c:v>
                </c:pt>
                <c:pt idx="783">
                  <c:v>13-12-2023</c:v>
                </c:pt>
                <c:pt idx="784">
                  <c:v>14-12-2023</c:v>
                </c:pt>
                <c:pt idx="785">
                  <c:v>15-12-2023</c:v>
                </c:pt>
                <c:pt idx="786">
                  <c:v>18-12-2023</c:v>
                </c:pt>
                <c:pt idx="787">
                  <c:v>19-12-2023</c:v>
                </c:pt>
                <c:pt idx="788">
                  <c:v>20-12-2023</c:v>
                </c:pt>
                <c:pt idx="789">
                  <c:v>21-12-2023</c:v>
                </c:pt>
                <c:pt idx="790">
                  <c:v>22-12-2023</c:v>
                </c:pt>
                <c:pt idx="791">
                  <c:v>26-12-2023</c:v>
                </c:pt>
                <c:pt idx="792">
                  <c:v>27-12-2023</c:v>
                </c:pt>
                <c:pt idx="793">
                  <c:v>28-12-2023</c:v>
                </c:pt>
                <c:pt idx="794">
                  <c:v>29-12-2023</c:v>
                </c:pt>
                <c:pt idx="795">
                  <c:v>02-01-2024</c:v>
                </c:pt>
                <c:pt idx="796">
                  <c:v>03-01-2024</c:v>
                </c:pt>
                <c:pt idx="797">
                  <c:v>04-01-2024</c:v>
                </c:pt>
                <c:pt idx="798">
                  <c:v>05-01-2024</c:v>
                </c:pt>
                <c:pt idx="799">
                  <c:v>08-01-2024</c:v>
                </c:pt>
                <c:pt idx="800">
                  <c:v>09-01-2024</c:v>
                </c:pt>
                <c:pt idx="801">
                  <c:v>10-01-2024</c:v>
                </c:pt>
                <c:pt idx="802">
                  <c:v>11-01-2024</c:v>
                </c:pt>
                <c:pt idx="803">
                  <c:v>12-01-2024</c:v>
                </c:pt>
                <c:pt idx="804">
                  <c:v>16-01-2024</c:v>
                </c:pt>
                <c:pt idx="805">
                  <c:v>17-01-2024</c:v>
                </c:pt>
                <c:pt idx="806">
                  <c:v>18-01-2024</c:v>
                </c:pt>
                <c:pt idx="807">
                  <c:v>19-01-2024</c:v>
                </c:pt>
                <c:pt idx="808">
                  <c:v>22-01-2024</c:v>
                </c:pt>
                <c:pt idx="809">
                  <c:v>23-01-2024</c:v>
                </c:pt>
                <c:pt idx="810">
                  <c:v>24-01-2024</c:v>
                </c:pt>
                <c:pt idx="811">
                  <c:v>25-01-2024</c:v>
                </c:pt>
                <c:pt idx="812">
                  <c:v>26-01-2024</c:v>
                </c:pt>
                <c:pt idx="813">
                  <c:v>29-01-2024</c:v>
                </c:pt>
                <c:pt idx="814">
                  <c:v>30-01-2024</c:v>
                </c:pt>
                <c:pt idx="815">
                  <c:v>31-01-2024</c:v>
                </c:pt>
                <c:pt idx="816">
                  <c:v>01-02-2024</c:v>
                </c:pt>
                <c:pt idx="817">
                  <c:v>02-02-2024</c:v>
                </c:pt>
                <c:pt idx="818">
                  <c:v>05-02-2024</c:v>
                </c:pt>
                <c:pt idx="819">
                  <c:v>06-02-2024</c:v>
                </c:pt>
                <c:pt idx="820">
                  <c:v>07-02-2024</c:v>
                </c:pt>
                <c:pt idx="821">
                  <c:v>08-02-2024</c:v>
                </c:pt>
                <c:pt idx="822">
                  <c:v>09-02-2024</c:v>
                </c:pt>
                <c:pt idx="823">
                  <c:v>12-02-2024</c:v>
                </c:pt>
                <c:pt idx="824">
                  <c:v>13-02-2024</c:v>
                </c:pt>
                <c:pt idx="825">
                  <c:v>14-02-2024</c:v>
                </c:pt>
                <c:pt idx="826">
                  <c:v>15-02-2024</c:v>
                </c:pt>
                <c:pt idx="827">
                  <c:v>16-02-2024</c:v>
                </c:pt>
                <c:pt idx="828">
                  <c:v>20-02-2024</c:v>
                </c:pt>
                <c:pt idx="829">
                  <c:v>21-02-2024</c:v>
                </c:pt>
                <c:pt idx="830">
                  <c:v>22-02-2024</c:v>
                </c:pt>
                <c:pt idx="831">
                  <c:v>23-02-2024</c:v>
                </c:pt>
                <c:pt idx="832">
                  <c:v>26-02-2024</c:v>
                </c:pt>
                <c:pt idx="833">
                  <c:v>27-02-2024</c:v>
                </c:pt>
                <c:pt idx="834">
                  <c:v>28-02-2024</c:v>
                </c:pt>
                <c:pt idx="835">
                  <c:v>29-02-2024</c:v>
                </c:pt>
                <c:pt idx="836">
                  <c:v>01-03-2024</c:v>
                </c:pt>
                <c:pt idx="837">
                  <c:v>04-03-2024</c:v>
                </c:pt>
                <c:pt idx="838">
                  <c:v>05-03-2024</c:v>
                </c:pt>
                <c:pt idx="839">
                  <c:v>06-03-2024</c:v>
                </c:pt>
                <c:pt idx="840">
                  <c:v>07-03-2024</c:v>
                </c:pt>
                <c:pt idx="841">
                  <c:v>08-03-2024</c:v>
                </c:pt>
                <c:pt idx="842">
                  <c:v>11-03-2024</c:v>
                </c:pt>
                <c:pt idx="843">
                  <c:v>12-03-2024</c:v>
                </c:pt>
                <c:pt idx="844">
                  <c:v>13-03-2024</c:v>
                </c:pt>
                <c:pt idx="845">
                  <c:v>14-03-2024</c:v>
                </c:pt>
                <c:pt idx="846">
                  <c:v>15-03-2024</c:v>
                </c:pt>
                <c:pt idx="847">
                  <c:v>18-03-2024</c:v>
                </c:pt>
                <c:pt idx="848">
                  <c:v>19-03-2024</c:v>
                </c:pt>
                <c:pt idx="849">
                  <c:v>20-03-2024</c:v>
                </c:pt>
                <c:pt idx="850">
                  <c:v>21-03-2024</c:v>
                </c:pt>
                <c:pt idx="851">
                  <c:v>22-03-2024</c:v>
                </c:pt>
                <c:pt idx="852">
                  <c:v>25-03-2024</c:v>
                </c:pt>
                <c:pt idx="853">
                  <c:v>26-03-2024</c:v>
                </c:pt>
                <c:pt idx="854">
                  <c:v>27-03-2024</c:v>
                </c:pt>
                <c:pt idx="855">
                  <c:v>28-03-2024</c:v>
                </c:pt>
                <c:pt idx="856">
                  <c:v>01-04-2024</c:v>
                </c:pt>
                <c:pt idx="857">
                  <c:v>02-04-2024</c:v>
                </c:pt>
                <c:pt idx="858">
                  <c:v>03-04-2024</c:v>
                </c:pt>
                <c:pt idx="859">
                  <c:v>04-04-2024</c:v>
                </c:pt>
                <c:pt idx="860">
                  <c:v>05-04-2024</c:v>
                </c:pt>
                <c:pt idx="861">
                  <c:v>08-04-2024</c:v>
                </c:pt>
                <c:pt idx="862">
                  <c:v>09-04-2024</c:v>
                </c:pt>
                <c:pt idx="863">
                  <c:v>10-04-2024</c:v>
                </c:pt>
                <c:pt idx="864">
                  <c:v>11-04-2024</c:v>
                </c:pt>
                <c:pt idx="865">
                  <c:v>12-04-2024</c:v>
                </c:pt>
                <c:pt idx="866">
                  <c:v>15-04-2024</c:v>
                </c:pt>
                <c:pt idx="867">
                  <c:v>16-04-2024</c:v>
                </c:pt>
                <c:pt idx="868">
                  <c:v>17-04-2024</c:v>
                </c:pt>
                <c:pt idx="869">
                  <c:v>18-04-2024</c:v>
                </c:pt>
                <c:pt idx="870">
                  <c:v>19-04-2024</c:v>
                </c:pt>
                <c:pt idx="871">
                  <c:v>22-04-2024</c:v>
                </c:pt>
                <c:pt idx="872">
                  <c:v>23-04-2024</c:v>
                </c:pt>
                <c:pt idx="873">
                  <c:v>24-04-2024</c:v>
                </c:pt>
                <c:pt idx="874">
                  <c:v>25-04-2024</c:v>
                </c:pt>
                <c:pt idx="875">
                  <c:v>26-04-2024</c:v>
                </c:pt>
                <c:pt idx="876">
                  <c:v>29-04-2024</c:v>
                </c:pt>
                <c:pt idx="877">
                  <c:v>30-04-2024</c:v>
                </c:pt>
                <c:pt idx="878">
                  <c:v>01-05-2024</c:v>
                </c:pt>
                <c:pt idx="879">
                  <c:v>02-05-2024</c:v>
                </c:pt>
                <c:pt idx="880">
                  <c:v>03-05-2024</c:v>
                </c:pt>
                <c:pt idx="881">
                  <c:v>06-05-2024</c:v>
                </c:pt>
                <c:pt idx="882">
                  <c:v>07-05-2024</c:v>
                </c:pt>
                <c:pt idx="883">
                  <c:v>08-05-2024</c:v>
                </c:pt>
                <c:pt idx="884">
                  <c:v>09-05-2024</c:v>
                </c:pt>
                <c:pt idx="885">
                  <c:v>10-05-2024</c:v>
                </c:pt>
                <c:pt idx="886">
                  <c:v>13-05-2024</c:v>
                </c:pt>
                <c:pt idx="887">
                  <c:v>14-05-2024</c:v>
                </c:pt>
                <c:pt idx="888">
                  <c:v>15-05-2024</c:v>
                </c:pt>
                <c:pt idx="889">
                  <c:v>16-05-2024</c:v>
                </c:pt>
                <c:pt idx="890">
                  <c:v>17-05-2024</c:v>
                </c:pt>
                <c:pt idx="891">
                  <c:v>20-05-2024</c:v>
                </c:pt>
                <c:pt idx="892">
                  <c:v>21-05-2024</c:v>
                </c:pt>
                <c:pt idx="893">
                  <c:v>22-05-2024</c:v>
                </c:pt>
                <c:pt idx="894">
                  <c:v>23-05-2024</c:v>
                </c:pt>
                <c:pt idx="895">
                  <c:v>24-05-2024</c:v>
                </c:pt>
                <c:pt idx="896">
                  <c:v>28-05-2024</c:v>
                </c:pt>
                <c:pt idx="897">
                  <c:v>29-05-2024</c:v>
                </c:pt>
                <c:pt idx="898">
                  <c:v>30-05-2024</c:v>
                </c:pt>
                <c:pt idx="899">
                  <c:v>31-05-2024</c:v>
                </c:pt>
                <c:pt idx="900">
                  <c:v>03-06-2024</c:v>
                </c:pt>
                <c:pt idx="901">
                  <c:v>04-06-2024</c:v>
                </c:pt>
                <c:pt idx="902">
                  <c:v>05-06-2024</c:v>
                </c:pt>
                <c:pt idx="903">
                  <c:v>06-06-2024</c:v>
                </c:pt>
                <c:pt idx="904">
                  <c:v>07-06-2024</c:v>
                </c:pt>
                <c:pt idx="905">
                  <c:v>10-06-2024</c:v>
                </c:pt>
                <c:pt idx="906">
                  <c:v>11-06-2024</c:v>
                </c:pt>
                <c:pt idx="907">
                  <c:v>12-06-2024</c:v>
                </c:pt>
                <c:pt idx="908">
                  <c:v>13-06-2024</c:v>
                </c:pt>
                <c:pt idx="909">
                  <c:v>14-06-2024</c:v>
                </c:pt>
                <c:pt idx="910">
                  <c:v>17-06-2024</c:v>
                </c:pt>
                <c:pt idx="911">
                  <c:v>18-06-2024</c:v>
                </c:pt>
                <c:pt idx="912">
                  <c:v>20-06-2024</c:v>
                </c:pt>
                <c:pt idx="913">
                  <c:v>21-06-2024</c:v>
                </c:pt>
                <c:pt idx="914">
                  <c:v>24-06-2024</c:v>
                </c:pt>
                <c:pt idx="915">
                  <c:v>25-06-2024</c:v>
                </c:pt>
                <c:pt idx="916">
                  <c:v>26-06-2024</c:v>
                </c:pt>
                <c:pt idx="917">
                  <c:v>27-06-2024</c:v>
                </c:pt>
                <c:pt idx="918">
                  <c:v>28-06-2024</c:v>
                </c:pt>
                <c:pt idx="919">
                  <c:v>01-07-2024</c:v>
                </c:pt>
                <c:pt idx="920">
                  <c:v>02-07-2024</c:v>
                </c:pt>
                <c:pt idx="921">
                  <c:v>03-07-2024</c:v>
                </c:pt>
                <c:pt idx="922">
                  <c:v>05-07-2024</c:v>
                </c:pt>
                <c:pt idx="923">
                  <c:v>08-07-2024</c:v>
                </c:pt>
                <c:pt idx="924">
                  <c:v>09-07-2024</c:v>
                </c:pt>
                <c:pt idx="925">
                  <c:v>10-07-2024</c:v>
                </c:pt>
                <c:pt idx="926">
                  <c:v>11-07-2024</c:v>
                </c:pt>
                <c:pt idx="927">
                  <c:v>12-07-2024</c:v>
                </c:pt>
                <c:pt idx="928">
                  <c:v>15-07-2024</c:v>
                </c:pt>
                <c:pt idx="929">
                  <c:v>16-07-2024</c:v>
                </c:pt>
                <c:pt idx="930">
                  <c:v>17-07-2024</c:v>
                </c:pt>
                <c:pt idx="931">
                  <c:v>18-07-2024</c:v>
                </c:pt>
                <c:pt idx="932">
                  <c:v>19-07-2024</c:v>
                </c:pt>
                <c:pt idx="933">
                  <c:v>22-07-2024</c:v>
                </c:pt>
                <c:pt idx="934">
                  <c:v>23-07-2024</c:v>
                </c:pt>
                <c:pt idx="935">
                  <c:v>24-07-2024</c:v>
                </c:pt>
                <c:pt idx="936">
                  <c:v>25-07-2024</c:v>
                </c:pt>
                <c:pt idx="937">
                  <c:v>26-07-2024</c:v>
                </c:pt>
                <c:pt idx="938">
                  <c:v>29-07-2024</c:v>
                </c:pt>
                <c:pt idx="939">
                  <c:v>30-07-2024</c:v>
                </c:pt>
                <c:pt idx="940">
                  <c:v>31-07-2024</c:v>
                </c:pt>
                <c:pt idx="941">
                  <c:v>01-08-2024</c:v>
                </c:pt>
                <c:pt idx="942">
                  <c:v>02-08-2024</c:v>
                </c:pt>
                <c:pt idx="943">
                  <c:v>05-08-2024</c:v>
                </c:pt>
                <c:pt idx="944">
                  <c:v>06-08-2024</c:v>
                </c:pt>
                <c:pt idx="945">
                  <c:v>07-08-2024</c:v>
                </c:pt>
                <c:pt idx="946">
                  <c:v>08-08-2024</c:v>
                </c:pt>
                <c:pt idx="947">
                  <c:v>09-08-2024</c:v>
                </c:pt>
                <c:pt idx="948">
                  <c:v>12-08-2024</c:v>
                </c:pt>
                <c:pt idx="949">
                  <c:v>13-08-2024</c:v>
                </c:pt>
                <c:pt idx="950">
                  <c:v>14-08-2024</c:v>
                </c:pt>
                <c:pt idx="951">
                  <c:v>15-08-2024</c:v>
                </c:pt>
                <c:pt idx="952">
                  <c:v>16-08-2024</c:v>
                </c:pt>
                <c:pt idx="953">
                  <c:v>19-08-2024</c:v>
                </c:pt>
                <c:pt idx="954">
                  <c:v>20-08-2024</c:v>
                </c:pt>
                <c:pt idx="955">
                  <c:v>21-08-2024</c:v>
                </c:pt>
                <c:pt idx="956">
                  <c:v>22-08-2024</c:v>
                </c:pt>
                <c:pt idx="957">
                  <c:v>23-08-2024</c:v>
                </c:pt>
                <c:pt idx="958">
                  <c:v>26-08-2024</c:v>
                </c:pt>
                <c:pt idx="959">
                  <c:v>27-08-2024</c:v>
                </c:pt>
                <c:pt idx="960">
                  <c:v>28-08-2024</c:v>
                </c:pt>
                <c:pt idx="961">
                  <c:v>29-08-2024</c:v>
                </c:pt>
                <c:pt idx="962">
                  <c:v>30-08-2024</c:v>
                </c:pt>
                <c:pt idx="963">
                  <c:v>03-09-2024</c:v>
                </c:pt>
                <c:pt idx="964">
                  <c:v>04-09-2024</c:v>
                </c:pt>
                <c:pt idx="965">
                  <c:v>05-09-2024</c:v>
                </c:pt>
                <c:pt idx="966">
                  <c:v>06-09-2024</c:v>
                </c:pt>
                <c:pt idx="967">
                  <c:v>09-09-2024</c:v>
                </c:pt>
                <c:pt idx="968">
                  <c:v>10-09-2024</c:v>
                </c:pt>
                <c:pt idx="969">
                  <c:v>11-09-2024</c:v>
                </c:pt>
                <c:pt idx="970">
                  <c:v>12-09-2024</c:v>
                </c:pt>
                <c:pt idx="971">
                  <c:v>13-09-2024</c:v>
                </c:pt>
                <c:pt idx="972">
                  <c:v>16-09-2024</c:v>
                </c:pt>
                <c:pt idx="973">
                  <c:v>17-09-2024</c:v>
                </c:pt>
                <c:pt idx="974">
                  <c:v>18-09-2024</c:v>
                </c:pt>
                <c:pt idx="975">
                  <c:v>19-09-2024</c:v>
                </c:pt>
                <c:pt idx="976">
                  <c:v>20-09-2024</c:v>
                </c:pt>
                <c:pt idx="977">
                  <c:v>23-09-2024</c:v>
                </c:pt>
                <c:pt idx="978">
                  <c:v>24-09-2024</c:v>
                </c:pt>
                <c:pt idx="979">
                  <c:v>25-09-2024</c:v>
                </c:pt>
                <c:pt idx="980">
                  <c:v>26-09-2024</c:v>
                </c:pt>
                <c:pt idx="981">
                  <c:v>27-09-2024</c:v>
                </c:pt>
                <c:pt idx="982">
                  <c:v>30-09-2024</c:v>
                </c:pt>
                <c:pt idx="983">
                  <c:v>01-10-2024</c:v>
                </c:pt>
                <c:pt idx="984">
                  <c:v>02-10-2024</c:v>
                </c:pt>
                <c:pt idx="985">
                  <c:v>03-10-2024</c:v>
                </c:pt>
                <c:pt idx="986">
                  <c:v>04-10-2024</c:v>
                </c:pt>
                <c:pt idx="987">
                  <c:v>07-10-2024</c:v>
                </c:pt>
                <c:pt idx="988">
                  <c:v>08-10-2024</c:v>
                </c:pt>
                <c:pt idx="989">
                  <c:v>09-10-2024</c:v>
                </c:pt>
                <c:pt idx="990">
                  <c:v>10-10-2024</c:v>
                </c:pt>
                <c:pt idx="991">
                  <c:v>11-10-2024</c:v>
                </c:pt>
                <c:pt idx="992">
                  <c:v>14-10-2024</c:v>
                </c:pt>
                <c:pt idx="993">
                  <c:v>15-10-2024</c:v>
                </c:pt>
                <c:pt idx="994">
                  <c:v>16-10-2024</c:v>
                </c:pt>
                <c:pt idx="995">
                  <c:v>17-10-2024</c:v>
                </c:pt>
                <c:pt idx="996">
                  <c:v>18-10-2024</c:v>
                </c:pt>
                <c:pt idx="997">
                  <c:v>21-10-2024</c:v>
                </c:pt>
                <c:pt idx="998">
                  <c:v>22-10-2024</c:v>
                </c:pt>
                <c:pt idx="999">
                  <c:v>23-10-2024</c:v>
                </c:pt>
                <c:pt idx="1000">
                  <c:v>24-10-2024</c:v>
                </c:pt>
                <c:pt idx="1001">
                  <c:v>25-10-2024</c:v>
                </c:pt>
                <c:pt idx="1002">
                  <c:v>28-10-2024</c:v>
                </c:pt>
                <c:pt idx="1003">
                  <c:v>29-10-2024</c:v>
                </c:pt>
                <c:pt idx="1004">
                  <c:v>30-10-2024</c:v>
                </c:pt>
                <c:pt idx="1005">
                  <c:v>31-10-2024</c:v>
                </c:pt>
                <c:pt idx="1006">
                  <c:v>01-11-2024</c:v>
                </c:pt>
                <c:pt idx="1007">
                  <c:v>04-11-2024</c:v>
                </c:pt>
                <c:pt idx="1008">
                  <c:v>05-11-2024</c:v>
                </c:pt>
                <c:pt idx="1009">
                  <c:v>06-11-2024</c:v>
                </c:pt>
                <c:pt idx="1010">
                  <c:v>07-11-2024</c:v>
                </c:pt>
                <c:pt idx="1011">
                  <c:v>08-11-2024</c:v>
                </c:pt>
                <c:pt idx="1012">
                  <c:v>11-11-2024</c:v>
                </c:pt>
                <c:pt idx="1013">
                  <c:v>12-11-2024</c:v>
                </c:pt>
                <c:pt idx="1014">
                  <c:v>13-11-2024</c:v>
                </c:pt>
                <c:pt idx="1015">
                  <c:v>14-11-2024</c:v>
                </c:pt>
                <c:pt idx="1016">
                  <c:v>15-11-2024</c:v>
                </c:pt>
                <c:pt idx="1017">
                  <c:v>18-11-2024</c:v>
                </c:pt>
                <c:pt idx="1018">
                  <c:v>19-11-2024</c:v>
                </c:pt>
                <c:pt idx="1019">
                  <c:v>20-11-2024</c:v>
                </c:pt>
                <c:pt idx="1020">
                  <c:v>21-11-2024</c:v>
                </c:pt>
                <c:pt idx="1021">
                  <c:v>22-11-2024</c:v>
                </c:pt>
                <c:pt idx="1022">
                  <c:v>25-11-2024</c:v>
                </c:pt>
                <c:pt idx="1023">
                  <c:v>26-11-2024</c:v>
                </c:pt>
                <c:pt idx="1024">
                  <c:v>27-11-2024</c:v>
                </c:pt>
                <c:pt idx="1025">
                  <c:v>29-11-2024</c:v>
                </c:pt>
                <c:pt idx="1026">
                  <c:v>02-12-2024</c:v>
                </c:pt>
                <c:pt idx="1027">
                  <c:v>03-12-2024</c:v>
                </c:pt>
                <c:pt idx="1028">
                  <c:v>04-12-2024</c:v>
                </c:pt>
                <c:pt idx="1029">
                  <c:v>05-12-2024</c:v>
                </c:pt>
                <c:pt idx="1030">
                  <c:v>06-12-2024</c:v>
                </c:pt>
                <c:pt idx="1031">
                  <c:v>09-12-2024</c:v>
                </c:pt>
                <c:pt idx="1032">
                  <c:v>10-12-2024</c:v>
                </c:pt>
                <c:pt idx="1033">
                  <c:v>11-12-2024</c:v>
                </c:pt>
                <c:pt idx="1034">
                  <c:v>12-12-2024</c:v>
                </c:pt>
                <c:pt idx="1035">
                  <c:v>13-12-2024</c:v>
                </c:pt>
                <c:pt idx="1036">
                  <c:v>16-12-2024</c:v>
                </c:pt>
                <c:pt idx="1037">
                  <c:v>17-12-2024</c:v>
                </c:pt>
                <c:pt idx="1038">
                  <c:v>18-12-2024</c:v>
                </c:pt>
                <c:pt idx="1039">
                  <c:v>19-12-2024</c:v>
                </c:pt>
                <c:pt idx="1040">
                  <c:v>20-12-2024</c:v>
                </c:pt>
                <c:pt idx="1041">
                  <c:v>23-12-2024</c:v>
                </c:pt>
                <c:pt idx="1042">
                  <c:v>24-12-2024</c:v>
                </c:pt>
                <c:pt idx="1043">
                  <c:v>26-12-2024</c:v>
                </c:pt>
                <c:pt idx="1044">
                  <c:v>27-12-2024</c:v>
                </c:pt>
                <c:pt idx="1045">
                  <c:v>30-12-2024</c:v>
                </c:pt>
                <c:pt idx="1046">
                  <c:v>31-12-2024</c:v>
                </c:pt>
                <c:pt idx="1047">
                  <c:v>02-01-2025</c:v>
                </c:pt>
                <c:pt idx="1048">
                  <c:v>03-01-2025</c:v>
                </c:pt>
                <c:pt idx="1049">
                  <c:v>06-01-2025</c:v>
                </c:pt>
                <c:pt idx="1050">
                  <c:v>07-01-2025</c:v>
                </c:pt>
                <c:pt idx="1051">
                  <c:v>08-01-2025</c:v>
                </c:pt>
                <c:pt idx="1052">
                  <c:v>10-01-2025</c:v>
                </c:pt>
                <c:pt idx="1053">
                  <c:v>13-01-2025</c:v>
                </c:pt>
                <c:pt idx="1054">
                  <c:v>14-01-2025</c:v>
                </c:pt>
                <c:pt idx="1055">
                  <c:v>15-01-2025</c:v>
                </c:pt>
                <c:pt idx="1056">
                  <c:v>16-01-2025</c:v>
                </c:pt>
                <c:pt idx="1057">
                  <c:v>17-01-2025</c:v>
                </c:pt>
                <c:pt idx="1058">
                  <c:v>21-01-2025</c:v>
                </c:pt>
                <c:pt idx="1059">
                  <c:v>22-01-2025</c:v>
                </c:pt>
                <c:pt idx="1060">
                  <c:v>23-01-2025</c:v>
                </c:pt>
                <c:pt idx="1061">
                  <c:v>24-01-2025</c:v>
                </c:pt>
                <c:pt idx="1062">
                  <c:v>27-01-2025</c:v>
                </c:pt>
                <c:pt idx="1063">
                  <c:v>28-01-2025</c:v>
                </c:pt>
                <c:pt idx="1064">
                  <c:v>29-01-2025</c:v>
                </c:pt>
                <c:pt idx="1065">
                  <c:v>30-01-2025</c:v>
                </c:pt>
                <c:pt idx="1066">
                  <c:v>31-01-2025</c:v>
                </c:pt>
                <c:pt idx="1067">
                  <c:v>03-02-2025</c:v>
                </c:pt>
                <c:pt idx="1068">
                  <c:v>04-02-2025</c:v>
                </c:pt>
                <c:pt idx="1069">
                  <c:v>05-02-2025</c:v>
                </c:pt>
                <c:pt idx="1070">
                  <c:v>06-02-2025</c:v>
                </c:pt>
                <c:pt idx="1071">
                  <c:v>07-02-2025</c:v>
                </c:pt>
                <c:pt idx="1072">
                  <c:v>10-02-2025</c:v>
                </c:pt>
                <c:pt idx="1073">
                  <c:v>11-02-2025</c:v>
                </c:pt>
                <c:pt idx="1074">
                  <c:v>12-02-2025</c:v>
                </c:pt>
                <c:pt idx="1075">
                  <c:v>13-02-2025</c:v>
                </c:pt>
                <c:pt idx="1076">
                  <c:v>14-02-2025</c:v>
                </c:pt>
                <c:pt idx="1077">
                  <c:v>18-02-2025</c:v>
                </c:pt>
                <c:pt idx="1078">
                  <c:v>19-02-2025</c:v>
                </c:pt>
                <c:pt idx="1079">
                  <c:v>20-02-2025</c:v>
                </c:pt>
                <c:pt idx="1080">
                  <c:v>21-02-2025</c:v>
                </c:pt>
                <c:pt idx="1081">
                  <c:v>24-02-2025</c:v>
                </c:pt>
                <c:pt idx="1082">
                  <c:v>25-02-2025</c:v>
                </c:pt>
                <c:pt idx="1083">
                  <c:v>26-02-2025</c:v>
                </c:pt>
                <c:pt idx="1084">
                  <c:v>27-02-2025</c:v>
                </c:pt>
                <c:pt idx="1085">
                  <c:v>28-02-2025</c:v>
                </c:pt>
                <c:pt idx="1086">
                  <c:v>03-03-2025</c:v>
                </c:pt>
                <c:pt idx="1087">
                  <c:v>04-03-2025</c:v>
                </c:pt>
                <c:pt idx="1088">
                  <c:v>05-03-2025</c:v>
                </c:pt>
                <c:pt idx="1089">
                  <c:v>06-03-2025</c:v>
                </c:pt>
                <c:pt idx="1090">
                  <c:v>07-03-2025</c:v>
                </c:pt>
                <c:pt idx="1091">
                  <c:v>10-03-2025</c:v>
                </c:pt>
                <c:pt idx="1092">
                  <c:v>11-03-2025</c:v>
                </c:pt>
                <c:pt idx="1093">
                  <c:v>12-03-2025</c:v>
                </c:pt>
                <c:pt idx="1094">
                  <c:v>13-03-2025</c:v>
                </c:pt>
                <c:pt idx="1095">
                  <c:v>14-03-2025</c:v>
                </c:pt>
                <c:pt idx="1096">
                  <c:v>17-03-2025</c:v>
                </c:pt>
                <c:pt idx="1097">
                  <c:v>18-03-2025</c:v>
                </c:pt>
                <c:pt idx="1098">
                  <c:v>19-03-2025</c:v>
                </c:pt>
                <c:pt idx="1099">
                  <c:v>20-03-2025</c:v>
                </c:pt>
                <c:pt idx="1100">
                  <c:v>21-03-2025</c:v>
                </c:pt>
                <c:pt idx="1101">
                  <c:v>24-03-2025</c:v>
                </c:pt>
                <c:pt idx="1102">
                  <c:v>25-03-2025</c:v>
                </c:pt>
                <c:pt idx="1103">
                  <c:v>26-03-2025</c:v>
                </c:pt>
                <c:pt idx="1104">
                  <c:v>27-03-2025</c:v>
                </c:pt>
                <c:pt idx="1105">
                  <c:v>28-03-2025</c:v>
                </c:pt>
                <c:pt idx="1106">
                  <c:v>31-03-2025</c:v>
                </c:pt>
                <c:pt idx="1107">
                  <c:v>01-04-2025</c:v>
                </c:pt>
                <c:pt idx="1108">
                  <c:v>02-04-2025</c:v>
                </c:pt>
                <c:pt idx="1109">
                  <c:v>03-04-2025</c:v>
                </c:pt>
                <c:pt idx="1110">
                  <c:v>04-04-2025</c:v>
                </c:pt>
                <c:pt idx="1111">
                  <c:v>07-04-2025</c:v>
                </c:pt>
                <c:pt idx="1112">
                  <c:v>08-04-2025</c:v>
                </c:pt>
                <c:pt idx="1113">
                  <c:v>09-04-2025</c:v>
                </c:pt>
                <c:pt idx="1114">
                  <c:v>10-04-2025</c:v>
                </c:pt>
                <c:pt idx="1115">
                  <c:v>11-04-2025</c:v>
                </c:pt>
                <c:pt idx="1116">
                  <c:v>14-04-2025</c:v>
                </c:pt>
                <c:pt idx="1117">
                  <c:v>15-04-2025</c:v>
                </c:pt>
                <c:pt idx="1118">
                  <c:v>16-04-2025</c:v>
                </c:pt>
                <c:pt idx="1119">
                  <c:v>17-04-2025</c:v>
                </c:pt>
                <c:pt idx="1120">
                  <c:v>21-04-2025</c:v>
                </c:pt>
                <c:pt idx="1121">
                  <c:v>22-04-2025</c:v>
                </c:pt>
                <c:pt idx="1122">
                  <c:v>23-04-2025</c:v>
                </c:pt>
                <c:pt idx="1123">
                  <c:v>24-04-2025</c:v>
                </c:pt>
                <c:pt idx="1124">
                  <c:v>25-04-2025</c:v>
                </c:pt>
                <c:pt idx="1125">
                  <c:v>28-04-2025</c:v>
                </c:pt>
                <c:pt idx="1126">
                  <c:v>29-04-2025</c:v>
                </c:pt>
                <c:pt idx="1127">
                  <c:v>30-04-2025</c:v>
                </c:pt>
                <c:pt idx="1128">
                  <c:v>01-05-2025</c:v>
                </c:pt>
                <c:pt idx="1129">
                  <c:v>02-05-2025</c:v>
                </c:pt>
                <c:pt idx="1130">
                  <c:v>05-05-2025</c:v>
                </c:pt>
                <c:pt idx="1131">
                  <c:v>06-05-2025</c:v>
                </c:pt>
                <c:pt idx="1132">
                  <c:v>07-05-2025</c:v>
                </c:pt>
                <c:pt idx="1133">
                  <c:v>08-05-2025</c:v>
                </c:pt>
                <c:pt idx="1134">
                  <c:v>09-05-2025</c:v>
                </c:pt>
                <c:pt idx="1135">
                  <c:v>12-05-2025</c:v>
                </c:pt>
                <c:pt idx="1136">
                  <c:v>13-05-2025</c:v>
                </c:pt>
                <c:pt idx="1137">
                  <c:v>14-05-2025</c:v>
                </c:pt>
                <c:pt idx="1138">
                  <c:v>15-05-2025</c:v>
                </c:pt>
                <c:pt idx="1139">
                  <c:v>16-05-2025</c:v>
                </c:pt>
                <c:pt idx="1140">
                  <c:v>19-05-2025</c:v>
                </c:pt>
                <c:pt idx="1141">
                  <c:v>20-05-2025</c:v>
                </c:pt>
                <c:pt idx="1142">
                  <c:v>21-05-2025</c:v>
                </c:pt>
                <c:pt idx="1143">
                  <c:v>22-05-2025</c:v>
                </c:pt>
                <c:pt idx="1144">
                  <c:v>23-05-2025</c:v>
                </c:pt>
                <c:pt idx="1145">
                  <c:v>27-05-2025</c:v>
                </c:pt>
                <c:pt idx="1146">
                  <c:v>28-05-2025</c:v>
                </c:pt>
                <c:pt idx="1147">
                  <c:v>29-05-2025</c:v>
                </c:pt>
                <c:pt idx="1148">
                  <c:v>30-05-2025</c:v>
                </c:pt>
                <c:pt idx="1149">
                  <c:v>02-06-2025</c:v>
                </c:pt>
                <c:pt idx="1150">
                  <c:v>03-06-2025</c:v>
                </c:pt>
                <c:pt idx="1151">
                  <c:v>04-06-2025</c:v>
                </c:pt>
                <c:pt idx="1152">
                  <c:v>05-06-2025</c:v>
                </c:pt>
                <c:pt idx="1153">
                  <c:v>06-06-2025</c:v>
                </c:pt>
                <c:pt idx="1154">
                  <c:v>09-06-2025</c:v>
                </c:pt>
                <c:pt idx="1155">
                  <c:v>10-06-2025</c:v>
                </c:pt>
                <c:pt idx="1156">
                  <c:v>11-06-2025</c:v>
                </c:pt>
                <c:pt idx="1157">
                  <c:v>12-06-2025</c:v>
                </c:pt>
                <c:pt idx="1158">
                  <c:v>13-06-2025</c:v>
                </c:pt>
                <c:pt idx="1159">
                  <c:v>16-06-2025</c:v>
                </c:pt>
                <c:pt idx="1160">
                  <c:v>17-06-2025</c:v>
                </c:pt>
                <c:pt idx="1161">
                  <c:v>18-06-2025</c:v>
                </c:pt>
                <c:pt idx="1162">
                  <c:v>20-06-2025</c:v>
                </c:pt>
                <c:pt idx="1163">
                  <c:v>23-06-2025</c:v>
                </c:pt>
                <c:pt idx="1164">
                  <c:v>24-06-2025</c:v>
                </c:pt>
                <c:pt idx="1165">
                  <c:v>25-06-2025</c:v>
                </c:pt>
                <c:pt idx="1166">
                  <c:v>26-06-2025</c:v>
                </c:pt>
                <c:pt idx="1167">
                  <c:v>27-06-2025</c:v>
                </c:pt>
                <c:pt idx="1168">
                  <c:v>30-06-2025</c:v>
                </c:pt>
                <c:pt idx="1169">
                  <c:v>01-07-2025</c:v>
                </c:pt>
                <c:pt idx="1170">
                  <c:v>02-07-2025</c:v>
                </c:pt>
                <c:pt idx="1171">
                  <c:v>03-07-2025</c:v>
                </c:pt>
                <c:pt idx="1172">
                  <c:v>07-07-2025</c:v>
                </c:pt>
                <c:pt idx="1173">
                  <c:v>08-07-2025</c:v>
                </c:pt>
                <c:pt idx="1174">
                  <c:v>09-07-2025</c:v>
                </c:pt>
                <c:pt idx="1175">
                  <c:v>10-07-2025</c:v>
                </c:pt>
                <c:pt idx="1176">
                  <c:v>11-07-2025</c:v>
                </c:pt>
                <c:pt idx="1177">
                  <c:v>14-07-2025</c:v>
                </c:pt>
                <c:pt idx="1178">
                  <c:v>15-07-2025</c:v>
                </c:pt>
                <c:pt idx="1179">
                  <c:v>16-07-2025</c:v>
                </c:pt>
                <c:pt idx="1180">
                  <c:v>17-07-2025</c:v>
                </c:pt>
                <c:pt idx="1181">
                  <c:v>18-07-2025</c:v>
                </c:pt>
                <c:pt idx="1182">
                  <c:v>21-07-2025</c:v>
                </c:pt>
                <c:pt idx="1183">
                  <c:v>22-07-2025</c:v>
                </c:pt>
                <c:pt idx="1184">
                  <c:v>23-07-2025</c:v>
                </c:pt>
                <c:pt idx="1185">
                  <c:v>24-07-2025</c:v>
                </c:pt>
                <c:pt idx="1186">
                  <c:v>25-07-2025</c:v>
                </c:pt>
                <c:pt idx="1187">
                  <c:v>28-07-2025</c:v>
                </c:pt>
                <c:pt idx="1188">
                  <c:v>29-07-2025</c:v>
                </c:pt>
                <c:pt idx="1189">
                  <c:v>30-07-2025</c:v>
                </c:pt>
                <c:pt idx="1190">
                  <c:v>31-07-2025</c:v>
                </c:pt>
                <c:pt idx="1191">
                  <c:v>01-08-2025</c:v>
                </c:pt>
                <c:pt idx="1192">
                  <c:v>04-08-2025</c:v>
                </c:pt>
                <c:pt idx="1193">
                  <c:v>05-08-2025</c:v>
                </c:pt>
                <c:pt idx="1194">
                  <c:v>06-08-2025</c:v>
                </c:pt>
                <c:pt idx="1195">
                  <c:v>07-08-2025</c:v>
                </c:pt>
                <c:pt idx="1196">
                  <c:v>08-08-2025</c:v>
                </c:pt>
                <c:pt idx="1197">
                  <c:v>11-08-2025</c:v>
                </c:pt>
                <c:pt idx="1198">
                  <c:v>12-08-2025</c:v>
                </c:pt>
                <c:pt idx="1199">
                  <c:v>13-08-2025</c:v>
                </c:pt>
                <c:pt idx="1200">
                  <c:v>14-08-2025</c:v>
                </c:pt>
                <c:pt idx="1201">
                  <c:v>15-08-2025</c:v>
                </c:pt>
                <c:pt idx="1202">
                  <c:v>18-08-2025</c:v>
                </c:pt>
                <c:pt idx="1203">
                  <c:v>19-08-2025</c:v>
                </c:pt>
                <c:pt idx="1204">
                  <c:v>20-08-2025</c:v>
                </c:pt>
                <c:pt idx="1205">
                  <c:v>21-08-2025</c:v>
                </c:pt>
                <c:pt idx="1206">
                  <c:v>22-08-2025</c:v>
                </c:pt>
                <c:pt idx="1207">
                  <c:v>25-08-2025</c:v>
                </c:pt>
                <c:pt idx="1208">
                  <c:v>26-08-2025</c:v>
                </c:pt>
                <c:pt idx="1209">
                  <c:v>27-08-2025</c:v>
                </c:pt>
                <c:pt idx="1210">
                  <c:v>28-08-2025</c:v>
                </c:pt>
                <c:pt idx="1211">
                  <c:v>29-08-2025</c:v>
                </c:pt>
                <c:pt idx="1212">
                  <c:v>02-09-2025</c:v>
                </c:pt>
                <c:pt idx="1213">
                  <c:v>03-09-2025</c:v>
                </c:pt>
                <c:pt idx="1214">
                  <c:v>04-09-2025</c:v>
                </c:pt>
                <c:pt idx="1215">
                  <c:v>05-09-2025</c:v>
                </c:pt>
                <c:pt idx="1216">
                  <c:v>08-09-2025</c:v>
                </c:pt>
                <c:pt idx="1217">
                  <c:v>09-09-2025</c:v>
                </c:pt>
                <c:pt idx="1218">
                  <c:v>10-09-2025</c:v>
                </c:pt>
                <c:pt idx="1219">
                  <c:v>11-09-2025</c:v>
                </c:pt>
                <c:pt idx="1220">
                  <c:v>12-09-2025</c:v>
                </c:pt>
                <c:pt idx="1221">
                  <c:v>15-09-2025</c:v>
                </c:pt>
                <c:pt idx="1222">
                  <c:v>16-09-2025</c:v>
                </c:pt>
                <c:pt idx="1223">
                  <c:v>17-09-2025</c:v>
                </c:pt>
                <c:pt idx="1224">
                  <c:v>18-09-2025</c:v>
                </c:pt>
                <c:pt idx="1225">
                  <c:v>19-09-2025</c:v>
                </c:pt>
                <c:pt idx="1226">
                  <c:v>22-09-2025</c:v>
                </c:pt>
                <c:pt idx="1227">
                  <c:v>23-09-2025</c:v>
                </c:pt>
                <c:pt idx="1228">
                  <c:v>24-09-2025</c:v>
                </c:pt>
                <c:pt idx="1229">
                  <c:v>25-09-2025</c:v>
                </c:pt>
                <c:pt idx="1230">
                  <c:v>26-09-2025</c:v>
                </c:pt>
                <c:pt idx="1231">
                  <c:v>29-09-2025</c:v>
                </c:pt>
                <c:pt idx="1232">
                  <c:v>30-09-2025</c:v>
                </c:pt>
                <c:pt idx="1233">
                  <c:v>01-10-2025</c:v>
                </c:pt>
                <c:pt idx="1234">
                  <c:v>02-10-2025</c:v>
                </c:pt>
                <c:pt idx="1235">
                  <c:v>03-10-2025</c:v>
                </c:pt>
                <c:pt idx="1236">
                  <c:v>06-10-2025</c:v>
                </c:pt>
                <c:pt idx="1237">
                  <c:v>07-10-2025</c:v>
                </c:pt>
                <c:pt idx="1238">
                  <c:v>08-10-2025</c:v>
                </c:pt>
                <c:pt idx="1239">
                  <c:v>09-10-2025</c:v>
                </c:pt>
                <c:pt idx="1240">
                  <c:v>10-10-2025</c:v>
                </c:pt>
                <c:pt idx="1241">
                  <c:v>13-10-2025</c:v>
                </c:pt>
                <c:pt idx="1242">
                  <c:v>14-10-2025</c:v>
                </c:pt>
                <c:pt idx="1243">
                  <c:v>15-10-2025</c:v>
                </c:pt>
                <c:pt idx="1244">
                  <c:v>16-10-2025</c:v>
                </c:pt>
                <c:pt idx="1245">
                  <c:v>17-10-2025</c:v>
                </c:pt>
                <c:pt idx="1246">
                  <c:v>20-10-2025</c:v>
                </c:pt>
                <c:pt idx="1247">
                  <c:v>21-10-2025</c:v>
                </c:pt>
                <c:pt idx="1248">
                  <c:v>22-10-2025</c:v>
                </c:pt>
                <c:pt idx="1249">
                  <c:v>23-10-2025</c:v>
                </c:pt>
                <c:pt idx="1250">
                  <c:v>24-10-2025</c:v>
                </c:pt>
                <c:pt idx="1251">
                  <c:v>27-10-2025</c:v>
                </c:pt>
                <c:pt idx="1252">
                  <c:v>28-10-2025</c:v>
                </c:pt>
                <c:pt idx="1253">
                  <c:v>29-10-2025</c:v>
                </c:pt>
                <c:pt idx="1254">
                  <c:v>30-10-2025</c:v>
                </c:pt>
                <c:pt idx="1255">
                  <c:v>31-10-2025</c:v>
                </c:pt>
              </c:strCache>
            </c:strRef>
          </c:cat>
          <c:val>
            <c:numRef>
              <c:f>'Close_Moving_Averages'!$K$4:$K$1260</c:f>
              <c:numCache>
                <c:formatCode>0</c:formatCode>
                <c:ptCount val="1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2E-4261-8625-5EF5589F6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985152"/>
        <c:axId val="257978432"/>
      </c:lineChart>
      <c:catAx>
        <c:axId val="25797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965472"/>
        <c:crosses val="autoZero"/>
        <c:auto val="1"/>
        <c:lblAlgn val="ctr"/>
        <c:lblOffset val="100"/>
        <c:noMultiLvlLbl val="0"/>
      </c:catAx>
      <c:valAx>
        <c:axId val="25796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974592"/>
        <c:crosses val="autoZero"/>
        <c:crossBetween val="between"/>
      </c:valAx>
      <c:valAx>
        <c:axId val="257978432"/>
        <c:scaling>
          <c:orientation val="minMax"/>
          <c:max val="1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985152"/>
        <c:crosses val="max"/>
        <c:crossBetween val="between"/>
        <c:majorUnit val="1"/>
      </c:valAx>
      <c:catAx>
        <c:axId val="257985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579784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4</xdr:row>
      <xdr:rowOff>38100</xdr:rowOff>
    </xdr:from>
    <xdr:to>
      <xdr:col>17</xdr:col>
      <xdr:colOff>106680</xdr:colOff>
      <xdr:row>17</xdr:row>
      <xdr:rowOff>236220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1C9178-209F-4EBE-9EC9-439BA008A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388620</xdr:colOff>
      <xdr:row>2</xdr:row>
      <xdr:rowOff>259080</xdr:rowOff>
    </xdr:from>
    <xdr:to>
      <xdr:col>10</xdr:col>
      <xdr:colOff>381000</xdr:colOff>
      <xdr:row>15</xdr:row>
      <xdr:rowOff>251460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6511CB-7921-C5D7-35A3-AE95B82DB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319193</xdr:colOff>
      <xdr:row>1</xdr:row>
      <xdr:rowOff>67734</xdr:rowOff>
    </xdr:from>
    <xdr:to>
      <xdr:col>7</xdr:col>
      <xdr:colOff>16933</xdr:colOff>
      <xdr:row>5</xdr:row>
      <xdr:rowOff>182034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e 1">
              <a:extLst>
                <a:ext uri="{FF2B5EF4-FFF2-40B4-BE49-F238E27FC236}">
                  <a16:creationId xmlns:a16="http://schemas.microsoft.com/office/drawing/2014/main" id="{CADF0857-C177-488C-88A1-F11BD40B2A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0193" y="338667"/>
              <a:ext cx="3592407" cy="11980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3</xdr:col>
      <xdr:colOff>292523</xdr:colOff>
      <xdr:row>5</xdr:row>
      <xdr:rowOff>152400</xdr:rowOff>
    </xdr:from>
    <xdr:to>
      <xdr:col>16</xdr:col>
      <xdr:colOff>406400</xdr:colOff>
      <xdr:row>20</xdr:row>
      <xdr:rowOff>263313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B47CD764-5A9D-8D93-F86E-B4D7F6BC2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thili" refreshedDate="46002.895334259258" createdVersion="8" refreshedVersion="8" minRefreshableVersion="3" recordCount="1256" xr:uid="{F7C45467-850D-46EC-8C1B-7D0A65830D81}">
  <cacheSource type="worksheet">
    <worksheetSource name="Close_Moving_Averages"/>
  </cacheSource>
  <cacheFields count="5">
    <cacheField name="Date" numFmtId="14">
      <sharedItems containsSemiMixedTypes="0" containsNonDate="0" containsDate="1" containsString="0" minDate="2020-11-02T00:00:00" maxDate="2025-11-01T00:00:00" count="1256"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</sharedItems>
    </cacheField>
    <cacheField name="Close" numFmtId="164">
      <sharedItems containsSemiMixedTypes="0" containsString="0" containsNumber="1" minValue="330.2" maxValue="687.39"/>
    </cacheField>
    <cacheField name="50-Day-MovingAverage" numFmtId="164">
      <sharedItems containsString="0" containsBlank="1" containsNumber="1" minValue="364.30360000000002" maxValue="662.17200000000003"/>
    </cacheField>
    <cacheField name="200-Day-MovingAverage" numFmtId="164">
      <sharedItems containsString="0" containsBlank="1" containsNumber="1" minValue="392.23759999999999" maxValue="609.44200000000001"/>
    </cacheField>
    <cacheField name="Golden Cross" numFmtId="1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 pivotCacheId="9596748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6">
  <r>
    <x v="0"/>
    <n v="330.2"/>
    <m/>
    <m/>
    <x v="0"/>
  </r>
  <r>
    <x v="1"/>
    <n v="336.03"/>
    <m/>
    <m/>
    <x v="0"/>
  </r>
  <r>
    <x v="2"/>
    <n v="343.54"/>
    <m/>
    <m/>
    <x v="0"/>
  </r>
  <r>
    <x v="3"/>
    <n v="350.24"/>
    <m/>
    <m/>
    <x v="0"/>
  </r>
  <r>
    <x v="4"/>
    <n v="350.16"/>
    <m/>
    <m/>
    <x v="0"/>
  </r>
  <r>
    <x v="5"/>
    <n v="354.56"/>
    <m/>
    <m/>
    <x v="0"/>
  </r>
  <r>
    <x v="6"/>
    <n v="354.04"/>
    <m/>
    <m/>
    <x v="0"/>
  </r>
  <r>
    <x v="7"/>
    <n v="356.67"/>
    <m/>
    <m/>
    <x v="0"/>
  </r>
  <r>
    <x v="8"/>
    <n v="353.21"/>
    <m/>
    <m/>
    <x v="0"/>
  </r>
  <r>
    <x v="9"/>
    <n v="358.1"/>
    <m/>
    <m/>
    <x v="0"/>
  </r>
  <r>
    <x v="10"/>
    <n v="362.57"/>
    <m/>
    <m/>
    <x v="0"/>
  </r>
  <r>
    <x v="11"/>
    <n v="360.62"/>
    <m/>
    <m/>
    <x v="0"/>
  </r>
  <r>
    <x v="12"/>
    <n v="356.28"/>
    <m/>
    <m/>
    <x v="0"/>
  </r>
  <r>
    <x v="13"/>
    <n v="357.78"/>
    <m/>
    <m/>
    <x v="0"/>
  </r>
  <r>
    <x v="14"/>
    <n v="355.33"/>
    <m/>
    <m/>
    <x v="0"/>
  </r>
  <r>
    <x v="15"/>
    <n v="357.46"/>
    <m/>
    <m/>
    <x v="0"/>
  </r>
  <r>
    <x v="16"/>
    <n v="363.22"/>
    <m/>
    <m/>
    <x v="0"/>
  </r>
  <r>
    <x v="17"/>
    <n v="362.66"/>
    <m/>
    <m/>
    <x v="0"/>
  </r>
  <r>
    <x v="18"/>
    <n v="363.67"/>
    <m/>
    <m/>
    <x v="0"/>
  </r>
  <r>
    <x v="19"/>
    <n v="362.06"/>
    <m/>
    <m/>
    <x v="0"/>
  </r>
  <r>
    <x v="20"/>
    <n v="366.02"/>
    <m/>
    <m/>
    <x v="0"/>
  </r>
  <r>
    <x v="21"/>
    <n v="366.79"/>
    <m/>
    <m/>
    <x v="0"/>
  </r>
  <r>
    <x v="22"/>
    <n v="366.69"/>
    <m/>
    <m/>
    <x v="0"/>
  </r>
  <r>
    <x v="23"/>
    <n v="369.85"/>
    <m/>
    <m/>
    <x v="0"/>
  </r>
  <r>
    <x v="24"/>
    <n v="369.09"/>
    <m/>
    <m/>
    <x v="0"/>
  </r>
  <r>
    <x v="25"/>
    <n v="370.17"/>
    <m/>
    <m/>
    <x v="0"/>
  </r>
  <r>
    <x v="26"/>
    <n v="366.85"/>
    <m/>
    <m/>
    <x v="0"/>
  </r>
  <r>
    <x v="27"/>
    <n v="366.73"/>
    <m/>
    <m/>
    <x v="0"/>
  </r>
  <r>
    <x v="28"/>
    <n v="366.3"/>
    <m/>
    <m/>
    <x v="0"/>
  </r>
  <r>
    <x v="29"/>
    <n v="364.66"/>
    <m/>
    <m/>
    <x v="0"/>
  </r>
  <r>
    <x v="30"/>
    <n v="369.59"/>
    <m/>
    <m/>
    <x v="0"/>
  </r>
  <r>
    <x v="31"/>
    <n v="370.17"/>
    <m/>
    <m/>
    <x v="0"/>
  </r>
  <r>
    <x v="32"/>
    <n v="372.24"/>
    <m/>
    <m/>
    <x v="0"/>
  </r>
  <r>
    <x v="33"/>
    <n v="369.18"/>
    <m/>
    <m/>
    <x v="0"/>
  </r>
  <r>
    <x v="34"/>
    <n v="367.86"/>
    <m/>
    <m/>
    <x v="0"/>
  </r>
  <r>
    <x v="35"/>
    <n v="367.24"/>
    <m/>
    <m/>
    <x v="0"/>
  </r>
  <r>
    <x v="36"/>
    <n v="367.57"/>
    <m/>
    <m/>
    <x v="0"/>
  </r>
  <r>
    <x v="37"/>
    <n v="369"/>
    <m/>
    <m/>
    <x v="0"/>
  </r>
  <r>
    <x v="38"/>
    <n v="372.17"/>
    <m/>
    <m/>
    <x v="0"/>
  </r>
  <r>
    <x v="39"/>
    <n v="371.46"/>
    <m/>
    <m/>
    <x v="0"/>
  </r>
  <r>
    <x v="40"/>
    <n v="371.99"/>
    <m/>
    <m/>
    <x v="0"/>
  </r>
  <r>
    <x v="41"/>
    <n v="373.88"/>
    <m/>
    <m/>
    <x v="0"/>
  </r>
  <r>
    <x v="42"/>
    <n v="368.79"/>
    <m/>
    <m/>
    <x v="0"/>
  </r>
  <r>
    <x v="43"/>
    <n v="371.33"/>
    <m/>
    <m/>
    <x v="0"/>
  </r>
  <r>
    <x v="44"/>
    <n v="373.55"/>
    <m/>
    <m/>
    <x v="0"/>
  </r>
  <r>
    <x v="45"/>
    <n v="379.1"/>
    <m/>
    <m/>
    <x v="0"/>
  </r>
  <r>
    <x v="46"/>
    <n v="381.26"/>
    <m/>
    <m/>
    <x v="0"/>
  </r>
  <r>
    <x v="47"/>
    <n v="378.69"/>
    <m/>
    <m/>
    <x v="0"/>
  </r>
  <r>
    <x v="48"/>
    <n v="378.77"/>
    <m/>
    <m/>
    <x v="0"/>
  </r>
  <r>
    <x v="49"/>
    <n v="379.79"/>
    <n v="364.30360000000002"/>
    <m/>
    <x v="0"/>
  </r>
  <r>
    <x v="50"/>
    <n v="378.46"/>
    <n v="365.2688"/>
    <m/>
    <x v="0"/>
  </r>
  <r>
    <x v="51"/>
    <n v="375.7"/>
    <n v="366.06220000000002"/>
    <m/>
    <x v="0"/>
  </r>
  <r>
    <x v="52"/>
    <n v="378.65"/>
    <n v="366.76440000000002"/>
    <m/>
    <x v="0"/>
  </r>
  <r>
    <x v="53"/>
    <n v="383.89"/>
    <n v="367.43740000000003"/>
    <m/>
    <x v="0"/>
  </r>
  <r>
    <x v="54"/>
    <n v="384.24"/>
    <n v="368.11900000000003"/>
    <m/>
    <x v="0"/>
  </r>
  <r>
    <x v="55"/>
    <n v="382.88"/>
    <n v="368.68540000000002"/>
    <m/>
    <x v="0"/>
  </r>
  <r>
    <x v="56"/>
    <n v="384.39"/>
    <n v="369.29239999999999"/>
    <m/>
    <x v="0"/>
  </r>
  <r>
    <x v="57"/>
    <n v="383.79"/>
    <n v="369.83479999999997"/>
    <m/>
    <x v="0"/>
  </r>
  <r>
    <x v="58"/>
    <n v="374.41"/>
    <n v="370.25880000000001"/>
    <m/>
    <x v="0"/>
  </r>
  <r>
    <x v="59"/>
    <n v="377.63"/>
    <n v="370.64940000000001"/>
    <m/>
    <x v="0"/>
  </r>
  <r>
    <x v="60"/>
    <n v="370.07"/>
    <n v="370.79939999999999"/>
    <m/>
    <x v="0"/>
  </r>
  <r>
    <x v="61"/>
    <n v="376.23"/>
    <n v="371.11160000000001"/>
    <m/>
    <x v="0"/>
  </r>
  <r>
    <x v="62"/>
    <n v="381.55"/>
    <n v="371.61700000000002"/>
    <m/>
    <x v="0"/>
  </r>
  <r>
    <x v="63"/>
    <n v="381.85"/>
    <n v="372.09840000000003"/>
    <m/>
    <x v="0"/>
  </r>
  <r>
    <x v="64"/>
    <n v="386.19"/>
    <n v="372.71559999999999"/>
    <m/>
    <x v="0"/>
  </r>
  <r>
    <x v="65"/>
    <n v="387.71"/>
    <n v="373.32060000000001"/>
    <m/>
    <x v="0"/>
  </r>
  <r>
    <x v="66"/>
    <n v="390.51"/>
    <n v="373.8664"/>
    <m/>
    <x v="0"/>
  </r>
  <r>
    <x v="67"/>
    <n v="390.25"/>
    <n v="374.41820000000001"/>
    <m/>
    <x v="0"/>
  </r>
  <r>
    <x v="68"/>
    <n v="390.08"/>
    <n v="374.94639999999998"/>
    <m/>
    <x v="0"/>
  </r>
  <r>
    <x v="69"/>
    <n v="390.71"/>
    <n v="375.51940000000002"/>
    <m/>
    <x v="0"/>
  </r>
  <r>
    <x v="70"/>
    <n v="392.64"/>
    <n v="376.05180000000001"/>
    <m/>
    <x v="0"/>
  </r>
  <r>
    <x v="71"/>
    <n v="392.3"/>
    <n v="376.56200000000001"/>
    <m/>
    <x v="0"/>
  </r>
  <r>
    <x v="72"/>
    <n v="392.39"/>
    <n v="377.07600000000002"/>
    <m/>
    <x v="0"/>
  </r>
  <r>
    <x v="73"/>
    <n v="390.72"/>
    <n v="377.49340000000001"/>
    <m/>
    <x v="0"/>
  </r>
  <r>
    <x v="74"/>
    <n v="390.03"/>
    <n v="377.91219999999998"/>
    <m/>
    <x v="0"/>
  </r>
  <r>
    <x v="75"/>
    <n v="387.03"/>
    <n v="378.24939999999998"/>
    <m/>
    <x v="0"/>
  </r>
  <r>
    <x v="76"/>
    <n v="387.5"/>
    <n v="378.66239999999999"/>
    <m/>
    <x v="0"/>
  </r>
  <r>
    <x v="77"/>
    <n v="391.77"/>
    <n v="379.16320000000002"/>
    <m/>
    <x v="0"/>
  </r>
  <r>
    <x v="78"/>
    <n v="382.33"/>
    <n v="379.48379999999997"/>
    <m/>
    <x v="0"/>
  </r>
  <r>
    <x v="79"/>
    <n v="380.36"/>
    <n v="379.7978"/>
    <m/>
    <x v="0"/>
  </r>
  <r>
    <x v="80"/>
    <n v="389.58"/>
    <n v="380.19760000000002"/>
    <m/>
    <x v="0"/>
  </r>
  <r>
    <x v="81"/>
    <n v="386.54"/>
    <n v="380.52499999999998"/>
    <m/>
    <x v="0"/>
  </r>
  <r>
    <x v="82"/>
    <n v="381.42"/>
    <n v="380.70859999999999"/>
    <m/>
    <x v="0"/>
  </r>
  <r>
    <x v="83"/>
    <n v="376.7"/>
    <n v="380.85899999999998"/>
    <m/>
    <x v="0"/>
  </r>
  <r>
    <x v="84"/>
    <n v="383.63"/>
    <n v="381.17439999999999"/>
    <m/>
    <x v="0"/>
  </r>
  <r>
    <x v="85"/>
    <n v="381.72"/>
    <n v="381.464"/>
    <m/>
    <x v="0"/>
  </r>
  <r>
    <x v="86"/>
    <n v="387.17"/>
    <n v="381.85599999999999"/>
    <m/>
    <x v="0"/>
  </r>
  <r>
    <x v="87"/>
    <n v="389.58"/>
    <n v="382.26760000000002"/>
    <m/>
    <x v="0"/>
  </r>
  <r>
    <x v="88"/>
    <n v="393.53"/>
    <n v="382.69479999999999"/>
    <m/>
    <x v="0"/>
  </r>
  <r>
    <x v="89"/>
    <n v="394.06"/>
    <n v="383.14679999999998"/>
    <m/>
    <x v="0"/>
  </r>
  <r>
    <x v="90"/>
    <n v="396.41"/>
    <n v="383.6352"/>
    <m/>
    <x v="0"/>
  </r>
  <r>
    <x v="91"/>
    <n v="395.91"/>
    <n v="384.07580000000002"/>
    <m/>
    <x v="0"/>
  </r>
  <r>
    <x v="92"/>
    <n v="397.26"/>
    <n v="384.64519999999999"/>
    <m/>
    <x v="0"/>
  </r>
  <r>
    <x v="93"/>
    <n v="391.48"/>
    <n v="385.04820000000001"/>
    <m/>
    <x v="0"/>
  </r>
  <r>
    <x v="94"/>
    <n v="389.48"/>
    <n v="385.36680000000001"/>
    <m/>
    <x v="0"/>
  </r>
  <r>
    <x v="95"/>
    <n v="392.59"/>
    <n v="385.63659999999999"/>
    <m/>
    <x v="0"/>
  </r>
  <r>
    <x v="96"/>
    <n v="389.5"/>
    <n v="385.8014"/>
    <m/>
    <x v="0"/>
  </r>
  <r>
    <x v="97"/>
    <n v="387.52"/>
    <n v="385.97800000000001"/>
    <m/>
    <x v="0"/>
  </r>
  <r>
    <x v="98"/>
    <n v="389.7"/>
    <n v="386.19659999999999"/>
    <m/>
    <x v="0"/>
  </r>
  <r>
    <x v="99"/>
    <n v="395.98"/>
    <n v="386.5204"/>
    <m/>
    <x v="0"/>
  </r>
  <r>
    <x v="100"/>
    <n v="395.78"/>
    <n v="386.86680000000001"/>
    <m/>
    <x v="0"/>
  </r>
  <r>
    <x v="101"/>
    <n v="394.73"/>
    <n v="387.24740000000003"/>
    <m/>
    <x v="0"/>
  </r>
  <r>
    <x v="102"/>
    <n v="396.33"/>
    <n v="387.601"/>
    <m/>
    <x v="0"/>
  </r>
  <r>
    <x v="103"/>
    <n v="400.61"/>
    <n v="387.93540000000002"/>
    <m/>
    <x v="0"/>
  </r>
  <r>
    <x v="104"/>
    <n v="406.36"/>
    <n v="388.37779999999998"/>
    <m/>
    <x v="0"/>
  </r>
  <r>
    <x v="105"/>
    <n v="406.12"/>
    <n v="388.8426"/>
    <m/>
    <x v="0"/>
  </r>
  <r>
    <x v="106"/>
    <n v="406.59"/>
    <n v="389.28660000000002"/>
    <m/>
    <x v="0"/>
  </r>
  <r>
    <x v="107"/>
    <n v="408.52"/>
    <n v="389.78120000000001"/>
    <m/>
    <x v="0"/>
  </r>
  <r>
    <x v="108"/>
    <n v="411.49"/>
    <n v="390.52280000000002"/>
    <m/>
    <x v="0"/>
  </r>
  <r>
    <x v="109"/>
    <n v="411.64"/>
    <n v="391.20299999999997"/>
    <m/>
    <x v="0"/>
  </r>
  <r>
    <x v="110"/>
    <n v="412.86"/>
    <n v="392.05880000000002"/>
    <m/>
    <x v="0"/>
  </r>
  <r>
    <x v="111"/>
    <n v="411.45"/>
    <n v="392.76319999999998"/>
    <m/>
    <x v="0"/>
  </r>
  <r>
    <x v="112"/>
    <n v="415.87"/>
    <n v="393.44959999999998"/>
    <m/>
    <x v="0"/>
  </r>
  <r>
    <x v="113"/>
    <n v="417.26"/>
    <n v="394.15780000000001"/>
    <m/>
    <x v="0"/>
  </r>
  <r>
    <x v="114"/>
    <n v="415.21"/>
    <n v="394.73820000000001"/>
    <m/>
    <x v="0"/>
  </r>
  <r>
    <x v="115"/>
    <n v="412.17"/>
    <n v="395.22739999999999"/>
    <m/>
    <x v="0"/>
  </r>
  <r>
    <x v="116"/>
    <n v="416.07"/>
    <n v="395.73860000000002"/>
    <m/>
    <x v="0"/>
  </r>
  <r>
    <x v="117"/>
    <n v="412.27"/>
    <n v="396.17899999999997"/>
    <m/>
    <x v="0"/>
  </r>
  <r>
    <x v="118"/>
    <n v="416.74"/>
    <n v="396.7122"/>
    <m/>
    <x v="0"/>
  </r>
  <r>
    <x v="119"/>
    <n v="417.61"/>
    <n v="397.25020000000001"/>
    <m/>
    <x v="0"/>
  </r>
  <r>
    <x v="120"/>
    <n v="417.52"/>
    <n v="397.74779999999998"/>
    <m/>
    <x v="0"/>
  </r>
  <r>
    <x v="121"/>
    <n v="417.4"/>
    <n v="398.24979999999999"/>
    <m/>
    <x v="0"/>
  </r>
  <r>
    <x v="122"/>
    <n v="420.06"/>
    <n v="398.8032"/>
    <m/>
    <x v="0"/>
  </r>
  <r>
    <x v="123"/>
    <n v="417.3"/>
    <n v="399.33479999999997"/>
    <m/>
    <x v="0"/>
  </r>
  <r>
    <x v="124"/>
    <n v="418.2"/>
    <n v="399.89819999999997"/>
    <m/>
    <x v="0"/>
  </r>
  <r>
    <x v="125"/>
    <n v="415.62"/>
    <n v="400.47"/>
    <m/>
    <x v="0"/>
  </r>
  <r>
    <x v="126"/>
    <n v="415.75"/>
    <n v="401.03500000000003"/>
    <m/>
    <x v="0"/>
  </r>
  <r>
    <x v="127"/>
    <n v="419.07"/>
    <n v="401.58100000000002"/>
    <m/>
    <x v="0"/>
  </r>
  <r>
    <x v="128"/>
    <n v="422.12"/>
    <n v="402.3768"/>
    <m/>
    <x v="0"/>
  </r>
  <r>
    <x v="129"/>
    <n v="417.94"/>
    <n v="403.1284"/>
    <m/>
    <x v="0"/>
  </r>
  <r>
    <x v="130"/>
    <n v="414.21"/>
    <n v="403.62099999999998"/>
    <m/>
    <x v="0"/>
  </r>
  <r>
    <x v="131"/>
    <n v="405.41"/>
    <n v="403.9984"/>
    <m/>
    <x v="0"/>
  </r>
  <r>
    <x v="132"/>
    <n v="410.28"/>
    <n v="404.57560000000001"/>
    <m/>
    <x v="0"/>
  </r>
  <r>
    <x v="133"/>
    <n v="416.58"/>
    <n v="405.3732"/>
    <m/>
    <x v="0"/>
  </r>
  <r>
    <x v="134"/>
    <n v="415.52"/>
    <n v="406.01100000000002"/>
    <m/>
    <x v="0"/>
  </r>
  <r>
    <x v="135"/>
    <n v="411.94"/>
    <n v="406.61540000000002"/>
    <m/>
    <x v="0"/>
  </r>
  <r>
    <x v="136"/>
    <n v="410.86"/>
    <n v="407.08920000000001"/>
    <m/>
    <x v="0"/>
  </r>
  <r>
    <x v="137"/>
    <n v="415.28"/>
    <n v="407.60320000000002"/>
    <m/>
    <x v="0"/>
  </r>
  <r>
    <x v="138"/>
    <n v="414.94"/>
    <n v="408.03140000000002"/>
    <m/>
    <x v="0"/>
  </r>
  <r>
    <x v="139"/>
    <n v="419.17"/>
    <n v="408.53359999999998"/>
    <m/>
    <x v="0"/>
  </r>
  <r>
    <x v="140"/>
    <n v="418.24"/>
    <n v="408.97019999999998"/>
    <m/>
    <x v="0"/>
  </r>
  <r>
    <x v="141"/>
    <n v="419.07"/>
    <n v="409.43340000000001"/>
    <m/>
    <x v="0"/>
  </r>
  <r>
    <x v="142"/>
    <n v="419.29"/>
    <n v="409.87400000000002"/>
    <m/>
    <x v="0"/>
  </r>
  <r>
    <x v="143"/>
    <n v="420.04"/>
    <n v="410.4452"/>
    <m/>
    <x v="0"/>
  </r>
  <r>
    <x v="144"/>
    <n v="419.67"/>
    <n v="411.04899999999998"/>
    <m/>
    <x v="0"/>
  </r>
  <r>
    <x v="145"/>
    <n v="420.33"/>
    <n v="411.60379999999998"/>
    <m/>
    <x v="0"/>
  </r>
  <r>
    <x v="146"/>
    <n v="418.77"/>
    <n v="412.18920000000003"/>
    <m/>
    <x v="0"/>
  </r>
  <r>
    <x v="147"/>
    <n v="422.6"/>
    <n v="412.89080000000001"/>
    <m/>
    <x v="0"/>
  </r>
  <r>
    <x v="148"/>
    <n v="422.19"/>
    <n v="413.54059999999998"/>
    <m/>
    <x v="0"/>
  </r>
  <r>
    <x v="149"/>
    <n v="422.28"/>
    <n v="414.06659999999999"/>
    <m/>
    <x v="0"/>
  </r>
  <r>
    <x v="150"/>
    <n v="421.65"/>
    <n v="414.584"/>
    <m/>
    <x v="0"/>
  </r>
  <r>
    <x v="151"/>
    <n v="423.61"/>
    <n v="415.16160000000002"/>
    <m/>
    <x v="0"/>
  </r>
  <r>
    <x v="152"/>
    <n v="424.31"/>
    <n v="415.72120000000001"/>
    <m/>
    <x v="0"/>
  </r>
  <r>
    <x v="153"/>
    <n v="425.26"/>
    <n v="416.21420000000001"/>
    <m/>
    <x v="0"/>
  </r>
  <r>
    <x v="154"/>
    <n v="424.48"/>
    <n v="416.57659999999998"/>
    <m/>
    <x v="0"/>
  </r>
  <r>
    <x v="155"/>
    <n v="422.11"/>
    <n v="416.89640000000003"/>
    <m/>
    <x v="0"/>
  </r>
  <r>
    <x v="156"/>
    <n v="421.97"/>
    <n v="417.20400000000001"/>
    <m/>
    <x v="0"/>
  </r>
  <r>
    <x v="157"/>
    <n v="414.92"/>
    <n v="417.33199999999999"/>
    <m/>
    <x v="0"/>
  </r>
  <r>
    <x v="158"/>
    <n v="420.86"/>
    <n v="417.51940000000002"/>
    <m/>
    <x v="0"/>
  </r>
  <r>
    <x v="159"/>
    <n v="423.11"/>
    <n v="417.74880000000002"/>
    <m/>
    <x v="0"/>
  </r>
  <r>
    <x v="160"/>
    <n v="422.6"/>
    <n v="417.9436"/>
    <m/>
    <x v="0"/>
  </r>
  <r>
    <x v="161"/>
    <n v="425.1"/>
    <n v="418.21660000000003"/>
    <m/>
    <x v="0"/>
  </r>
  <r>
    <x v="162"/>
    <n v="426.61"/>
    <n v="418.4314"/>
    <m/>
    <x v="0"/>
  </r>
  <r>
    <x v="163"/>
    <n v="427.47"/>
    <n v="418.63560000000001"/>
    <m/>
    <x v="0"/>
  </r>
  <r>
    <x v="164"/>
    <n v="427.7"/>
    <n v="418.8854"/>
    <m/>
    <x v="0"/>
  </r>
  <r>
    <x v="165"/>
    <n v="428.06"/>
    <n v="419.20319999999998"/>
    <m/>
    <x v="0"/>
  </r>
  <r>
    <x v="166"/>
    <n v="430.43"/>
    <n v="419.49040000000002"/>
    <m/>
    <x v="0"/>
  </r>
  <r>
    <x v="167"/>
    <n v="433.72"/>
    <n v="419.9194"/>
    <m/>
    <x v="0"/>
  </r>
  <r>
    <x v="168"/>
    <n v="432.93"/>
    <n v="420.2432"/>
    <m/>
    <x v="0"/>
  </r>
  <r>
    <x v="169"/>
    <n v="434.46"/>
    <n v="420.58019999999999"/>
    <m/>
    <x v="0"/>
  </r>
  <r>
    <x v="170"/>
    <n v="430.92"/>
    <n v="420.84820000000002"/>
    <m/>
    <x v="0"/>
  </r>
  <r>
    <x v="171"/>
    <n v="435.52"/>
    <n v="421.2106"/>
    <m/>
    <x v="0"/>
  </r>
  <r>
    <x v="172"/>
    <n v="437.08"/>
    <n v="421.55099999999999"/>
    <m/>
    <x v="0"/>
  </r>
  <r>
    <x v="173"/>
    <n v="435.59"/>
    <n v="421.91680000000002"/>
    <m/>
    <x v="0"/>
  </r>
  <r>
    <x v="174"/>
    <n v="436.24"/>
    <n v="422.27760000000001"/>
    <m/>
    <x v="0"/>
  </r>
  <r>
    <x v="175"/>
    <n v="434.75"/>
    <n v="422.66019999999997"/>
    <m/>
    <x v="0"/>
  </r>
  <r>
    <x v="176"/>
    <n v="431.34"/>
    <n v="422.97199999999998"/>
    <m/>
    <x v="0"/>
  </r>
  <r>
    <x v="177"/>
    <n v="424.97"/>
    <n v="423.09"/>
    <m/>
    <x v="0"/>
  </r>
  <r>
    <x v="178"/>
    <n v="431.06"/>
    <n v="423.2688"/>
    <m/>
    <x v="0"/>
  </r>
  <r>
    <x v="179"/>
    <n v="434.55"/>
    <n v="423.601"/>
    <m/>
    <x v="0"/>
  </r>
  <r>
    <x v="180"/>
    <n v="435.46"/>
    <n v="424.02600000000001"/>
    <m/>
    <x v="0"/>
  </r>
  <r>
    <x v="181"/>
    <n v="439.94"/>
    <n v="424.71660000000003"/>
    <m/>
    <x v="0"/>
  </r>
  <r>
    <x v="182"/>
    <n v="441.02"/>
    <n v="425.33139999999997"/>
    <m/>
    <x v="0"/>
  </r>
  <r>
    <x v="183"/>
    <n v="439.01"/>
    <n v="425.78"/>
    <m/>
    <x v="0"/>
  </r>
  <r>
    <x v="184"/>
    <n v="438.83"/>
    <n v="426.24619999999999"/>
    <m/>
    <x v="0"/>
  </r>
  <r>
    <x v="185"/>
    <n v="440.65"/>
    <n v="426.82040000000001"/>
    <m/>
    <x v="0"/>
  </r>
  <r>
    <x v="186"/>
    <n v="438.51"/>
    <n v="427.3734"/>
    <m/>
    <x v="0"/>
  </r>
  <r>
    <x v="187"/>
    <n v="437.59"/>
    <n v="427.81959999999998"/>
    <m/>
    <x v="0"/>
  </r>
  <r>
    <x v="188"/>
    <n v="441.15"/>
    <n v="428.34379999999999"/>
    <m/>
    <x v="0"/>
  </r>
  <r>
    <x v="189"/>
    <n v="438.98"/>
    <n v="428.74"/>
    <m/>
    <x v="0"/>
  </r>
  <r>
    <x v="190"/>
    <n v="441.76"/>
    <n v="429.21039999999999"/>
    <m/>
    <x v="0"/>
  </r>
  <r>
    <x v="191"/>
    <n v="442.49"/>
    <n v="429.67880000000002"/>
    <m/>
    <x v="0"/>
  </r>
  <r>
    <x v="192"/>
    <n v="442.13"/>
    <n v="430.13560000000001"/>
    <m/>
    <x v="0"/>
  </r>
  <r>
    <x v="193"/>
    <n v="442.68"/>
    <n v="430.58839999999998"/>
    <m/>
    <x v="0"/>
  </r>
  <r>
    <x v="194"/>
    <n v="443.78"/>
    <n v="431.07060000000001"/>
    <m/>
    <x v="0"/>
  </r>
  <r>
    <x v="195"/>
    <n v="445.11"/>
    <n v="431.56619999999998"/>
    <m/>
    <x v="0"/>
  </r>
  <r>
    <x v="196"/>
    <n v="445.92"/>
    <n v="432.10919999999999"/>
    <m/>
    <x v="0"/>
  </r>
  <r>
    <x v="197"/>
    <n v="446.97"/>
    <n v="432.59660000000002"/>
    <m/>
    <x v="0"/>
  </r>
  <r>
    <x v="198"/>
    <n v="444.04"/>
    <n v="433.03359999999998"/>
    <m/>
    <x v="0"/>
  </r>
  <r>
    <x v="199"/>
    <n v="439.18"/>
    <n v="433.3716"/>
    <n v="399.56560000000002"/>
    <x v="0"/>
  </r>
  <r>
    <x v="200"/>
    <n v="439.86"/>
    <n v="433.73579999999998"/>
    <n v="400.11380000000003"/>
    <x v="0"/>
  </r>
  <r>
    <x v="201"/>
    <n v="443.36"/>
    <n v="434.13080000000002"/>
    <n v="400.65050000000002"/>
    <x v="0"/>
  </r>
  <r>
    <x v="202"/>
    <n v="447.26"/>
    <n v="434.58980000000003"/>
    <n v="401.16910000000001"/>
    <x v="0"/>
  </r>
  <r>
    <x v="203"/>
    <n v="447.97"/>
    <n v="435.04399999999998"/>
    <n v="401.65780000000001"/>
    <x v="0"/>
  </r>
  <r>
    <x v="204"/>
    <n v="448.91"/>
    <n v="435.5326"/>
    <n v="402.1515"/>
    <x v="0"/>
  </r>
  <r>
    <x v="205"/>
    <n v="446.26"/>
    <n v="436.01560000000001"/>
    <n v="402.61"/>
    <x v="0"/>
  </r>
  <r>
    <x v="206"/>
    <n v="450.25"/>
    <n v="436.58120000000002"/>
    <n v="403.09100000000001"/>
    <x v="0"/>
  </r>
  <r>
    <x v="207"/>
    <n v="452.23"/>
    <n v="437.32740000000001"/>
    <n v="403.56880000000001"/>
    <x v="0"/>
  </r>
  <r>
    <x v="208"/>
    <n v="451.56"/>
    <n v="437.94139999999999"/>
    <n v="404.06060000000002"/>
    <x v="0"/>
  </r>
  <r>
    <x v="209"/>
    <n v="451.8"/>
    <n v="438.51519999999999"/>
    <n v="404.52910000000003"/>
    <x v="0"/>
  </r>
  <r>
    <x v="210"/>
    <n v="453.19"/>
    <n v="439.12700000000001"/>
    <n v="404.98219999999998"/>
    <x v="0"/>
  </r>
  <r>
    <x v="211"/>
    <n v="453.08"/>
    <n v="439.6866"/>
    <n v="405.44450000000001"/>
    <x v="0"/>
  </r>
  <r>
    <x v="212"/>
    <n v="451.46"/>
    <n v="440.18360000000001"/>
    <n v="405.92039999999997"/>
    <x v="0"/>
  </r>
  <r>
    <x v="213"/>
    <n v="450.91"/>
    <n v="440.6524"/>
    <n v="406.38600000000002"/>
    <x v="0"/>
  </r>
  <r>
    <x v="214"/>
    <n v="448.98"/>
    <n v="441.07799999999997"/>
    <n v="406.85430000000002"/>
    <x v="0"/>
  </r>
  <r>
    <x v="215"/>
    <n v="445.44"/>
    <n v="441.42559999999997"/>
    <n v="407.29419999999999"/>
    <x v="0"/>
  </r>
  <r>
    <x v="216"/>
    <n v="446.58"/>
    <n v="441.74860000000001"/>
    <n v="407.71100000000001"/>
    <x v="0"/>
  </r>
  <r>
    <x v="217"/>
    <n v="444.17"/>
    <n v="441.95760000000001"/>
    <n v="408.11860000000001"/>
    <x v="0"/>
  </r>
  <r>
    <x v="218"/>
    <n v="447.88"/>
    <n v="442.25659999999999"/>
    <n v="408.53960000000001"/>
    <x v="0"/>
  </r>
  <r>
    <x v="219"/>
    <n v="447.17"/>
    <n v="442.51080000000002"/>
    <n v="408.96519999999998"/>
    <x v="0"/>
  </r>
  <r>
    <x v="220"/>
    <n v="441.4"/>
    <n v="442.72039999999998"/>
    <n v="409.34199999999998"/>
    <x v="0"/>
  </r>
  <r>
    <x v="221"/>
    <n v="434.04"/>
    <n v="442.69080000000002"/>
    <n v="409.67829999999998"/>
    <x v="0"/>
  </r>
  <r>
    <x v="222"/>
    <n v="433.63"/>
    <n v="442.62180000000001"/>
    <n v="410.01299999999998"/>
    <x v="0"/>
  </r>
  <r>
    <x v="223"/>
    <n v="437.86"/>
    <n v="442.66719999999998"/>
    <n v="410.35300000000001"/>
    <x v="0"/>
  </r>
  <r>
    <x v="224"/>
    <n v="443.18"/>
    <n v="442.80599999999998"/>
    <n v="410.7235"/>
    <x v="0"/>
  </r>
  <r>
    <x v="225"/>
    <n v="443.91"/>
    <n v="442.98919999999998"/>
    <n v="411.09219999999999"/>
    <x v="0"/>
  </r>
  <r>
    <x v="226"/>
    <n v="442.64"/>
    <n v="443.21519999999998"/>
    <n v="411.47120000000001"/>
    <x v="0"/>
  </r>
  <r>
    <x v="227"/>
    <n v="433.72"/>
    <n v="443.39019999999999"/>
    <n v="411.80610000000001"/>
    <x v="0"/>
  </r>
  <r>
    <x v="228"/>
    <n v="434.45"/>
    <n v="443.45800000000003"/>
    <n v="412.14679999999998"/>
    <x v="0"/>
  </r>
  <r>
    <x v="229"/>
    <n v="429.14"/>
    <n v="443.34980000000002"/>
    <n v="412.4692"/>
    <x v="0"/>
  </r>
  <r>
    <x v="230"/>
    <n v="434.24"/>
    <n v="443.3254"/>
    <n v="412.79250000000002"/>
    <x v="0"/>
  </r>
  <r>
    <x v="231"/>
    <n v="428.64"/>
    <n v="443.0994"/>
    <n v="413.08479999999997"/>
    <x v="0"/>
  </r>
  <r>
    <x v="232"/>
    <n v="433.1"/>
    <n v="442.94099999999997"/>
    <n v="413.38920000000002"/>
    <x v="0"/>
  </r>
  <r>
    <x v="233"/>
    <n v="434.9"/>
    <n v="442.85879999999997"/>
    <n v="413.71780000000001"/>
    <x v="0"/>
  </r>
  <r>
    <x v="234"/>
    <n v="438.66"/>
    <n v="442.85539999999997"/>
    <n v="414.0718"/>
    <x v="0"/>
  </r>
  <r>
    <x v="235"/>
    <n v="437.86"/>
    <n v="442.7996"/>
    <n v="414.4248"/>
    <x v="0"/>
  </r>
  <r>
    <x v="236"/>
    <n v="434.69"/>
    <n v="442.72320000000002"/>
    <n v="414.7604"/>
    <x v="0"/>
  </r>
  <r>
    <x v="237"/>
    <n v="433.62"/>
    <n v="442.6438"/>
    <n v="415.08359999999999"/>
    <x v="0"/>
  </r>
  <r>
    <x v="238"/>
    <n v="435.18"/>
    <n v="442.52440000000001"/>
    <n v="415.39859999999999"/>
    <x v="0"/>
  </r>
  <r>
    <x v="239"/>
    <n v="442.5"/>
    <n v="442.59480000000002"/>
    <n v="415.75380000000001"/>
    <x v="0"/>
  </r>
  <r>
    <x v="240"/>
    <n v="445.87"/>
    <n v="442.67700000000002"/>
    <n v="416.1232"/>
    <x v="0"/>
  </r>
  <r>
    <x v="241"/>
    <n v="447.19"/>
    <n v="442.77100000000002"/>
    <n v="416.4898"/>
    <x v="0"/>
  </r>
  <r>
    <x v="242"/>
    <n v="450.64"/>
    <n v="442.94119999999998"/>
    <n v="416.899"/>
    <x v="0"/>
  </r>
  <r>
    <x v="243"/>
    <n v="452.41"/>
    <n v="443.13580000000002"/>
    <n v="417.30439999999999"/>
    <x v="0"/>
  </r>
  <r>
    <x v="244"/>
    <n v="453.59"/>
    <n v="443.33199999999999"/>
    <n v="417.70460000000003"/>
    <x v="0"/>
  </r>
  <r>
    <x v="245"/>
    <n v="453.12"/>
    <n v="443.49220000000003"/>
    <n v="418.07470000000001"/>
    <x v="0"/>
  </r>
  <r>
    <x v="246"/>
    <n v="455.55"/>
    <n v="443.6848"/>
    <n v="418.44619999999998"/>
    <x v="0"/>
  </r>
  <r>
    <x v="247"/>
    <n v="455.96"/>
    <n v="443.8646"/>
    <n v="418.83249999999998"/>
    <x v="0"/>
  </r>
  <r>
    <x v="248"/>
    <n v="453.94"/>
    <n v="444.06259999999997"/>
    <n v="419.20839999999998"/>
    <x v="0"/>
  </r>
  <r>
    <x v="249"/>
    <n v="458.32"/>
    <n v="444.44540000000001"/>
    <n v="419.601"/>
    <x v="0"/>
  </r>
  <r>
    <x v="250"/>
    <n v="459.25"/>
    <n v="444.83319999999998"/>
    <n v="420.005"/>
    <x v="0"/>
  </r>
  <r>
    <x v="251"/>
    <n v="460.04"/>
    <n v="445.16680000000002"/>
    <n v="420.42660000000001"/>
    <x v="0"/>
  </r>
  <r>
    <x v="252"/>
    <n v="461.9"/>
    <n v="445.45960000000002"/>
    <n v="420.84289999999999"/>
    <x v="0"/>
  </r>
  <r>
    <x v="253"/>
    <n v="464.72"/>
    <n v="445.7946"/>
    <n v="421.24700000000001"/>
    <x v="0"/>
  </r>
  <r>
    <x v="254"/>
    <n v="466.91"/>
    <n v="446.15460000000002"/>
    <n v="421.66039999999998"/>
    <x v="0"/>
  </r>
  <r>
    <x v="255"/>
    <n v="468.53"/>
    <n v="446.6"/>
    <n v="422.08859999999999"/>
    <x v="0"/>
  </r>
  <r>
    <x v="256"/>
    <n v="468.93"/>
    <n v="446.97359999999998"/>
    <n v="422.51139999999998"/>
    <x v="0"/>
  </r>
  <r>
    <x v="257"/>
    <n v="467.38"/>
    <n v="447.27659999999997"/>
    <n v="422.92930000000001"/>
    <x v="0"/>
  </r>
  <r>
    <x v="258"/>
    <n v="463.62"/>
    <n v="447.51780000000002"/>
    <n v="423.37540000000001"/>
    <x v="0"/>
  </r>
  <r>
    <x v="259"/>
    <n v="463.77"/>
    <n v="447.75720000000001"/>
    <n v="423.80599999999998"/>
    <x v="0"/>
  </r>
  <r>
    <x v="260"/>
    <n v="467.27"/>
    <n v="448.03879999999998"/>
    <n v="424.29199999999997"/>
    <x v="0"/>
  </r>
  <r>
    <x v="261"/>
    <n v="467.43"/>
    <n v="448.32580000000002"/>
    <n v="424.74799999999999"/>
    <x v="0"/>
  </r>
  <r>
    <x v="262"/>
    <n v="469.28"/>
    <n v="448.68220000000002"/>
    <n v="425.18669999999997"/>
    <x v="0"/>
  </r>
  <r>
    <x v="263"/>
    <n v="468.14"/>
    <n v="449.02679999999998"/>
    <n v="425.6182"/>
    <x v="0"/>
  </r>
  <r>
    <x v="264"/>
    <n v="469.73"/>
    <n v="449.4418"/>
    <n v="426.03579999999999"/>
    <x v="0"/>
  </r>
  <r>
    <x v="265"/>
    <n v="468.89"/>
    <n v="449.91079999999999"/>
    <n v="426.4418"/>
    <x v="0"/>
  </r>
  <r>
    <x v="266"/>
    <n v="467.57"/>
    <n v="450.3306"/>
    <n v="426.827"/>
    <x v="0"/>
  </r>
  <r>
    <x v="267"/>
    <n v="468.19"/>
    <n v="450.81099999999998"/>
    <n v="427.21679999999998"/>
    <x v="0"/>
  </r>
  <r>
    <x v="268"/>
    <n v="469.44"/>
    <n v="451.24220000000003"/>
    <n v="427.61360000000002"/>
    <x v="0"/>
  </r>
  <r>
    <x v="269"/>
    <n v="458.97"/>
    <n v="451.47820000000002"/>
    <n v="427.95479999999998"/>
    <x v="0"/>
  </r>
  <r>
    <x v="270"/>
    <n v="464.6"/>
    <n v="451.94220000000001"/>
    <n v="428.31459999999998"/>
    <x v="0"/>
  </r>
  <r>
    <x v="271"/>
    <n v="455.56"/>
    <n v="452.37259999999998"/>
    <n v="428.63099999999997"/>
    <x v="0"/>
  </r>
  <r>
    <x v="272"/>
    <n v="450.5"/>
    <n v="452.71"/>
    <n v="428.92149999999998"/>
    <x v="0"/>
  </r>
  <r>
    <x v="273"/>
    <n v="457.4"/>
    <n v="453.10079999999999"/>
    <n v="429.25490000000002"/>
    <x v="0"/>
  </r>
  <r>
    <x v="274"/>
    <n v="453.42"/>
    <n v="453.30560000000003"/>
    <n v="429.5718"/>
    <x v="0"/>
  </r>
  <r>
    <x v="275"/>
    <n v="458.79"/>
    <n v="453.60320000000002"/>
    <n v="429.93060000000003"/>
    <x v="0"/>
  </r>
  <r>
    <x v="276"/>
    <n v="468.28"/>
    <n v="454.11599999999999"/>
    <n v="430.33460000000002"/>
    <x v="0"/>
  </r>
  <r>
    <x v="277"/>
    <n v="469.52"/>
    <n v="454.83199999999999"/>
    <n v="430.72329999999999"/>
    <x v="0"/>
  </r>
  <r>
    <x v="278"/>
    <n v="466.35"/>
    <n v="455.47"/>
    <n v="431.14339999999999"/>
    <x v="0"/>
  </r>
  <r>
    <x v="279"/>
    <n v="470.74"/>
    <n v="456.30200000000002"/>
    <n v="431.59530000000001"/>
    <x v="0"/>
  </r>
  <r>
    <x v="280"/>
    <n v="466.57"/>
    <n v="456.9486"/>
    <n v="431.98020000000002"/>
    <x v="0"/>
  </r>
  <r>
    <x v="281"/>
    <n v="463.36"/>
    <n v="457.64299999999997"/>
    <n v="432.36439999999999"/>
    <x v="0"/>
  </r>
  <r>
    <x v="282"/>
    <n v="470.6"/>
    <n v="458.39299999999997"/>
    <n v="432.81020000000001"/>
    <x v="0"/>
  </r>
  <r>
    <x v="283"/>
    <n v="466.45"/>
    <n v="459.024"/>
    <n v="433.25900000000001"/>
    <x v="0"/>
  </r>
  <r>
    <x v="284"/>
    <n v="459.87"/>
    <n v="459.44819999999999"/>
    <n v="433.64019999999999"/>
    <x v="0"/>
  </r>
  <r>
    <x v="285"/>
    <n v="454.98"/>
    <n v="459.79059999999998"/>
    <n v="434.00650000000002"/>
    <x v="0"/>
  </r>
  <r>
    <x v="286"/>
    <n v="463.06"/>
    <n v="460.358"/>
    <n v="434.38600000000002"/>
    <x v="0"/>
  </r>
  <r>
    <x v="287"/>
    <n v="467.69"/>
    <n v="461.0394"/>
    <n v="434.7765"/>
    <x v="0"/>
  </r>
  <r>
    <x v="288"/>
    <n v="470.6"/>
    <n v="461.74779999999998"/>
    <n v="435.16180000000003"/>
    <x v="0"/>
  </r>
  <r>
    <x v="289"/>
    <n v="477.26"/>
    <n v="462.44299999999998"/>
    <n v="435.57780000000002"/>
    <x v="0"/>
  </r>
  <r>
    <x v="290"/>
    <n v="476.87"/>
    <n v="463.06299999999999"/>
    <n v="435.98020000000002"/>
    <x v="0"/>
  </r>
  <r>
    <x v="291"/>
    <n v="477.48"/>
    <n v="463.66879999999998"/>
    <n v="436.38799999999998"/>
    <x v="0"/>
  </r>
  <r>
    <x v="292"/>
    <n v="476.16"/>
    <n v="464.17919999999998"/>
    <n v="436.78250000000003"/>
    <x v="0"/>
  </r>
  <r>
    <x v="293"/>
    <n v="474.96"/>
    <n v="464.6302"/>
    <n v="437.19990000000001"/>
    <x v="0"/>
  </r>
  <r>
    <x v="294"/>
    <n v="477.71"/>
    <n v="465.11259999999999"/>
    <n v="437.64100000000002"/>
    <x v="0"/>
  </r>
  <r>
    <x v="295"/>
    <n v="477.55"/>
    <n v="465.60120000000001"/>
    <n v="438.06580000000002"/>
    <x v="0"/>
  </r>
  <r>
    <x v="296"/>
    <n v="468.38"/>
    <n v="465.8578"/>
    <n v="438.46019999999999"/>
    <x v="0"/>
  </r>
  <r>
    <x v="297"/>
    <n v="467.94"/>
    <n v="466.09739999999999"/>
    <n v="438.86239999999998"/>
    <x v="0"/>
  </r>
  <r>
    <x v="298"/>
    <n v="466.09"/>
    <n v="466.34039999999999"/>
    <n v="439.24430000000001"/>
    <x v="0"/>
  </r>
  <r>
    <x v="299"/>
    <n v="465.51"/>
    <n v="466.48419999999999"/>
    <n v="439.59199999999998"/>
    <x v="0"/>
  </r>
  <r>
    <x v="300"/>
    <n v="469.75"/>
    <n v="466.69420000000002"/>
    <n v="439.96179999999998"/>
    <x v="0"/>
  </r>
  <r>
    <x v="301"/>
    <n v="471.02"/>
    <n v="466.91379999999998"/>
    <n v="440.34320000000002"/>
    <x v="0"/>
  </r>
  <r>
    <x v="302"/>
    <n v="464.53"/>
    <n v="466.96640000000002"/>
    <n v="440.68419999999998"/>
    <x v="0"/>
  </r>
  <r>
    <x v="303"/>
    <n v="464.72"/>
    <n v="466.96640000000002"/>
    <n v="441.00479999999999"/>
    <x v="0"/>
  </r>
  <r>
    <x v="304"/>
    <n v="456.49"/>
    <n v="466.75799999999998"/>
    <n v="441.25540000000001"/>
    <x v="0"/>
  </r>
  <r>
    <x v="305"/>
    <n v="451.75"/>
    <n v="466.42239999999998"/>
    <n v="441.48360000000002"/>
    <x v="0"/>
  </r>
  <r>
    <x v="306"/>
    <n v="446.75"/>
    <n v="465.97879999999998"/>
    <n v="441.68439999999998"/>
    <x v="0"/>
  </r>
  <r>
    <x v="307"/>
    <n v="437.98"/>
    <n v="465.39080000000001"/>
    <n v="441.83170000000001"/>
    <x v="0"/>
  </r>
  <r>
    <x v="308"/>
    <n v="439.84"/>
    <n v="464.91520000000003"/>
    <n v="441.97340000000003"/>
    <x v="0"/>
  </r>
  <r>
    <x v="309"/>
    <n v="434.47"/>
    <n v="464.32920000000001"/>
    <n v="442.08760000000001"/>
    <x v="0"/>
  </r>
  <r>
    <x v="310"/>
    <n v="433.38"/>
    <n v="463.65140000000002"/>
    <n v="442.1902"/>
    <x v="0"/>
  </r>
  <r>
    <x v="311"/>
    <n v="431.24"/>
    <n v="462.92759999999998"/>
    <n v="442.28919999999999"/>
    <x v="0"/>
  </r>
  <r>
    <x v="312"/>
    <n v="441.95"/>
    <n v="462.38099999999997"/>
    <n v="442.4196"/>
    <x v="0"/>
  </r>
  <r>
    <x v="313"/>
    <n v="449.91"/>
    <n v="462.01639999999998"/>
    <n v="442.58280000000002"/>
    <x v="0"/>
  </r>
  <r>
    <x v="314"/>
    <n v="452.95"/>
    <n v="461.68079999999998"/>
    <n v="442.7715"/>
    <x v="0"/>
  </r>
  <r>
    <x v="315"/>
    <n v="457.35"/>
    <n v="461.45"/>
    <n v="442.99740000000003"/>
    <x v="0"/>
  </r>
  <r>
    <x v="316"/>
    <n v="446.6"/>
    <n v="461.03059999999999"/>
    <n v="443.15"/>
    <x v="0"/>
  </r>
  <r>
    <x v="317"/>
    <n v="448.7"/>
    <n v="460.64080000000001"/>
    <n v="443.3322"/>
    <x v="0"/>
  </r>
  <r>
    <x v="318"/>
    <n v="447.26"/>
    <n v="460.19720000000001"/>
    <n v="443.48480000000001"/>
    <x v="0"/>
  </r>
  <r>
    <x v="319"/>
    <n v="450.94"/>
    <n v="460.03660000000002"/>
    <n v="443.65140000000002"/>
    <x v="0"/>
  </r>
  <r>
    <x v="320"/>
    <n v="457.54"/>
    <n v="459.8954"/>
    <n v="443.85160000000002"/>
    <x v="0"/>
  </r>
  <r>
    <x v="321"/>
    <n v="449.32"/>
    <n v="459.7706"/>
    <n v="444.01119999999997"/>
    <x v="0"/>
  </r>
  <r>
    <x v="322"/>
    <n v="440.46"/>
    <n v="459.56979999999999"/>
    <n v="444.11320000000001"/>
    <x v="0"/>
  </r>
  <r>
    <x v="323"/>
    <n v="439.02"/>
    <n v="459.2022"/>
    <n v="444.22179999999997"/>
    <x v="0"/>
  </r>
  <r>
    <x v="324"/>
    <n v="446.1"/>
    <n v="459.05579999999998"/>
    <n v="444.3612"/>
    <x v="0"/>
  </r>
  <r>
    <x v="325"/>
    <n v="446.6"/>
    <n v="458.81200000000001"/>
    <n v="444.51620000000003"/>
    <x v="0"/>
  </r>
  <r>
    <x v="326"/>
    <n v="437.06"/>
    <n v="458.18759999999997"/>
    <n v="444.62270000000001"/>
    <x v="0"/>
  </r>
  <r>
    <x v="327"/>
    <n v="434.23"/>
    <n v="457.48180000000002"/>
    <n v="444.69850000000002"/>
    <x v="0"/>
  </r>
  <r>
    <x v="328"/>
    <n v="429.57"/>
    <n v="456.74619999999999"/>
    <n v="444.73579999999998"/>
    <x v="0"/>
  </r>
  <r>
    <x v="329"/>
    <n v="421.95"/>
    <n v="455.7704"/>
    <n v="444.75580000000002"/>
    <x v="0"/>
  </r>
  <r>
    <x v="330"/>
    <n v="428.3"/>
    <n v="455.005"/>
    <n v="444.82619999999997"/>
    <x v="0"/>
  </r>
  <r>
    <x v="331"/>
    <n v="437.75"/>
    <n v="454.49279999999999"/>
    <n v="444.988"/>
    <x v="0"/>
  </r>
  <r>
    <x v="332"/>
    <n v="436.63"/>
    <n v="453.8134"/>
    <n v="445.11970000000002"/>
    <x v="0"/>
  </r>
  <r>
    <x v="333"/>
    <n v="429.98"/>
    <n v="453.084"/>
    <n v="445.18669999999997"/>
    <x v="0"/>
  </r>
  <r>
    <x v="334"/>
    <n v="437.89"/>
    <n v="452.64440000000002"/>
    <n v="445.29860000000002"/>
    <x v="0"/>
  </r>
  <r>
    <x v="335"/>
    <n v="435.71"/>
    <n v="452.25900000000001"/>
    <n v="445.41739999999999"/>
    <x v="0"/>
  </r>
  <r>
    <x v="336"/>
    <n v="432.17"/>
    <n v="451.64120000000003"/>
    <n v="445.524"/>
    <x v="0"/>
  </r>
  <r>
    <x v="337"/>
    <n v="419.43"/>
    <n v="450.67599999999999"/>
    <n v="445.54469999999998"/>
    <x v="0"/>
  </r>
  <r>
    <x v="338"/>
    <n v="416.25"/>
    <n v="449.589"/>
    <n v="445.55119999999999"/>
    <x v="0"/>
  </r>
  <r>
    <x v="339"/>
    <n v="427.41"/>
    <n v="448.59199999999998"/>
    <n v="445.5924"/>
    <x v="0"/>
  </r>
  <r>
    <x v="340"/>
    <n v="425.48"/>
    <n v="447.56420000000003"/>
    <n v="445.62860000000001"/>
    <x v="0"/>
  </r>
  <r>
    <x v="341"/>
    <n v="420.07"/>
    <n v="446.416"/>
    <n v="445.6336"/>
    <x v="0"/>
  </r>
  <r>
    <x v="342"/>
    <n v="417"/>
    <n v="445.2328"/>
    <n v="445.62220000000002"/>
    <x v="0"/>
  </r>
  <r>
    <x v="343"/>
    <n v="426.17"/>
    <n v="444.25700000000001"/>
    <n v="445.65280000000001"/>
    <x v="0"/>
  </r>
  <r>
    <x v="344"/>
    <n v="435.62"/>
    <n v="443.41520000000003"/>
    <n v="445.73259999999999"/>
    <x v="0"/>
  </r>
  <r>
    <x v="345"/>
    <n v="441.07"/>
    <n v="442.68560000000002"/>
    <n v="445.83629999999999"/>
    <x v="0"/>
  </r>
  <r>
    <x v="346"/>
    <n v="444.52"/>
    <n v="442.20839999999998"/>
    <n v="445.96499999999997"/>
    <x v="0"/>
  </r>
  <r>
    <x v="347"/>
    <n v="444.39"/>
    <n v="441.73739999999998"/>
    <n v="446.07400000000001"/>
    <x v="0"/>
  </r>
  <r>
    <x v="348"/>
    <n v="449.59"/>
    <n v="441.4074"/>
    <n v="446.21100000000001"/>
    <x v="0"/>
  </r>
  <r>
    <x v="349"/>
    <n v="443.8"/>
    <n v="440.97320000000002"/>
    <n v="446.3186"/>
    <x v="0"/>
  </r>
  <r>
    <x v="350"/>
    <n v="450.49"/>
    <n v="440.58800000000002"/>
    <n v="446.46280000000002"/>
    <x v="0"/>
  </r>
  <r>
    <x v="351"/>
    <n v="452.69"/>
    <n v="440.22140000000002"/>
    <n v="446.60820000000001"/>
    <x v="0"/>
  </r>
  <r>
    <x v="352"/>
    <n v="455.91"/>
    <n v="440.04899999999998"/>
    <n v="446.76620000000003"/>
    <x v="0"/>
  </r>
  <r>
    <x v="353"/>
    <n v="461.55"/>
    <n v="439.98559999999998"/>
    <n v="446.94760000000002"/>
    <x v="0"/>
  </r>
  <r>
    <x v="354"/>
    <n v="458.7"/>
    <n v="440.02980000000002"/>
    <n v="447.11880000000002"/>
    <x v="0"/>
  </r>
  <r>
    <x v="355"/>
    <n v="451.64"/>
    <n v="440.02760000000001"/>
    <n v="447.26639999999998"/>
    <x v="0"/>
  </r>
  <r>
    <x v="356"/>
    <n v="452.92"/>
    <n v="440.15100000000001"/>
    <n v="447.4212"/>
    <x v="0"/>
  </r>
  <r>
    <x v="357"/>
    <n v="456.8"/>
    <n v="440.5274"/>
    <n v="447.63060000000002"/>
    <x v="0"/>
  </r>
  <r>
    <x v="358"/>
    <n v="451.03"/>
    <n v="440.75119999999998"/>
    <n v="447.78140000000002"/>
    <x v="0"/>
  </r>
  <r>
    <x v="359"/>
    <n v="446.52"/>
    <n v="440.99220000000003"/>
    <n v="447.89839999999998"/>
    <x v="0"/>
  </r>
  <r>
    <x v="360"/>
    <n v="448.77"/>
    <n v="441.3"/>
    <n v="448.02929999999998"/>
    <x v="0"/>
  </r>
  <r>
    <x v="361"/>
    <n v="447.57"/>
    <n v="441.6266"/>
    <n v="448.14159999999998"/>
    <x v="0"/>
  </r>
  <r>
    <x v="362"/>
    <n v="439.92"/>
    <n v="441.58600000000001"/>
    <n v="448.20819999999998"/>
    <x v="0"/>
  </r>
  <r>
    <x v="363"/>
    <n v="438.29"/>
    <n v="441.35359999999997"/>
    <n v="448.26229999999998"/>
    <x v="0"/>
  </r>
  <r>
    <x v="364"/>
    <n v="443.31"/>
    <n v="441.16079999999999"/>
    <n v="448.34039999999999"/>
    <x v="0"/>
  </r>
  <r>
    <x v="365"/>
    <n v="437.79"/>
    <n v="440.76960000000003"/>
    <n v="448.38900000000001"/>
    <x v="0"/>
  </r>
  <r>
    <x v="366"/>
    <n v="437.97"/>
    <n v="440.59699999999998"/>
    <n v="448.42669999999998"/>
    <x v="0"/>
  </r>
  <r>
    <x v="367"/>
    <n v="445.04"/>
    <n v="440.52379999999999"/>
    <n v="448.48329999999999"/>
    <x v="0"/>
  </r>
  <r>
    <x v="368"/>
    <n v="444.71"/>
    <n v="440.47280000000001"/>
    <n v="448.54219999999998"/>
    <x v="0"/>
  </r>
  <r>
    <x v="369"/>
    <n v="438.06"/>
    <n v="440.21519999999998"/>
    <n v="448.56020000000001"/>
    <x v="0"/>
  </r>
  <r>
    <x v="370"/>
    <n v="426.04"/>
    <n v="439.58519999999999"/>
    <n v="448.53579999999999"/>
    <x v="0"/>
  </r>
  <r>
    <x v="371"/>
    <n v="428.51"/>
    <n v="439.16899999999998"/>
    <n v="448.50080000000003"/>
    <x v="0"/>
  </r>
  <r>
    <x v="372"/>
    <n v="416.1"/>
    <n v="438.68180000000001"/>
    <n v="448.39580000000001"/>
    <x v="0"/>
  </r>
  <r>
    <x v="373"/>
    <n v="417.27"/>
    <n v="438.24680000000001"/>
    <n v="448.30419999999998"/>
    <x v="0"/>
  </r>
  <r>
    <x v="374"/>
    <n v="427.81"/>
    <n v="437.88099999999997"/>
    <n v="448.26209999999998"/>
    <x v="0"/>
  </r>
  <r>
    <x v="375"/>
    <n v="412"/>
    <n v="437.18900000000002"/>
    <n v="448.14839999999998"/>
    <x v="0"/>
  </r>
  <r>
    <x v="376"/>
    <n v="414.48"/>
    <n v="436.73739999999998"/>
    <n v="448.06400000000002"/>
    <x v="0"/>
  </r>
  <r>
    <x v="377"/>
    <n v="416.38"/>
    <n v="436.38040000000001"/>
    <n v="448.02109999999999"/>
    <x v="0"/>
  </r>
  <r>
    <x v="378"/>
    <n v="429.06"/>
    <n v="436.37020000000001"/>
    <n v="448.0111"/>
    <x v="0"/>
  </r>
  <r>
    <x v="379"/>
    <n v="413.81"/>
    <n v="436.20740000000001"/>
    <n v="447.9074"/>
    <x v="0"/>
  </r>
  <r>
    <x v="380"/>
    <n v="411.34"/>
    <n v="435.8682"/>
    <n v="447.78680000000003"/>
    <x v="0"/>
  </r>
  <r>
    <x v="381"/>
    <n v="398.17"/>
    <n v="435.07659999999998"/>
    <n v="447.57799999999997"/>
    <x v="0"/>
  </r>
  <r>
    <x v="382"/>
    <n v="399.09"/>
    <n v="434.32580000000002"/>
    <n v="447.36829999999998"/>
    <x v="0"/>
  </r>
  <r>
    <x v="383"/>
    <n v="392.75"/>
    <n v="433.58120000000002"/>
    <n v="447.137"/>
    <x v="0"/>
  </r>
  <r>
    <x v="384"/>
    <n v="392.34"/>
    <n v="432.67020000000002"/>
    <n v="446.90460000000002"/>
    <x v="0"/>
  </r>
  <r>
    <x v="385"/>
    <n v="401.72"/>
    <n v="431.99040000000002"/>
    <n v="446.7099"/>
    <x v="0"/>
  </r>
  <r>
    <x v="386"/>
    <n v="400.09"/>
    <n v="431.34879999999998"/>
    <n v="446.51780000000002"/>
    <x v="0"/>
  </r>
  <r>
    <x v="387"/>
    <n v="408.32"/>
    <n v="431.1266"/>
    <n v="446.37139999999999"/>
    <x v="0"/>
  </r>
  <r>
    <x v="388"/>
    <n v="391.86"/>
    <n v="430.6388"/>
    <n v="446.125"/>
    <x v="0"/>
  </r>
  <r>
    <x v="389"/>
    <n v="389.46"/>
    <n v="429.87979999999999"/>
    <n v="445.87740000000002"/>
    <x v="0"/>
  </r>
  <r>
    <x v="390"/>
    <n v="389.63"/>
    <n v="429.1628"/>
    <n v="445.61680000000001"/>
    <x v="0"/>
  </r>
  <r>
    <x v="391"/>
    <n v="396.92"/>
    <n v="428.69979999999998"/>
    <n v="445.38889999999998"/>
    <x v="0"/>
  </r>
  <r>
    <x v="392"/>
    <n v="393.89"/>
    <n v="428.23759999999999"/>
    <n v="445.14769999999999"/>
    <x v="0"/>
  </r>
  <r>
    <x v="393"/>
    <n v="397.37"/>
    <n v="427.66160000000002"/>
    <n v="444.9212"/>
    <x v="0"/>
  </r>
  <r>
    <x v="394"/>
    <n v="405.31"/>
    <n v="427.05540000000002"/>
    <n v="444.72879999999998"/>
    <x v="0"/>
  </r>
  <r>
    <x v="395"/>
    <n v="415.26"/>
    <n v="426.53919999999999"/>
    <n v="444.57960000000003"/>
    <x v="0"/>
  </r>
  <r>
    <x v="396"/>
    <n v="412.93"/>
    <n v="425.9074"/>
    <n v="444.41460000000001"/>
    <x v="0"/>
  </r>
  <r>
    <x v="397"/>
    <n v="409.59"/>
    <n v="425.21140000000003"/>
    <n v="444.22770000000003"/>
    <x v="0"/>
  </r>
  <r>
    <x v="398"/>
    <n v="417.39"/>
    <n v="424.56740000000002"/>
    <n v="444.09440000000001"/>
    <x v="0"/>
  </r>
  <r>
    <x v="399"/>
    <n v="410.54"/>
    <n v="423.90219999999999"/>
    <n v="443.95119999999997"/>
    <x v="0"/>
  </r>
  <r>
    <x v="400"/>
    <n v="411.79"/>
    <n v="423.12819999999999"/>
    <n v="443.8109"/>
    <x v="0"/>
  </r>
  <r>
    <x v="401"/>
    <n v="415.74"/>
    <n v="422.38920000000002"/>
    <n v="443.6728"/>
    <x v="0"/>
  </r>
  <r>
    <x v="402"/>
    <n v="411.22"/>
    <n v="421.49540000000002"/>
    <n v="443.49259999999998"/>
    <x v="0"/>
  </r>
  <r>
    <x v="403"/>
    <n v="401.44"/>
    <n v="420.29320000000001"/>
    <n v="443.26"/>
    <x v="0"/>
  </r>
  <r>
    <x v="404"/>
    <n v="389.8"/>
    <n v="418.91520000000003"/>
    <n v="442.96440000000001"/>
    <x v="0"/>
  </r>
  <r>
    <x v="405"/>
    <n v="375"/>
    <n v="417.38240000000002"/>
    <n v="442.60809999999998"/>
    <x v="0"/>
  </r>
  <r>
    <x v="406"/>
    <n v="373.87"/>
    <n v="415.8014"/>
    <n v="442.22620000000001"/>
    <x v="0"/>
  </r>
  <r>
    <x v="407"/>
    <n v="379.2"/>
    <n v="414.24939999999998"/>
    <n v="441.86099999999999"/>
    <x v="0"/>
  </r>
  <r>
    <x v="408"/>
    <n v="366.65"/>
    <n v="412.56180000000001"/>
    <n v="441.43650000000002"/>
    <x v="0"/>
  </r>
  <r>
    <x v="409"/>
    <n v="365.86"/>
    <n v="410.9486"/>
    <n v="441.0068"/>
    <x v="0"/>
  </r>
  <r>
    <x v="410"/>
    <n v="375.07"/>
    <n v="409.47460000000001"/>
    <n v="440.61619999999999"/>
    <x v="0"/>
  </r>
  <r>
    <x v="411"/>
    <n v="374.39"/>
    <n v="408.01100000000002"/>
    <n v="440.22280000000001"/>
    <x v="0"/>
  </r>
  <r>
    <x v="412"/>
    <n v="378.06"/>
    <n v="406.77379999999999"/>
    <n v="439.85579999999999"/>
    <x v="0"/>
  </r>
  <r>
    <x v="413"/>
    <n v="390.08"/>
    <n v="405.80959999999999"/>
    <n v="439.55160000000001"/>
    <x v="0"/>
  </r>
  <r>
    <x v="414"/>
    <n v="388.59"/>
    <n v="404.71519999999998"/>
    <n v="439.24959999999999"/>
    <x v="0"/>
  </r>
  <r>
    <x v="415"/>
    <n v="380.65"/>
    <n v="403.57240000000002"/>
    <n v="438.92570000000001"/>
    <x v="0"/>
  </r>
  <r>
    <x v="416"/>
    <n v="380.34"/>
    <n v="402.41980000000001"/>
    <n v="438.59449999999998"/>
    <x v="0"/>
  </r>
  <r>
    <x v="417"/>
    <n v="377.25"/>
    <n v="401.06400000000002"/>
    <n v="438.25990000000002"/>
    <x v="0"/>
  </r>
  <r>
    <x v="418"/>
    <n v="381.24"/>
    <n v="399.7946"/>
    <n v="437.92669999999998"/>
    <x v="0"/>
  </r>
  <r>
    <x v="419"/>
    <n v="381.96"/>
    <n v="398.67259999999999"/>
    <n v="437.60059999999999"/>
    <x v="0"/>
  </r>
  <r>
    <x v="420"/>
    <n v="383.25"/>
    <n v="397.8168"/>
    <n v="437.30990000000003"/>
    <x v="0"/>
  </r>
  <r>
    <x v="421"/>
    <n v="388.99"/>
    <n v="397.02640000000002"/>
    <n v="437.08460000000002"/>
    <x v="0"/>
  </r>
  <r>
    <x v="422"/>
    <n v="388.67"/>
    <n v="396.4778"/>
    <n v="436.85980000000001"/>
    <x v="0"/>
  </r>
  <r>
    <x v="423"/>
    <n v="384.23"/>
    <n v="395.81700000000001"/>
    <n v="436.5917"/>
    <x v="0"/>
  </r>
  <r>
    <x v="424"/>
    <n v="380.83"/>
    <n v="394.87740000000002"/>
    <n v="436.28"/>
    <x v="0"/>
  </r>
  <r>
    <x v="425"/>
    <n v="378.83"/>
    <n v="394.214"/>
    <n v="435.95460000000003"/>
    <x v="0"/>
  </r>
  <r>
    <x v="426"/>
    <n v="377.91"/>
    <n v="393.48259999999999"/>
    <n v="435.6309"/>
    <x v="0"/>
  </r>
  <r>
    <x v="427"/>
    <n v="385.13"/>
    <n v="392.85759999999999"/>
    <n v="435.38799999999998"/>
    <x v="0"/>
  </r>
  <r>
    <x v="428"/>
    <n v="381.95"/>
    <n v="391.91539999999998"/>
    <n v="435.12540000000001"/>
    <x v="0"/>
  </r>
  <r>
    <x v="429"/>
    <n v="392.27"/>
    <n v="391.4846"/>
    <n v="434.94110000000001"/>
    <x v="0"/>
  </r>
  <r>
    <x v="430"/>
    <n v="394.77"/>
    <n v="391.15320000000003"/>
    <n v="434.74380000000002"/>
    <x v="0"/>
  </r>
  <r>
    <x v="431"/>
    <n v="398.79"/>
    <n v="391.16559999999998"/>
    <n v="434.59449999999998"/>
    <x v="0"/>
  </r>
  <r>
    <x v="432"/>
    <n v="395.09"/>
    <n v="391.0856"/>
    <n v="434.40440000000001"/>
    <x v="0"/>
  </r>
  <r>
    <x v="433"/>
    <n v="395.57"/>
    <n v="391.142"/>
    <n v="434.20780000000002"/>
    <x v="0"/>
  </r>
  <r>
    <x v="434"/>
    <n v="390.89"/>
    <n v="391.113"/>
    <n v="433.96899999999999"/>
    <x v="0"/>
  </r>
  <r>
    <x v="435"/>
    <n v="401.04"/>
    <n v="391.0994"/>
    <n v="433.78480000000002"/>
    <x v="0"/>
  </r>
  <r>
    <x v="436"/>
    <n v="406.07"/>
    <n v="391.21899999999999"/>
    <n v="433.64179999999999"/>
    <x v="0"/>
  </r>
  <r>
    <x v="437"/>
    <n v="411.99"/>
    <n v="391.29239999999999"/>
    <n v="433.53359999999998"/>
    <x v="0"/>
  </r>
  <r>
    <x v="438"/>
    <n v="410.77"/>
    <n v="391.67059999999998"/>
    <n v="433.41160000000002"/>
    <x v="0"/>
  </r>
  <r>
    <x v="439"/>
    <n v="408.06"/>
    <n v="392.04259999999999"/>
    <n v="433.23939999999999"/>
    <x v="0"/>
  </r>
  <r>
    <x v="440"/>
    <n v="414.45"/>
    <n v="392.53899999999999"/>
    <n v="433.0822"/>
    <x v="0"/>
  </r>
  <r>
    <x v="441"/>
    <n v="414.17"/>
    <n v="392.88400000000001"/>
    <n v="432.91719999999998"/>
    <x v="0"/>
  </r>
  <r>
    <x v="442"/>
    <n v="413.47"/>
    <n v="393.2756"/>
    <n v="432.73129999999998"/>
    <x v="0"/>
  </r>
  <r>
    <x v="443"/>
    <n v="412.99"/>
    <n v="393.58800000000002"/>
    <n v="432.5342"/>
    <x v="0"/>
  </r>
  <r>
    <x v="444"/>
    <n v="411.35"/>
    <n v="393.7088"/>
    <n v="432.32299999999998"/>
    <x v="0"/>
  </r>
  <r>
    <x v="445"/>
    <n v="419.99"/>
    <n v="393.80340000000001"/>
    <n v="432.1574"/>
    <x v="0"/>
  </r>
  <r>
    <x v="446"/>
    <n v="419.99"/>
    <n v="393.94459999999998"/>
    <n v="431.9796"/>
    <x v="0"/>
  </r>
  <r>
    <x v="447"/>
    <n v="427.1"/>
    <n v="394.29480000000001"/>
    <n v="431.83519999999999"/>
    <x v="0"/>
  </r>
  <r>
    <x v="448"/>
    <n v="428.86"/>
    <n v="394.52420000000001"/>
    <n v="431.70979999999997"/>
    <x v="0"/>
  </r>
  <r>
    <x v="449"/>
    <n v="429.7"/>
    <n v="394.9074"/>
    <n v="431.5668"/>
    <x v="0"/>
  </r>
  <r>
    <x v="450"/>
    <n v="426.65"/>
    <n v="395.20460000000003"/>
    <n v="431.40379999999999"/>
    <x v="0"/>
  </r>
  <r>
    <x v="451"/>
    <n v="427.89"/>
    <n v="395.44760000000002"/>
    <n v="431.24299999999999"/>
    <x v="0"/>
  </r>
  <r>
    <x v="452"/>
    <n v="422.14"/>
    <n v="395.666"/>
    <n v="431.04419999999999"/>
    <x v="0"/>
  </r>
  <r>
    <x v="453"/>
    <n v="413.35"/>
    <n v="395.9042"/>
    <n v="430.78739999999999"/>
    <x v="0"/>
  </r>
  <r>
    <x v="454"/>
    <n v="412.35"/>
    <n v="396.35520000000002"/>
    <n v="430.51459999999997"/>
    <x v="0"/>
  </r>
  <r>
    <x v="455"/>
    <n v="413.67"/>
    <n v="397.12860000000001"/>
    <n v="430.24020000000002"/>
    <x v="0"/>
  </r>
  <r>
    <x v="456"/>
    <n v="419.51"/>
    <n v="398.04140000000001"/>
    <n v="429.9932"/>
    <x v="0"/>
  </r>
  <r>
    <x v="457"/>
    <n v="405.31"/>
    <n v="398.56360000000001"/>
    <n v="429.68279999999999"/>
    <x v="0"/>
  </r>
  <r>
    <x v="458"/>
    <n v="402.63"/>
    <n v="399.28320000000002"/>
    <n v="429.37779999999998"/>
    <x v="0"/>
  </r>
  <r>
    <x v="459"/>
    <n v="398.21"/>
    <n v="399.93020000000001"/>
    <n v="429.05"/>
    <x v="0"/>
  </r>
  <r>
    <x v="460"/>
    <n v="395.18"/>
    <n v="400.33240000000001"/>
    <n v="428.68959999999998"/>
    <x v="0"/>
  </r>
  <r>
    <x v="461"/>
    <n v="396.42"/>
    <n v="400.77300000000002"/>
    <n v="428.33460000000002"/>
    <x v="0"/>
  </r>
  <r>
    <x v="462"/>
    <n v="392.24"/>
    <n v="401.0566"/>
    <n v="427.94940000000003"/>
    <x v="0"/>
  </r>
  <r>
    <x v="463"/>
    <n v="390.76"/>
    <n v="401.0702"/>
    <n v="427.56240000000003"/>
    <x v="0"/>
  </r>
  <r>
    <x v="464"/>
    <n v="397.78"/>
    <n v="401.25400000000002"/>
    <n v="427.20269999999999"/>
    <x v="0"/>
  </r>
  <r>
    <x v="465"/>
    <n v="400.38"/>
    <n v="401.64859999999999"/>
    <n v="426.86020000000002"/>
    <x v="0"/>
  </r>
  <r>
    <x v="466"/>
    <n v="406.6"/>
    <n v="402.17380000000003"/>
    <n v="426.55529999999999"/>
    <x v="0"/>
  </r>
  <r>
    <x v="467"/>
    <n v="410.97"/>
    <n v="402.84820000000002"/>
    <n v="426.26920000000001"/>
    <x v="0"/>
  </r>
  <r>
    <x v="468"/>
    <n v="393.1"/>
    <n v="403.08539999999999"/>
    <n v="425.88749999999999"/>
    <x v="0"/>
  </r>
  <r>
    <x v="469"/>
    <n v="394.6"/>
    <n v="403.33819999999997"/>
    <n v="425.56560000000002"/>
    <x v="0"/>
  </r>
  <r>
    <x v="470"/>
    <n v="390.12"/>
    <n v="403.47559999999999"/>
    <n v="425.19319999999999"/>
    <x v="0"/>
  </r>
  <r>
    <x v="471"/>
    <n v="385.56"/>
    <n v="403.40699999999998"/>
    <n v="424.84320000000002"/>
    <x v="0"/>
  </r>
  <r>
    <x v="472"/>
    <n v="388.55"/>
    <n v="403.40460000000002"/>
    <n v="424.5335"/>
    <x v="0"/>
  </r>
  <r>
    <x v="473"/>
    <n v="384.09"/>
    <n v="403.40179999999998"/>
    <n v="424.16699999999997"/>
    <x v="0"/>
  </r>
  <r>
    <x v="474"/>
    <n v="377.39"/>
    <n v="403.33300000000003"/>
    <n v="423.78680000000003"/>
    <x v="0"/>
  </r>
  <r>
    <x v="475"/>
    <n v="374.22"/>
    <n v="403.24079999999998"/>
    <n v="423.36399999999998"/>
    <x v="0"/>
  </r>
  <r>
    <x v="476"/>
    <n v="367.95"/>
    <n v="403.04160000000002"/>
    <n v="422.8623"/>
    <x v="0"/>
  </r>
  <r>
    <x v="477"/>
    <n v="364.31"/>
    <n v="402.62520000000001"/>
    <n v="422.33620000000002"/>
    <x v="0"/>
  </r>
  <r>
    <x v="478"/>
    <n v="363.38"/>
    <n v="402.25380000000001"/>
    <n v="421.82139999999998"/>
    <x v="0"/>
  </r>
  <r>
    <x v="479"/>
    <n v="370.53"/>
    <n v="401.81900000000002"/>
    <n v="421.32040000000001"/>
    <x v="0"/>
  </r>
  <r>
    <x v="480"/>
    <n v="362.79"/>
    <n v="401.17939999999999"/>
    <n v="420.8014"/>
    <x v="0"/>
  </r>
  <r>
    <x v="481"/>
    <n v="357.18"/>
    <n v="400.34719999999999"/>
    <n v="420.2706"/>
    <x v="0"/>
  </r>
  <r>
    <x v="482"/>
    <n v="366.61"/>
    <n v="399.77760000000001"/>
    <n v="419.75060000000002"/>
    <x v="0"/>
  </r>
  <r>
    <x v="483"/>
    <n v="377.97"/>
    <n v="399.42559999999997"/>
    <n v="419.3082"/>
    <x v="0"/>
  </r>
  <r>
    <x v="484"/>
    <n v="377.09"/>
    <n v="399.14960000000002"/>
    <n v="418.89429999999999"/>
    <x v="0"/>
  </r>
  <r>
    <x v="485"/>
    <n v="373.2"/>
    <n v="398.59280000000001"/>
    <n v="418.48540000000003"/>
    <x v="0"/>
  </r>
  <r>
    <x v="486"/>
    <n v="362.79"/>
    <n v="397.72719999999998"/>
    <n v="417.98399999999998"/>
    <x v="0"/>
  </r>
  <r>
    <x v="487"/>
    <n v="360.02"/>
    <n v="396.68779999999998"/>
    <n v="417.44569999999999"/>
    <x v="0"/>
  </r>
  <r>
    <x v="488"/>
    <n v="357.74"/>
    <n v="395.62720000000002"/>
    <n v="416.88139999999999"/>
    <x v="0"/>
  </r>
  <r>
    <x v="489"/>
    <n v="356.56"/>
    <n v="394.59719999999999"/>
    <n v="416.27789999999999"/>
    <x v="0"/>
  </r>
  <r>
    <x v="490"/>
    <n v="365.97"/>
    <n v="393.62759999999997"/>
    <n v="415.72340000000003"/>
    <x v="0"/>
  </r>
  <r>
    <x v="491"/>
    <n v="357.63"/>
    <n v="392.49680000000001"/>
    <n v="415.12419999999997"/>
    <x v="0"/>
  </r>
  <r>
    <x v="492"/>
    <n v="366.82"/>
    <n v="391.56380000000001"/>
    <n v="414.57740000000001"/>
    <x v="0"/>
  </r>
  <r>
    <x v="493"/>
    <n v="371.13"/>
    <n v="390.72660000000002"/>
    <n v="414.05829999999997"/>
    <x v="0"/>
  </r>
  <r>
    <x v="494"/>
    <n v="368.5"/>
    <n v="389.86959999999999"/>
    <n v="413.51220000000001"/>
    <x v="0"/>
  </r>
  <r>
    <x v="495"/>
    <n v="365.41"/>
    <n v="388.77800000000002"/>
    <n v="412.95159999999998"/>
    <x v="0"/>
  </r>
  <r>
    <x v="496"/>
    <n v="374.29"/>
    <n v="387.86399999999998"/>
    <n v="412.48110000000003"/>
    <x v="0"/>
  </r>
  <r>
    <x v="497"/>
    <n v="378.87"/>
    <n v="386.89940000000001"/>
    <n v="412.03579999999999"/>
    <x v="0"/>
  </r>
  <r>
    <x v="498"/>
    <n v="384.92"/>
    <n v="386.0206"/>
    <n v="411.62990000000002"/>
    <x v="0"/>
  </r>
  <r>
    <x v="499"/>
    <n v="382.02"/>
    <n v="385.06700000000001"/>
    <n v="411.2124"/>
    <x v="0"/>
  </r>
  <r>
    <x v="500"/>
    <n v="379.98"/>
    <n v="384.1336"/>
    <n v="410.7636"/>
    <x v="0"/>
  </r>
  <r>
    <x v="501"/>
    <n v="389.02"/>
    <n v="383.3562"/>
    <n v="410.35359999999997"/>
    <x v="0"/>
  </r>
  <r>
    <x v="502"/>
    <n v="386.21"/>
    <n v="382.63760000000002"/>
    <n v="409.96199999999999"/>
    <x v="0"/>
  </r>
  <r>
    <x v="503"/>
    <n v="384.52"/>
    <n v="382.06099999999998"/>
    <n v="409.56099999999998"/>
    <x v="0"/>
  </r>
  <r>
    <x v="504"/>
    <n v="374.87"/>
    <n v="381.31139999999999"/>
    <n v="409.15289999999999"/>
    <x v="0"/>
  </r>
  <r>
    <x v="505"/>
    <n v="371.01"/>
    <n v="380.45819999999998"/>
    <n v="408.74919999999997"/>
    <x v="0"/>
  </r>
  <r>
    <x v="506"/>
    <n v="376.35"/>
    <n v="379.59500000000003"/>
    <n v="408.3972"/>
    <x v="0"/>
  </r>
  <r>
    <x v="507"/>
    <n v="379.95"/>
    <n v="379.08780000000002"/>
    <n v="408.10700000000003"/>
    <x v="0"/>
  </r>
  <r>
    <x v="508"/>
    <n v="382"/>
    <n v="378.67520000000002"/>
    <n v="407.81779999999998"/>
    <x v="0"/>
  </r>
  <r>
    <x v="509"/>
    <n v="374.13"/>
    <n v="378.1936"/>
    <n v="407.51620000000003"/>
    <x v="0"/>
  </r>
  <r>
    <x v="510"/>
    <n v="394.69"/>
    <n v="378.18380000000002"/>
    <n v="407.3227"/>
    <x v="0"/>
  </r>
  <r>
    <x v="511"/>
    <n v="398.51"/>
    <n v="378.22559999999999"/>
    <n v="407.15899999999999"/>
    <x v="0"/>
  </r>
  <r>
    <x v="512"/>
    <n v="395.12"/>
    <n v="378.28320000000002"/>
    <n v="406.92489999999998"/>
    <x v="0"/>
  </r>
  <r>
    <x v="513"/>
    <n v="398.49"/>
    <n v="378.43779999999998"/>
    <n v="406.6678"/>
    <x v="0"/>
  </r>
  <r>
    <x v="514"/>
    <n v="395.45"/>
    <n v="378.39120000000003"/>
    <n v="406.38029999999998"/>
    <x v="0"/>
  </r>
  <r>
    <x v="515"/>
    <n v="394.24"/>
    <n v="378.26839999999999"/>
    <n v="406.06479999999999"/>
    <x v="0"/>
  </r>
  <r>
    <x v="516"/>
    <n v="396.03"/>
    <n v="378.05700000000002"/>
    <n v="405.81189999999998"/>
    <x v="0"/>
  </r>
  <r>
    <x v="517"/>
    <n v="394.59"/>
    <n v="377.7294"/>
    <n v="405.54140000000001"/>
    <x v="0"/>
  </r>
  <r>
    <x v="518"/>
    <n v="399.9"/>
    <n v="377.86540000000002"/>
    <n v="405.30459999999999"/>
    <x v="0"/>
  </r>
  <r>
    <x v="519"/>
    <n v="402.42"/>
    <n v="378.02179999999998"/>
    <n v="405.06200000000001"/>
    <x v="0"/>
  </r>
  <r>
    <x v="520"/>
    <n v="402.33"/>
    <n v="378.26600000000002"/>
    <n v="404.78590000000003"/>
    <x v="0"/>
  </r>
  <r>
    <x v="521"/>
    <n v="395.91"/>
    <n v="378.47300000000001"/>
    <n v="404.5188"/>
    <x v="0"/>
  </r>
  <r>
    <x v="522"/>
    <n v="395.23"/>
    <n v="378.60660000000001"/>
    <n v="404.29270000000002"/>
    <x v="0"/>
  </r>
  <r>
    <x v="523"/>
    <n v="407.68"/>
    <n v="379.07839999999999"/>
    <n v="404.13600000000002"/>
    <x v="0"/>
  </r>
  <r>
    <x v="524"/>
    <n v="407.38"/>
    <n v="379.6782"/>
    <n v="403.94240000000002"/>
    <x v="0"/>
  </r>
  <r>
    <x v="525"/>
    <n v="406.91"/>
    <n v="380.33199999999999"/>
    <n v="403.74400000000003"/>
    <x v="0"/>
  </r>
  <r>
    <x v="526"/>
    <n v="399.59"/>
    <n v="380.96480000000003"/>
    <n v="403.5566"/>
    <x v="0"/>
  </r>
  <r>
    <x v="527"/>
    <n v="393.83"/>
    <n v="381.55520000000001"/>
    <n v="403.3546"/>
    <x v="0"/>
  </r>
  <r>
    <x v="528"/>
    <n v="393.16"/>
    <n v="382.1508"/>
    <n v="403.17259999999999"/>
    <x v="0"/>
  </r>
  <r>
    <x v="529"/>
    <n v="396.24"/>
    <n v="382.66500000000002"/>
    <n v="403.04399999999998"/>
    <x v="0"/>
  </r>
  <r>
    <x v="530"/>
    <n v="393.28"/>
    <n v="383.27480000000003"/>
    <n v="402.8689"/>
    <x v="0"/>
  </r>
  <r>
    <x v="531"/>
    <n v="398.95"/>
    <n v="384.11020000000002"/>
    <n v="402.67489999999998"/>
    <x v="0"/>
  </r>
  <r>
    <x v="532"/>
    <n v="401.97"/>
    <n v="384.81740000000002"/>
    <n v="402.5016"/>
    <x v="0"/>
  </r>
  <r>
    <x v="533"/>
    <n v="399.4"/>
    <n v="385.24599999999998"/>
    <n v="402.34870000000001"/>
    <x v="0"/>
  </r>
  <r>
    <x v="534"/>
    <n v="389.63"/>
    <n v="385.49680000000001"/>
    <n v="402.10739999999998"/>
    <x v="0"/>
  </r>
  <r>
    <x v="535"/>
    <n v="383.27"/>
    <n v="385.69819999999999"/>
    <n v="401.84519999999998"/>
    <x v="0"/>
  </r>
  <r>
    <x v="536"/>
    <n v="380.02"/>
    <n v="386.0428"/>
    <n v="401.58440000000002"/>
    <x v="0"/>
  </r>
  <r>
    <x v="537"/>
    <n v="380.54"/>
    <n v="386.45319999999998"/>
    <n v="401.39"/>
    <x v="0"/>
  </r>
  <r>
    <x v="538"/>
    <n v="386.23"/>
    <n v="387.02300000000002"/>
    <n v="401.23989999999998"/>
    <x v="0"/>
  </r>
  <r>
    <x v="539"/>
    <n v="380.72"/>
    <n v="387.50619999999998"/>
    <n v="401.00639999999999"/>
    <x v="0"/>
  </r>
  <r>
    <x v="540"/>
    <n v="382.91"/>
    <n v="387.84500000000003"/>
    <n v="400.79360000000003"/>
    <x v="0"/>
  </r>
  <r>
    <x v="541"/>
    <n v="381.4"/>
    <n v="388.32040000000001"/>
    <n v="400.60019999999997"/>
    <x v="0"/>
  </r>
  <r>
    <x v="542"/>
    <n v="376.66"/>
    <n v="388.5172"/>
    <n v="400.39859999999999"/>
    <x v="0"/>
  </r>
  <r>
    <x v="543"/>
    <n v="383.44"/>
    <n v="388.76339999999999"/>
    <n v="400.18490000000003"/>
    <x v="0"/>
  </r>
  <r>
    <x v="544"/>
    <n v="382.43"/>
    <n v="389.04199999999997"/>
    <n v="399.91899999999998"/>
    <x v="0"/>
  </r>
  <r>
    <x v="545"/>
    <n v="380.82"/>
    <n v="389.35019999999997"/>
    <n v="399.61770000000001"/>
    <x v="0"/>
  </r>
  <r>
    <x v="546"/>
    <n v="383.76"/>
    <n v="389.53960000000001"/>
    <n v="399.31389999999999"/>
    <x v="0"/>
  </r>
  <r>
    <x v="547"/>
    <n v="379.38"/>
    <n v="389.5498"/>
    <n v="398.98880000000003"/>
    <x v="0"/>
  </r>
  <r>
    <x v="548"/>
    <n v="388.08"/>
    <n v="389.613"/>
    <n v="398.68130000000002"/>
    <x v="0"/>
  </r>
  <r>
    <x v="549"/>
    <n v="387.86"/>
    <n v="389.72980000000001"/>
    <n v="398.40159999999997"/>
    <x v="0"/>
  </r>
  <r>
    <x v="550"/>
    <n v="390.58"/>
    <n v="389.9418"/>
    <n v="398.10199999999998"/>
    <x v="0"/>
  </r>
  <r>
    <x v="551"/>
    <n v="395.52"/>
    <n v="390.0718"/>
    <n v="397.81619999999998"/>
    <x v="0"/>
  </r>
  <r>
    <x v="552"/>
    <n v="396.96"/>
    <n v="390.28680000000003"/>
    <n v="397.52140000000003"/>
    <x v="0"/>
  </r>
  <r>
    <x v="553"/>
    <n v="398.5"/>
    <n v="390.56639999999999"/>
    <n v="397.20620000000002"/>
    <x v="0"/>
  </r>
  <r>
    <x v="554"/>
    <n v="397.77"/>
    <n v="391.02440000000001"/>
    <n v="396.90159999999997"/>
    <x v="0"/>
  </r>
  <r>
    <x v="555"/>
    <n v="391.49"/>
    <n v="391.43400000000003"/>
    <n v="396.60079999999999"/>
    <x v="0"/>
  </r>
  <r>
    <x v="556"/>
    <n v="388.64"/>
    <n v="391.6798"/>
    <n v="396.27940000000001"/>
    <x v="0"/>
  </r>
  <r>
    <x v="557"/>
    <n v="395.88"/>
    <n v="391.9984"/>
    <n v="395.97480000000002"/>
    <x v="0"/>
  </r>
  <r>
    <x v="558"/>
    <n v="400.63"/>
    <n v="392.37099999999998"/>
    <n v="395.72280000000001"/>
    <x v="0"/>
  </r>
  <r>
    <x v="559"/>
    <n v="400.2"/>
    <n v="392.89240000000001"/>
    <n v="395.49119999999999"/>
    <x v="0"/>
  </r>
  <r>
    <x v="560"/>
    <n v="400.35"/>
    <n v="393.00560000000002"/>
    <n v="395.2491"/>
    <x v="0"/>
  </r>
  <r>
    <x v="561"/>
    <n v="404.75"/>
    <n v="393.13040000000001"/>
    <n v="395.03500000000003"/>
    <x v="0"/>
  </r>
  <r>
    <x v="562"/>
    <n v="405.68"/>
    <n v="393.34160000000003"/>
    <n v="394.86380000000003"/>
    <x v="0"/>
  </r>
  <r>
    <x v="563"/>
    <n v="400.59"/>
    <n v="393.3836"/>
    <n v="394.67529999999999"/>
    <x v="0"/>
  </r>
  <r>
    <x v="564"/>
    <n v="406.48"/>
    <n v="393.60419999999999"/>
    <n v="394.49119999999999"/>
    <x v="0"/>
  </r>
  <r>
    <x v="565"/>
    <n v="410.8"/>
    <n v="393.93540000000002"/>
    <n v="394.3562"/>
    <x v="0"/>
  </r>
  <r>
    <x v="566"/>
    <n v="416.78"/>
    <n v="394.35039999999998"/>
    <n v="394.25020000000001"/>
    <x v="1"/>
  </r>
  <r>
    <x v="567"/>
    <n v="412.35"/>
    <n v="394.7056"/>
    <n v="394.08679999999998"/>
    <x v="0"/>
  </r>
  <r>
    <x v="568"/>
    <n v="409.83"/>
    <n v="394.9042"/>
    <n v="393.91239999999999"/>
    <x v="0"/>
  </r>
  <r>
    <x v="569"/>
    <n v="415.19"/>
    <n v="395.15960000000001"/>
    <n v="393.798"/>
    <x v="0"/>
  </r>
  <r>
    <x v="570"/>
    <n v="410.65"/>
    <n v="395.32600000000002"/>
    <n v="393.72109999999998"/>
    <x v="0"/>
  </r>
  <r>
    <x v="571"/>
    <n v="407.09"/>
    <n v="395.5496"/>
    <n v="393.61399999999998"/>
    <x v="0"/>
  </r>
  <r>
    <x v="572"/>
    <n v="408.04"/>
    <n v="395.80579999999998"/>
    <n v="393.57369999999997"/>
    <x v="0"/>
  </r>
  <r>
    <x v="573"/>
    <n v="412.83"/>
    <n v="395.90879999999999"/>
    <n v="393.55149999999998"/>
    <x v="0"/>
  </r>
  <r>
    <x v="574"/>
    <n v="412.64"/>
    <n v="396.01400000000001"/>
    <n v="393.47559999999999"/>
    <x v="0"/>
  </r>
  <r>
    <x v="575"/>
    <n v="413.98"/>
    <n v="396.15539999999999"/>
    <n v="393.48559999999998"/>
    <x v="0"/>
  </r>
  <r>
    <x v="576"/>
    <n v="408.28"/>
    <n v="396.32920000000001"/>
    <n v="393.45460000000003"/>
    <x v="0"/>
  </r>
  <r>
    <x v="577"/>
    <n v="407.26"/>
    <n v="396.59780000000001"/>
    <n v="393.40899999999999"/>
    <x v="0"/>
  </r>
  <r>
    <x v="578"/>
    <n v="399.09"/>
    <n v="396.71640000000002"/>
    <n v="393.25909999999999"/>
    <x v="0"/>
  </r>
  <r>
    <x v="579"/>
    <n v="398.54"/>
    <n v="396.76240000000001"/>
    <n v="393.18279999999999"/>
    <x v="0"/>
  </r>
  <r>
    <x v="580"/>
    <n v="400.66"/>
    <n v="396.91"/>
    <n v="393.12939999999998"/>
    <x v="0"/>
  </r>
  <r>
    <x v="581"/>
    <n v="396.38"/>
    <n v="396.85860000000002"/>
    <n v="393.12040000000002"/>
    <x v="0"/>
  </r>
  <r>
    <x v="582"/>
    <n v="397.73"/>
    <n v="396.77379999999999"/>
    <n v="393.11360000000002"/>
    <x v="0"/>
  </r>
  <r>
    <x v="583"/>
    <n v="396.26"/>
    <n v="396.71100000000001"/>
    <n v="393.13119999999998"/>
    <x v="0"/>
  </r>
  <r>
    <x v="584"/>
    <n v="394.74"/>
    <n v="396.81319999999999"/>
    <n v="393.14319999999998"/>
    <x v="0"/>
  </r>
  <r>
    <x v="585"/>
    <n v="397.81"/>
    <n v="397.10399999999998"/>
    <n v="393.12360000000001"/>
    <x v="0"/>
  </r>
  <r>
    <x v="586"/>
    <n v="404.19"/>
    <n v="397.5874"/>
    <n v="393.14409999999998"/>
    <x v="0"/>
  </r>
  <r>
    <x v="587"/>
    <n v="404.47"/>
    <n v="398.06599999999997"/>
    <n v="393.12479999999999"/>
    <x v="0"/>
  </r>
  <r>
    <x v="588"/>
    <n v="398.27"/>
    <n v="398.30680000000001"/>
    <n v="393.15690000000001"/>
    <x v="0"/>
  </r>
  <r>
    <x v="589"/>
    <n v="398.92"/>
    <n v="398.67079999999999"/>
    <n v="393.20420000000001"/>
    <x v="0"/>
  </r>
  <r>
    <x v="590"/>
    <n v="391.56"/>
    <n v="398.84379999999999"/>
    <n v="393.21379999999999"/>
    <x v="0"/>
  </r>
  <r>
    <x v="591"/>
    <n v="385.91"/>
    <n v="398.93400000000003"/>
    <n v="393.15879999999999"/>
    <x v="0"/>
  </r>
  <r>
    <x v="592"/>
    <n v="385.36"/>
    <n v="399.108"/>
    <n v="393.11619999999999"/>
    <x v="0"/>
  </r>
  <r>
    <x v="593"/>
    <n v="391.73"/>
    <n v="399.27379999999999"/>
    <n v="393.08800000000002"/>
    <x v="0"/>
  </r>
  <r>
    <x v="594"/>
    <n v="389.28"/>
    <n v="399.41079999999999"/>
    <n v="393.00779999999997"/>
    <x v="0"/>
  </r>
  <r>
    <x v="595"/>
    <n v="396.11"/>
    <n v="399.71660000000003"/>
    <n v="392.91199999999998"/>
    <x v="0"/>
  </r>
  <r>
    <x v="596"/>
    <n v="389.99"/>
    <n v="399.84120000000001"/>
    <n v="392.79739999999998"/>
    <x v="0"/>
  </r>
  <r>
    <x v="597"/>
    <n v="393.74"/>
    <n v="400.1284"/>
    <n v="392.71809999999999"/>
    <x v="0"/>
  </r>
  <r>
    <x v="598"/>
    <n v="398.91"/>
    <n v="400.34500000000003"/>
    <n v="392.62569999999999"/>
    <x v="0"/>
  </r>
  <r>
    <x v="599"/>
    <n v="392.11"/>
    <n v="400.43"/>
    <n v="392.53359999999998"/>
    <x v="0"/>
  </r>
  <r>
    <x v="600"/>
    <n v="393.17"/>
    <n v="400.48180000000002"/>
    <n v="392.44040000000001"/>
    <x v="0"/>
  </r>
  <r>
    <x v="601"/>
    <n v="395.75"/>
    <n v="400.4864"/>
    <n v="392.34050000000002"/>
    <x v="0"/>
  </r>
  <r>
    <x v="602"/>
    <n v="396.49"/>
    <n v="400.47699999999998"/>
    <n v="392.26679999999999"/>
    <x v="0"/>
  </r>
  <r>
    <x v="603"/>
    <n v="395.6"/>
    <n v="400.41899999999998"/>
    <n v="392.23759999999999"/>
    <x v="0"/>
  </r>
  <r>
    <x v="604"/>
    <n v="401.35"/>
    <n v="400.49059999999997"/>
    <n v="392.29539999999997"/>
    <x v="0"/>
  </r>
  <r>
    <x v="605"/>
    <n v="403.7"/>
    <n v="400.73480000000001"/>
    <n v="392.43889999999999"/>
    <x v="0"/>
  </r>
  <r>
    <x v="606"/>
    <n v="409.39"/>
    <n v="401.14980000000003"/>
    <n v="392.61649999999997"/>
    <x v="0"/>
  </r>
  <r>
    <x v="607"/>
    <n v="410.95"/>
    <n v="401.45119999999997"/>
    <n v="392.77519999999998"/>
    <x v="0"/>
  </r>
  <r>
    <x v="608"/>
    <n v="408.67"/>
    <n v="401.61200000000002"/>
    <n v="392.98540000000003"/>
    <x v="0"/>
  </r>
  <r>
    <x v="609"/>
    <n v="407.6"/>
    <n v="401.76"/>
    <n v="393.19400000000002"/>
    <x v="0"/>
  </r>
  <r>
    <x v="610"/>
    <n v="409.19"/>
    <n v="401.93680000000001"/>
    <n v="393.3646"/>
    <x v="0"/>
  </r>
  <r>
    <x v="611"/>
    <n v="409.61"/>
    <n v="402.03399999999999"/>
    <n v="393.54079999999999"/>
    <x v="0"/>
  </r>
  <r>
    <x v="612"/>
    <n v="409.72"/>
    <n v="402.1148"/>
    <n v="393.69900000000001"/>
    <x v="0"/>
  </r>
  <r>
    <x v="613"/>
    <n v="408.05"/>
    <n v="402.26400000000001"/>
    <n v="393.78890000000001"/>
    <x v="0"/>
  </r>
  <r>
    <x v="614"/>
    <n v="413.47"/>
    <n v="402.40379999999999"/>
    <n v="393.91329999999999"/>
    <x v="0"/>
  </r>
  <r>
    <x v="615"/>
    <n v="412.46"/>
    <n v="402.43700000000001"/>
    <n v="394.07240000000002"/>
    <x v="0"/>
  </r>
  <r>
    <x v="616"/>
    <n v="413.94"/>
    <n v="402.3802"/>
    <n v="394.24040000000002"/>
    <x v="0"/>
  </r>
  <r>
    <x v="617"/>
    <n v="414.21"/>
    <n v="402.41739999999999"/>
    <n v="394.42520000000002"/>
    <x v="0"/>
  </r>
  <r>
    <x v="618"/>
    <n v="414.14"/>
    <n v="402.50360000000001"/>
    <n v="394.58960000000002"/>
    <x v="0"/>
  </r>
  <r>
    <x v="619"/>
    <n v="411.88"/>
    <n v="402.43740000000003"/>
    <n v="394.73919999999998"/>
    <x v="0"/>
  </r>
  <r>
    <x v="620"/>
    <n v="412.2"/>
    <n v="402.46839999999997"/>
    <n v="394.88400000000001"/>
    <x v="0"/>
  </r>
  <r>
    <x v="621"/>
    <n v="412.63"/>
    <n v="402.57920000000001"/>
    <n v="395.00220000000002"/>
    <x v="0"/>
  </r>
  <r>
    <x v="622"/>
    <n v="406.08"/>
    <n v="402.54"/>
    <n v="395.08920000000001"/>
    <x v="0"/>
  </r>
  <r>
    <x v="623"/>
    <n v="404.36"/>
    <n v="402.37060000000002"/>
    <n v="395.18990000000002"/>
    <x v="0"/>
  </r>
  <r>
    <x v="624"/>
    <n v="412.41"/>
    <n v="402.36599999999999"/>
    <n v="395.34780000000001"/>
    <x v="0"/>
  </r>
  <r>
    <x v="625"/>
    <n v="415.93"/>
    <n v="402.40499999999997"/>
    <n v="395.5333"/>
    <x v="0"/>
  </r>
  <r>
    <x v="626"/>
    <n v="415.51"/>
    <n v="402.5496"/>
    <n v="395.72129999999999"/>
    <x v="0"/>
  </r>
  <r>
    <x v="627"/>
    <n v="410.84"/>
    <n v="402.62119999999999"/>
    <n v="395.84980000000002"/>
    <x v="0"/>
  </r>
  <r>
    <x v="628"/>
    <n v="408.02"/>
    <n v="402.7998"/>
    <n v="395.98020000000002"/>
    <x v="0"/>
  </r>
  <r>
    <x v="629"/>
    <n v="405.13"/>
    <n v="402.9316"/>
    <n v="396.04450000000003"/>
    <x v="0"/>
  </r>
  <r>
    <x v="630"/>
    <n v="412.63"/>
    <n v="403.17099999999999"/>
    <n v="396.13380000000001"/>
    <x v="0"/>
  </r>
  <r>
    <x v="631"/>
    <n v="412.74"/>
    <n v="403.4982"/>
    <n v="396.20359999999999"/>
    <x v="0"/>
  </r>
  <r>
    <x v="632"/>
    <n v="410.93"/>
    <n v="403.76220000000001"/>
    <n v="396.28280000000001"/>
    <x v="0"/>
  </r>
  <r>
    <x v="633"/>
    <n v="412.85"/>
    <n v="404.09399999999999"/>
    <n v="396.36919999999998"/>
    <x v="0"/>
  </r>
  <r>
    <x v="634"/>
    <n v="412.13"/>
    <n v="404.4418"/>
    <n v="396.47539999999998"/>
    <x v="0"/>
  </r>
  <r>
    <x v="635"/>
    <n v="411.59"/>
    <n v="404.7174"/>
    <n v="396.52809999999999"/>
    <x v="0"/>
  </r>
  <r>
    <x v="636"/>
    <n v="413.01"/>
    <n v="404.8938"/>
    <n v="396.56279999999998"/>
    <x v="0"/>
  </r>
  <r>
    <x v="637"/>
    <n v="410.25"/>
    <n v="405.00940000000003"/>
    <n v="396.55410000000001"/>
    <x v="0"/>
  </r>
  <r>
    <x v="638"/>
    <n v="415.23"/>
    <n v="405.34859999999998"/>
    <n v="396.57639999999998"/>
    <x v="0"/>
  </r>
  <r>
    <x v="639"/>
    <n v="419.23"/>
    <n v="405.75479999999999"/>
    <n v="396.63220000000001"/>
    <x v="0"/>
  </r>
  <r>
    <x v="640"/>
    <n v="418.62"/>
    <n v="406.29599999999999"/>
    <n v="396.65309999999999"/>
    <x v="0"/>
  </r>
  <r>
    <x v="641"/>
    <n v="418.79"/>
    <n v="406.95359999999999"/>
    <n v="396.67619999999999"/>
    <x v="0"/>
  </r>
  <r>
    <x v="642"/>
    <n v="414.09"/>
    <n v="407.52820000000003"/>
    <n v="396.67930000000001"/>
    <x v="0"/>
  </r>
  <r>
    <x v="643"/>
    <n v="411.09"/>
    <n v="407.91539999999998"/>
    <n v="396.66980000000001"/>
    <x v="0"/>
  </r>
  <r>
    <x v="644"/>
    <n v="414.65"/>
    <n v="408.4228"/>
    <n v="396.68630000000002"/>
    <x v="0"/>
  </r>
  <r>
    <x v="645"/>
    <n v="420.02"/>
    <n v="408.90100000000001"/>
    <n v="396.68639999999999"/>
    <x v="0"/>
  </r>
  <r>
    <x v="646"/>
    <n v="420.18"/>
    <n v="409.50479999999999"/>
    <n v="396.68740000000003"/>
    <x v="0"/>
  </r>
  <r>
    <x v="647"/>
    <n v="417.85"/>
    <n v="409.98700000000002"/>
    <n v="396.64120000000003"/>
    <x v="0"/>
  </r>
  <r>
    <x v="648"/>
    <n v="421.82"/>
    <n v="410.4452"/>
    <n v="396.60599999999999"/>
    <x v="0"/>
  </r>
  <r>
    <x v="649"/>
    <n v="427.92"/>
    <n v="411.16140000000001"/>
    <n v="396.59699999999998"/>
    <x v="0"/>
  </r>
  <r>
    <x v="650"/>
    <n v="427.1"/>
    <n v="411.84"/>
    <n v="396.59930000000003"/>
    <x v="0"/>
  </r>
  <r>
    <x v="651"/>
    <n v="428.03"/>
    <n v="412.48559999999998"/>
    <n v="396.6"/>
    <x v="0"/>
  </r>
  <r>
    <x v="652"/>
    <n v="426.55"/>
    <n v="413.08679999999998"/>
    <n v="396.62200000000001"/>
    <x v="0"/>
  </r>
  <r>
    <x v="653"/>
    <n v="429.13"/>
    <n v="413.75740000000002"/>
    <n v="396.70100000000002"/>
    <x v="0"/>
  </r>
  <r>
    <x v="654"/>
    <n v="429.9"/>
    <n v="414.32839999999999"/>
    <n v="396.78870000000001"/>
    <x v="0"/>
  </r>
  <r>
    <x v="655"/>
    <n v="433.8"/>
    <n v="414.93040000000002"/>
    <n v="396.88940000000002"/>
    <x v="0"/>
  </r>
  <r>
    <x v="656"/>
    <n v="436.66"/>
    <n v="415.47579999999999"/>
    <n v="396.9751"/>
    <x v="0"/>
  </r>
  <r>
    <x v="657"/>
    <n v="437.18"/>
    <n v="416.00040000000001"/>
    <n v="397.13440000000003"/>
    <x v="0"/>
  </r>
  <r>
    <x v="658"/>
    <n v="442.6"/>
    <n v="416.67899999999997"/>
    <n v="397.33429999999998"/>
    <x v="0"/>
  </r>
  <r>
    <x v="659"/>
    <n v="439.46"/>
    <n v="417.31619999999998"/>
    <n v="397.54059999999998"/>
    <x v="0"/>
  </r>
  <r>
    <x v="660"/>
    <n v="437.18"/>
    <n v="417.87599999999998"/>
    <n v="397.75060000000002"/>
    <x v="0"/>
  </r>
  <r>
    <x v="661"/>
    <n v="434.94"/>
    <n v="418.38260000000002"/>
    <n v="397.94319999999999"/>
    <x v="0"/>
  </r>
  <r>
    <x v="662"/>
    <n v="436.51"/>
    <n v="418.91840000000002"/>
    <n v="398.16449999999998"/>
    <x v="0"/>
  </r>
  <r>
    <x v="663"/>
    <n v="433.21"/>
    <n v="419.42160000000001"/>
    <n v="398.3768"/>
    <x v="0"/>
  </r>
  <r>
    <x v="664"/>
    <n v="431.44"/>
    <n v="419.78100000000001"/>
    <n v="398.54500000000002"/>
    <x v="0"/>
  </r>
  <r>
    <x v="665"/>
    <n v="436.17"/>
    <n v="420.2552"/>
    <n v="398.72399999999999"/>
    <x v="0"/>
  </r>
  <r>
    <x v="666"/>
    <n v="436.39"/>
    <n v="420.70420000000001"/>
    <n v="398.87299999999999"/>
    <x v="0"/>
  </r>
  <r>
    <x v="667"/>
    <n v="438.11"/>
    <n v="421.18220000000002"/>
    <n v="399.0086"/>
    <x v="0"/>
  </r>
  <r>
    <x v="668"/>
    <n v="443.28"/>
    <n v="421.76499999999999"/>
    <n v="399.25959999999998"/>
    <x v="0"/>
  </r>
  <r>
    <x v="669"/>
    <n v="443.79"/>
    <n v="422.40320000000003"/>
    <n v="399.50549999999998"/>
    <x v="0"/>
  </r>
  <r>
    <x v="670"/>
    <n v="443.13"/>
    <n v="423.02179999999998"/>
    <n v="399.7706"/>
    <x v="0"/>
  </r>
  <r>
    <x v="671"/>
    <n v="439.66"/>
    <n v="423.56240000000003"/>
    <n v="400.041"/>
    <x v="0"/>
  </r>
  <r>
    <x v="672"/>
    <n v="438.55"/>
    <n v="424.21179999999998"/>
    <n v="400.291"/>
    <x v="0"/>
  </r>
  <r>
    <x v="673"/>
    <n v="439.66"/>
    <n v="424.9178"/>
    <n v="400.56889999999999"/>
    <x v="0"/>
  </r>
  <r>
    <x v="674"/>
    <n v="442.46"/>
    <n v="425.5188"/>
    <n v="400.89420000000001"/>
    <x v="0"/>
  </r>
  <r>
    <x v="675"/>
    <n v="446.02"/>
    <n v="426.12060000000002"/>
    <n v="401.25319999999999"/>
    <x v="0"/>
  </r>
  <r>
    <x v="676"/>
    <n v="449.56"/>
    <n v="426.80160000000001"/>
    <n v="401.66129999999998"/>
    <x v="0"/>
  </r>
  <r>
    <x v="677"/>
    <n v="449.28"/>
    <n v="427.57040000000001"/>
    <n v="402.08620000000002"/>
    <x v="0"/>
  </r>
  <r>
    <x v="678"/>
    <n v="450.84"/>
    <n v="428.42680000000001"/>
    <n v="402.52339999999998"/>
    <x v="0"/>
  </r>
  <r>
    <x v="679"/>
    <n v="454.19"/>
    <n v="429.40800000000002"/>
    <n v="402.9418"/>
    <x v="0"/>
  </r>
  <r>
    <x v="680"/>
    <n v="455.2"/>
    <n v="430.25940000000003"/>
    <n v="403.40379999999999"/>
    <x v="0"/>
  </r>
  <r>
    <x v="681"/>
    <n v="452.18"/>
    <n v="431.04820000000001"/>
    <n v="403.87880000000001"/>
    <x v="0"/>
  </r>
  <r>
    <x v="682"/>
    <n v="452.18"/>
    <n v="431.8732"/>
    <n v="404.3066"/>
    <x v="0"/>
  </r>
  <r>
    <x v="683"/>
    <n v="454.2"/>
    <n v="432.7002"/>
    <n v="404.68779999999998"/>
    <x v="0"/>
  </r>
  <r>
    <x v="684"/>
    <n v="455.44"/>
    <n v="433.56639999999999"/>
    <n v="405.07960000000003"/>
    <x v="0"/>
  </r>
  <r>
    <x v="685"/>
    <n v="455.51"/>
    <n v="434.44479999999999"/>
    <n v="405.49110000000002"/>
    <x v="0"/>
  </r>
  <r>
    <x v="686"/>
    <n v="452.49"/>
    <n v="435.23439999999999"/>
    <n v="405.93959999999998"/>
    <x v="0"/>
  </r>
  <r>
    <x v="687"/>
    <n v="456.92"/>
    <n v="436.1678"/>
    <n v="406.42410000000001"/>
    <x v="0"/>
  </r>
  <r>
    <x v="688"/>
    <n v="457.79"/>
    <n v="437.01900000000001"/>
    <n v="406.92439999999999"/>
    <x v="0"/>
  </r>
  <r>
    <x v="689"/>
    <n v="456.48"/>
    <n v="437.76400000000001"/>
    <n v="407.42399999999998"/>
    <x v="0"/>
  </r>
  <r>
    <x v="690"/>
    <n v="450.13"/>
    <n v="438.39420000000001"/>
    <n v="407.84480000000002"/>
    <x v="0"/>
  </r>
  <r>
    <x v="691"/>
    <n v="448.84"/>
    <n v="438.99520000000001"/>
    <n v="408.30079999999998"/>
    <x v="0"/>
  </r>
  <r>
    <x v="692"/>
    <n v="446.81"/>
    <n v="439.64960000000002"/>
    <n v="408.70080000000002"/>
    <x v="0"/>
  </r>
  <r>
    <x v="693"/>
    <n v="450.71"/>
    <n v="440.44200000000001"/>
    <n v="409.09859999999998"/>
    <x v="0"/>
  </r>
  <r>
    <x v="694"/>
    <n v="448.75"/>
    <n v="441.12400000000002"/>
    <n v="409.49990000000003"/>
    <x v="0"/>
  </r>
  <r>
    <x v="695"/>
    <n v="445.75"/>
    <n v="441.6386"/>
    <n v="409.90159999999997"/>
    <x v="0"/>
  </r>
  <r>
    <x v="696"/>
    <n v="445.91"/>
    <n v="442.15320000000003"/>
    <n v="410.25970000000001"/>
    <x v="0"/>
  </r>
  <r>
    <x v="697"/>
    <n v="445.65"/>
    <n v="442.70920000000001"/>
    <n v="410.59359999999998"/>
    <x v="0"/>
  </r>
  <r>
    <x v="698"/>
    <n v="448.11"/>
    <n v="443.23500000000001"/>
    <n v="410.90960000000001"/>
    <x v="0"/>
  </r>
  <r>
    <x v="699"/>
    <n v="442.89"/>
    <n v="443.53440000000001"/>
    <n v="411.21390000000002"/>
    <x v="0"/>
  </r>
  <r>
    <x v="700"/>
    <n v="439.64"/>
    <n v="443.78519999999997"/>
    <n v="411.51220000000001"/>
    <x v="0"/>
  </r>
  <r>
    <x v="701"/>
    <n v="436.29"/>
    <n v="443.9504"/>
    <n v="411.74860000000001"/>
    <x v="0"/>
  </r>
  <r>
    <x v="702"/>
    <n v="436.5"/>
    <n v="444.14940000000001"/>
    <n v="412"/>
    <x v="0"/>
  </r>
  <r>
    <x v="703"/>
    <n v="439.34"/>
    <n v="444.35359999999997"/>
    <n v="412.27409999999998"/>
    <x v="0"/>
  </r>
  <r>
    <x v="704"/>
    <n v="438.15"/>
    <n v="444.51859999999999"/>
    <n v="412.59050000000002"/>
    <x v="0"/>
  </r>
  <r>
    <x v="705"/>
    <n v="443.03"/>
    <n v="444.70319999999998"/>
    <n v="412.95060000000001"/>
    <x v="0"/>
  </r>
  <r>
    <x v="706"/>
    <n v="436.89"/>
    <n v="444.70780000000002"/>
    <n v="413.25330000000002"/>
    <x v="0"/>
  </r>
  <r>
    <x v="707"/>
    <n v="439.97"/>
    <n v="444.7636"/>
    <n v="413.55340000000001"/>
    <x v="0"/>
  </r>
  <r>
    <x v="708"/>
    <n v="442.76"/>
    <n v="444.76679999999999"/>
    <n v="413.85719999999998"/>
    <x v="0"/>
  </r>
  <r>
    <x v="709"/>
    <n v="449.16"/>
    <n v="444.96080000000001"/>
    <n v="414.23239999999998"/>
    <x v="0"/>
  </r>
  <r>
    <x v="710"/>
    <n v="451.01"/>
    <n v="445.23739999999998"/>
    <n v="414.51400000000001"/>
    <x v="0"/>
  </r>
  <r>
    <x v="711"/>
    <n v="450.35"/>
    <n v="445.54559999999998"/>
    <n v="414.77319999999997"/>
    <x v="0"/>
  </r>
  <r>
    <x v="712"/>
    <n v="451.19"/>
    <n v="445.83920000000001"/>
    <n v="415.05349999999999"/>
    <x v="0"/>
  </r>
  <r>
    <x v="713"/>
    <n v="449.24"/>
    <n v="446.15980000000002"/>
    <n v="415.30720000000002"/>
    <x v="0"/>
  </r>
  <r>
    <x v="714"/>
    <n v="446.22"/>
    <n v="446.4554"/>
    <n v="415.56110000000001"/>
    <x v="0"/>
  </r>
  <r>
    <x v="715"/>
    <n v="444.85"/>
    <n v="446.62900000000002"/>
    <n v="415.81420000000003"/>
    <x v="0"/>
  </r>
  <r>
    <x v="716"/>
    <n v="445.52"/>
    <n v="446.8116"/>
    <n v="416.0616"/>
    <x v="0"/>
  </r>
  <r>
    <x v="717"/>
    <n v="448.45"/>
    <n v="447.01839999999999"/>
    <n v="416.33089999999999"/>
    <x v="0"/>
  </r>
  <r>
    <x v="718"/>
    <n v="445.99"/>
    <n v="447.07260000000002"/>
    <n v="416.56139999999999"/>
    <x v="0"/>
  </r>
  <r>
    <x v="719"/>
    <n v="446.51"/>
    <n v="447.12700000000001"/>
    <n v="416.78179999999998"/>
    <x v="0"/>
  </r>
  <r>
    <x v="720"/>
    <n v="450.36"/>
    <n v="447.27159999999998"/>
    <n v="417.02199999999999"/>
    <x v="0"/>
  </r>
  <r>
    <x v="721"/>
    <n v="443.37"/>
    <n v="447.3458"/>
    <n v="417.25920000000002"/>
    <x v="0"/>
  </r>
  <r>
    <x v="722"/>
    <n v="443.63"/>
    <n v="447.44740000000002"/>
    <n v="417.50119999999998"/>
    <x v="0"/>
  </r>
  <r>
    <x v="723"/>
    <n v="442.71"/>
    <n v="447.50839999999999"/>
    <n v="417.6764"/>
    <x v="0"/>
  </r>
  <r>
    <x v="724"/>
    <n v="438.64"/>
    <n v="447.43200000000002"/>
    <n v="417.83269999999999"/>
    <x v="0"/>
  </r>
  <r>
    <x v="725"/>
    <n v="431.39"/>
    <n v="447.13940000000002"/>
    <n v="417.95510000000002"/>
    <x v="0"/>
  </r>
  <r>
    <x v="726"/>
    <n v="430.42"/>
    <n v="446.75659999999999"/>
    <n v="418.10919999999999"/>
    <x v="0"/>
  </r>
  <r>
    <x v="727"/>
    <n v="432.23"/>
    <n v="446.41559999999998"/>
    <n v="418.30119999999999"/>
    <x v="0"/>
  </r>
  <r>
    <x v="728"/>
    <n v="425.88"/>
    <n v="445.91640000000001"/>
    <n v="418.46480000000003"/>
    <x v="0"/>
  </r>
  <r>
    <x v="729"/>
    <n v="426.05"/>
    <n v="445.35359999999997"/>
    <n v="418.6139"/>
    <x v="0"/>
  </r>
  <r>
    <x v="730"/>
    <n v="428.52"/>
    <n v="444.82"/>
    <n v="418.7901"/>
    <x v="0"/>
  </r>
  <r>
    <x v="731"/>
    <n v="427.48"/>
    <n v="444.32600000000002"/>
    <n v="418.93279999999999"/>
    <x v="0"/>
  </r>
  <r>
    <x v="732"/>
    <n v="427.31"/>
    <n v="443.82859999999999"/>
    <n v="419.05939999999998"/>
    <x v="0"/>
  </r>
  <r>
    <x v="733"/>
    <n v="421.59"/>
    <n v="443.1764"/>
    <n v="419.17039999999997"/>
    <x v="0"/>
  </r>
  <r>
    <x v="734"/>
    <n v="424.66"/>
    <n v="442.56079999999997"/>
    <n v="419.34559999999999"/>
    <x v="0"/>
  </r>
  <r>
    <x v="735"/>
    <n v="424.5"/>
    <n v="441.94060000000002"/>
    <n v="419.55169999999998"/>
    <x v="0"/>
  </r>
  <r>
    <x v="736"/>
    <n v="429.54"/>
    <n v="441.48160000000001"/>
    <n v="419.79930000000002"/>
    <x v="0"/>
  </r>
  <r>
    <x v="737"/>
    <n v="432.29"/>
    <n v="440.98899999999998"/>
    <n v="420.05799999999999"/>
    <x v="0"/>
  </r>
  <r>
    <x v="738"/>
    <n v="434.54"/>
    <n v="440.524"/>
    <n v="420.2996"/>
    <x v="0"/>
  </r>
  <r>
    <x v="739"/>
    <n v="436.32"/>
    <n v="440.12079999999997"/>
    <n v="420.57760000000002"/>
    <x v="0"/>
  </r>
  <r>
    <x v="740"/>
    <n v="433.66"/>
    <n v="439.79140000000001"/>
    <n v="420.83139999999997"/>
    <x v="0"/>
  </r>
  <r>
    <x v="741"/>
    <n v="431.5"/>
    <n v="439.44459999999998"/>
    <n v="421.08179999999999"/>
    <x v="0"/>
  </r>
  <r>
    <x v="742"/>
    <n v="436.04"/>
    <n v="439.22919999999999"/>
    <n v="421.37880000000001"/>
    <x v="0"/>
  </r>
  <r>
    <x v="743"/>
    <n v="436.02"/>
    <n v="438.93540000000002"/>
    <n v="421.64159999999998"/>
    <x v="0"/>
  </r>
  <r>
    <x v="744"/>
    <n v="430.21"/>
    <n v="438.56459999999998"/>
    <n v="421.88060000000002"/>
    <x v="0"/>
  </r>
  <r>
    <x v="745"/>
    <n v="426.43"/>
    <n v="438.1782"/>
    <n v="422.10860000000002"/>
    <x v="0"/>
  </r>
  <r>
    <x v="746"/>
    <n v="421.19"/>
    <n v="437.68380000000002"/>
    <n v="422.29579999999999"/>
    <x v="0"/>
  </r>
  <r>
    <x v="747"/>
    <n v="420.46"/>
    <n v="437.18"/>
    <n v="422.50119999999998"/>
    <x v="0"/>
  </r>
  <r>
    <x v="748"/>
    <n v="423.63"/>
    <n v="436.69040000000001"/>
    <n v="422.6789"/>
    <x v="0"/>
  </r>
  <r>
    <x v="749"/>
    <n v="417.55"/>
    <n v="436.18360000000001"/>
    <n v="422.82740000000001"/>
    <x v="0"/>
  </r>
  <r>
    <x v="750"/>
    <n v="412.55"/>
    <n v="435.64179999999999"/>
    <n v="422.93720000000002"/>
    <x v="0"/>
  </r>
  <r>
    <x v="751"/>
    <n v="410.68"/>
    <n v="435.12959999999998"/>
    <n v="423.01299999999998"/>
    <x v="0"/>
  </r>
  <r>
    <x v="752"/>
    <n v="415.59"/>
    <n v="434.71140000000003"/>
    <n v="423.1062"/>
    <x v="0"/>
  </r>
  <r>
    <x v="753"/>
    <n v="418.2"/>
    <n v="434.28859999999997"/>
    <n v="423.20460000000003"/>
    <x v="0"/>
  </r>
  <r>
    <x v="754"/>
    <n v="422.66"/>
    <n v="433.97879999999998"/>
    <n v="423.32909999999998"/>
    <x v="0"/>
  </r>
  <r>
    <x v="755"/>
    <n v="430.76"/>
    <n v="433.73340000000002"/>
    <n v="423.52539999999999"/>
    <x v="0"/>
  </r>
  <r>
    <x v="756"/>
    <n v="434.69"/>
    <n v="433.68939999999998"/>
    <n v="423.75569999999999"/>
    <x v="0"/>
  </r>
  <r>
    <x v="757"/>
    <n v="435.69"/>
    <n v="433.60379999999998"/>
    <n v="423.95479999999998"/>
    <x v="0"/>
  </r>
  <r>
    <x v="758"/>
    <n v="436.93"/>
    <n v="433.48719999999997"/>
    <n v="424.13619999999997"/>
    <x v="0"/>
  </r>
  <r>
    <x v="759"/>
    <n v="437.25"/>
    <n v="433.24900000000002"/>
    <n v="424.32150000000001"/>
    <x v="0"/>
  </r>
  <r>
    <x v="760"/>
    <n v="433.84"/>
    <n v="432.90559999999999"/>
    <n v="424.48899999999998"/>
    <x v="0"/>
  </r>
  <r>
    <x v="761"/>
    <n v="440.61"/>
    <n v="432.71080000000001"/>
    <n v="424.66820000000001"/>
    <x v="0"/>
  </r>
  <r>
    <x v="762"/>
    <n v="440.19"/>
    <n v="432.49079999999998"/>
    <n v="424.8408"/>
    <x v="0"/>
  </r>
  <r>
    <x v="763"/>
    <n v="448.73"/>
    <n v="432.48059999999998"/>
    <n v="425.08150000000001"/>
    <x v="0"/>
  </r>
  <r>
    <x v="764"/>
    <n v="449.68"/>
    <n v="432.5498"/>
    <n v="425.29750000000001"/>
    <x v="0"/>
  </r>
  <r>
    <x v="765"/>
    <n v="450.23"/>
    <n v="432.6574"/>
    <n v="425.49459999999999"/>
    <x v="0"/>
  </r>
  <r>
    <x v="766"/>
    <n v="450.79"/>
    <n v="432.76280000000003"/>
    <n v="425.66469999999998"/>
    <x v="0"/>
  </r>
  <r>
    <x v="767"/>
    <n v="454.26"/>
    <n v="432.87900000000002"/>
    <n v="425.87419999999997"/>
    <x v="0"/>
  </r>
  <r>
    <x v="768"/>
    <n v="453.27"/>
    <n v="433.02460000000002"/>
    <n v="426.09140000000002"/>
    <x v="0"/>
  </r>
  <r>
    <x v="769"/>
    <n v="455.02"/>
    <n v="433.19479999999999"/>
    <n v="426.29059999999998"/>
    <x v="0"/>
  </r>
  <r>
    <x v="770"/>
    <n v="455.3"/>
    <n v="433.29360000000003"/>
    <n v="426.5138"/>
    <x v="0"/>
  </r>
  <r>
    <x v="771"/>
    <n v="454.48"/>
    <n v="433.51580000000001"/>
    <n v="426.75080000000003"/>
    <x v="0"/>
  </r>
  <r>
    <x v="772"/>
    <n v="454.93"/>
    <n v="433.74180000000001"/>
    <n v="426.98520000000002"/>
    <x v="0"/>
  </r>
  <r>
    <x v="773"/>
    <n v="454.61"/>
    <n v="433.97980000000001"/>
    <n v="427.19420000000002"/>
    <x v="0"/>
  </r>
  <r>
    <x v="774"/>
    <n v="456.4"/>
    <n v="434.33499999999998"/>
    <n v="427.41300000000001"/>
    <x v="0"/>
  </r>
  <r>
    <x v="775"/>
    <n v="459.1"/>
    <n v="434.88920000000002"/>
    <n v="427.6386"/>
    <x v="0"/>
  </r>
  <r>
    <x v="776"/>
    <n v="456.69"/>
    <n v="435.41460000000001"/>
    <n v="427.88060000000002"/>
    <x v="0"/>
  </r>
  <r>
    <x v="777"/>
    <n v="456.6"/>
    <n v="435.90199999999999"/>
    <n v="428.12729999999999"/>
    <x v="0"/>
  </r>
  <r>
    <x v="778"/>
    <n v="454.76"/>
    <n v="436.4796"/>
    <n v="428.40559999999999"/>
    <x v="0"/>
  </r>
  <r>
    <x v="779"/>
    <n v="458.23"/>
    <n v="437.1232"/>
    <n v="428.70409999999998"/>
    <x v="0"/>
  </r>
  <r>
    <x v="780"/>
    <n v="460.2"/>
    <n v="437.7568"/>
    <n v="429.0018"/>
    <x v="0"/>
  </r>
  <r>
    <x v="781"/>
    <n v="461.99"/>
    <n v="438.447"/>
    <n v="429.32979999999998"/>
    <x v="0"/>
  </r>
  <r>
    <x v="782"/>
    <n v="464.1"/>
    <n v="439.18279999999999"/>
    <n v="429.6617"/>
    <x v="0"/>
  </r>
  <r>
    <x v="783"/>
    <n v="470.5"/>
    <n v="440.161"/>
    <n v="430.03289999999998"/>
    <x v="0"/>
  </r>
  <r>
    <x v="784"/>
    <n v="472.01"/>
    <n v="441.108"/>
    <n v="430.41919999999999"/>
    <x v="0"/>
  </r>
  <r>
    <x v="785"/>
    <n v="469.33"/>
    <n v="442.00459999999998"/>
    <n v="430.77679999999998"/>
    <x v="0"/>
  </r>
  <r>
    <x v="786"/>
    <n v="471.97"/>
    <n v="442.85320000000002"/>
    <n v="431.11579999999998"/>
    <x v="0"/>
  </r>
  <r>
    <x v="787"/>
    <n v="474.84"/>
    <n v="443.70420000000001"/>
    <n v="431.4676"/>
    <x v="0"/>
  </r>
  <r>
    <x v="788"/>
    <n v="468.26"/>
    <n v="444.37860000000001"/>
    <n v="431.81760000000003"/>
    <x v="0"/>
  </r>
  <r>
    <x v="789"/>
    <n v="472.7"/>
    <n v="445.1062"/>
    <n v="432.18639999999999"/>
    <x v="0"/>
  </r>
  <r>
    <x v="790"/>
    <n v="473.65"/>
    <n v="445.90600000000001"/>
    <n v="432.59690000000001"/>
    <x v="0"/>
  </r>
  <r>
    <x v="791"/>
    <n v="475.65"/>
    <n v="446.78899999999999"/>
    <n v="433.04559999999998"/>
    <x v="0"/>
  </r>
  <r>
    <x v="792"/>
    <n v="476.51"/>
    <n v="447.59840000000003"/>
    <n v="433.50139999999999"/>
    <x v="0"/>
  </r>
  <r>
    <x v="793"/>
    <n v="476.69"/>
    <n v="448.41180000000003"/>
    <n v="433.92619999999999"/>
    <x v="0"/>
  </r>
  <r>
    <x v="794"/>
    <n v="475.31"/>
    <n v="449.31380000000001"/>
    <n v="434.35629999999998"/>
    <x v="0"/>
  </r>
  <r>
    <x v="795"/>
    <n v="472.65"/>
    <n v="450.23820000000001"/>
    <n v="434.73899999999998"/>
    <x v="0"/>
  </r>
  <r>
    <x v="796"/>
    <n v="468.79"/>
    <n v="451.1902"/>
    <n v="435.13299999999998"/>
    <x v="0"/>
  </r>
  <r>
    <x v="797"/>
    <n v="467.28"/>
    <n v="452.1266"/>
    <n v="435.50069999999999"/>
    <x v="0"/>
  </r>
  <r>
    <x v="798"/>
    <n v="467.92"/>
    <n v="453.01240000000001"/>
    <n v="435.8458"/>
    <x v="0"/>
  </r>
  <r>
    <x v="799"/>
    <n v="474.6"/>
    <n v="454.15339999999998"/>
    <n v="436.25819999999999"/>
    <x v="0"/>
  </r>
  <r>
    <x v="800"/>
    <n v="473.88"/>
    <n v="455.38"/>
    <n v="436.66180000000003"/>
    <x v="0"/>
  </r>
  <r>
    <x v="801"/>
    <n v="476.56"/>
    <n v="456.69760000000002"/>
    <n v="437.06580000000002"/>
    <x v="0"/>
  </r>
  <r>
    <x v="802"/>
    <n v="476.35"/>
    <n v="457.9128"/>
    <n v="437.46510000000001"/>
    <x v="0"/>
  </r>
  <r>
    <x v="803"/>
    <n v="476.68"/>
    <n v="459.08240000000001"/>
    <n v="437.87049999999999"/>
    <x v="0"/>
  </r>
  <r>
    <x v="804"/>
    <n v="474.93"/>
    <n v="460.12779999999998"/>
    <n v="438.23840000000001"/>
    <x v="0"/>
  </r>
  <r>
    <x v="805"/>
    <n v="472.29"/>
    <n v="460.95839999999998"/>
    <n v="438.58139999999997"/>
    <x v="0"/>
  </r>
  <r>
    <x v="806"/>
    <n v="476.49"/>
    <n v="461.7944"/>
    <n v="438.91680000000002"/>
    <x v="0"/>
  </r>
  <r>
    <x v="807"/>
    <n v="482.43"/>
    <n v="462.72919999999999"/>
    <n v="439.27420000000001"/>
    <x v="0"/>
  </r>
  <r>
    <x v="808"/>
    <n v="483.45"/>
    <n v="463.65960000000001"/>
    <n v="439.64819999999997"/>
    <x v="0"/>
  </r>
  <r>
    <x v="809"/>
    <n v="484.86"/>
    <n v="464.61180000000002"/>
    <n v="440.03440000000001"/>
    <x v="0"/>
  </r>
  <r>
    <x v="810"/>
    <n v="485.39"/>
    <n v="465.64280000000002"/>
    <n v="440.41539999999998"/>
    <x v="0"/>
  </r>
  <r>
    <x v="811"/>
    <n v="488.03"/>
    <n v="466.59120000000001"/>
    <n v="440.80759999999998"/>
    <x v="0"/>
  </r>
  <r>
    <x v="812"/>
    <n v="487.41"/>
    <n v="467.53559999999999"/>
    <n v="441.19600000000003"/>
    <x v="0"/>
  </r>
  <r>
    <x v="813"/>
    <n v="491.27"/>
    <n v="468.38639999999998"/>
    <n v="441.6121"/>
    <x v="0"/>
  </r>
  <r>
    <x v="814"/>
    <n v="490.89"/>
    <n v="469.2106"/>
    <n v="441.99919999999997"/>
    <x v="0"/>
  </r>
  <r>
    <x v="815"/>
    <n v="482.88"/>
    <n v="469.86360000000002"/>
    <n v="442.35129999999998"/>
    <x v="0"/>
  </r>
  <r>
    <x v="816"/>
    <n v="489.2"/>
    <n v="470.6318"/>
    <n v="442.7276"/>
    <x v="0"/>
  </r>
  <r>
    <x v="817"/>
    <n v="494.35"/>
    <n v="471.43360000000001"/>
    <n v="443.12830000000002"/>
    <x v="0"/>
  </r>
  <r>
    <x v="818"/>
    <n v="492.55"/>
    <n v="472.2192"/>
    <n v="443.5204"/>
    <x v="0"/>
  </r>
  <r>
    <x v="819"/>
    <n v="493.98"/>
    <n v="472.9984"/>
    <n v="443.93079999999998"/>
    <x v="0"/>
  </r>
  <r>
    <x v="820"/>
    <n v="498.1"/>
    <n v="473.8544"/>
    <n v="444.36040000000003"/>
    <x v="0"/>
  </r>
  <r>
    <x v="821"/>
    <n v="498.32"/>
    <n v="474.7312"/>
    <n v="444.78879999999998"/>
    <x v="0"/>
  </r>
  <r>
    <x v="822"/>
    <n v="501.2"/>
    <n v="475.65660000000003"/>
    <n v="445.26440000000002"/>
    <x v="0"/>
  </r>
  <r>
    <x v="823"/>
    <n v="500.98"/>
    <n v="476.584"/>
    <n v="445.7475"/>
    <x v="0"/>
  </r>
  <r>
    <x v="824"/>
    <n v="494.08"/>
    <n v="477.33760000000001"/>
    <n v="446.1558"/>
    <x v="0"/>
  </r>
  <r>
    <x v="825"/>
    <n v="498.57"/>
    <n v="478.12700000000001"/>
    <n v="446.56900000000002"/>
    <x v="0"/>
  </r>
  <r>
    <x v="826"/>
    <n v="502.01"/>
    <n v="479.03339999999997"/>
    <n v="447.0016"/>
    <x v="0"/>
  </r>
  <r>
    <x v="827"/>
    <n v="499.51"/>
    <n v="479.89159999999998"/>
    <n v="447.44490000000002"/>
    <x v="0"/>
  </r>
  <r>
    <x v="828"/>
    <n v="496.76"/>
    <n v="480.73160000000001"/>
    <n v="447.8886"/>
    <x v="0"/>
  </r>
  <r>
    <x v="829"/>
    <n v="497.21"/>
    <n v="481.51119999999997"/>
    <n v="448.34899999999999"/>
    <x v="0"/>
  </r>
  <r>
    <x v="830"/>
    <n v="507.5"/>
    <n v="482.4572"/>
    <n v="448.82339999999999"/>
    <x v="0"/>
  </r>
  <r>
    <x v="831"/>
    <n v="507.85"/>
    <n v="483.37439999999998"/>
    <n v="449.2989"/>
    <x v="0"/>
  </r>
  <r>
    <x v="832"/>
    <n v="505.99"/>
    <n v="484.2122"/>
    <n v="449.77420000000001"/>
    <x v="0"/>
  </r>
  <r>
    <x v="833"/>
    <n v="506.93"/>
    <n v="484.94080000000002"/>
    <n v="450.24459999999999"/>
    <x v="0"/>
  </r>
  <r>
    <x v="834"/>
    <n v="506.26"/>
    <n v="485.62580000000003"/>
    <n v="450.71519999999998"/>
    <x v="0"/>
  </r>
  <r>
    <x v="835"/>
    <n v="508.08"/>
    <n v="486.4008"/>
    <n v="451.1977"/>
    <x v="0"/>
  </r>
  <r>
    <x v="836"/>
    <n v="512.85"/>
    <n v="487.21839999999997"/>
    <n v="451.69690000000003"/>
    <x v="0"/>
  </r>
  <r>
    <x v="837"/>
    <n v="512.29999999999995"/>
    <n v="487.9676"/>
    <n v="452.2072"/>
    <x v="0"/>
  </r>
  <r>
    <x v="838"/>
    <n v="507.18"/>
    <n v="488.74599999999998"/>
    <n v="452.6669"/>
    <x v="0"/>
  </r>
  <r>
    <x v="839"/>
    <n v="509.75"/>
    <n v="489.48700000000002"/>
    <n v="453.11950000000002"/>
    <x v="0"/>
  </r>
  <r>
    <x v="840"/>
    <n v="514.80999999999995"/>
    <n v="490.31020000000001"/>
    <n v="453.60039999999998"/>
    <x v="0"/>
  </r>
  <r>
    <x v="841"/>
    <n v="511.72"/>
    <n v="491.03160000000003"/>
    <n v="454.06509999999997"/>
    <x v="0"/>
  </r>
  <r>
    <x v="842"/>
    <n v="511.28"/>
    <n v="491.72699999999998"/>
    <n v="454.55099999999999"/>
    <x v="0"/>
  </r>
  <r>
    <x v="843"/>
    <n v="516.78"/>
    <n v="492.52879999999999"/>
    <n v="455.0795"/>
    <x v="0"/>
  </r>
  <r>
    <x v="844"/>
    <n v="515.97"/>
    <n v="493.34199999999998"/>
    <n v="455.58609999999999"/>
    <x v="0"/>
  </r>
  <r>
    <x v="845"/>
    <n v="514.95000000000005"/>
    <n v="494.18799999999999"/>
    <n v="456.06079999999997"/>
    <x v="0"/>
  </r>
  <r>
    <x v="846"/>
    <n v="509.83"/>
    <n v="495.00880000000001"/>
    <n v="456.50900000000001"/>
    <x v="0"/>
  </r>
  <r>
    <x v="847"/>
    <n v="512.86"/>
    <n v="495.92039999999997"/>
    <n v="456.98399999999998"/>
    <x v="0"/>
  </r>
  <r>
    <x v="848"/>
    <n v="515.71"/>
    <n v="496.87619999999998"/>
    <n v="457.45350000000002"/>
    <x v="0"/>
  </r>
  <r>
    <x v="849"/>
    <n v="520.48"/>
    <n v="497.79379999999998"/>
    <n v="457.91629999999998"/>
    <x v="0"/>
  </r>
  <r>
    <x v="850"/>
    <n v="522.20000000000005"/>
    <n v="498.7602"/>
    <n v="458.39179999999999"/>
    <x v="0"/>
  </r>
  <r>
    <x v="851"/>
    <n v="521.21"/>
    <n v="499.65320000000003"/>
    <n v="458.85770000000002"/>
    <x v="0"/>
  </r>
  <r>
    <x v="852"/>
    <n v="519.77"/>
    <n v="500.52159999999998"/>
    <n v="459.32380000000001"/>
    <x v="0"/>
  </r>
  <r>
    <x v="853"/>
    <n v="518.80999999999995"/>
    <n v="501.36419999999998"/>
    <n v="459.7722"/>
    <x v="0"/>
  </r>
  <r>
    <x v="854"/>
    <n v="523.16999999999996"/>
    <n v="502.32900000000001"/>
    <n v="460.23860000000002"/>
    <x v="0"/>
  </r>
  <r>
    <x v="855"/>
    <n v="523.07000000000005"/>
    <n v="503.34460000000001"/>
    <n v="460.68490000000003"/>
    <x v="0"/>
  </r>
  <r>
    <x v="856"/>
    <n v="522.16"/>
    <n v="504.25799999999998"/>
    <n v="461.11239999999998"/>
    <x v="0"/>
  </r>
  <r>
    <x v="857"/>
    <n v="518.84"/>
    <n v="504.9862"/>
    <n v="461.52069999999998"/>
    <x v="0"/>
  </r>
  <r>
    <x v="858"/>
    <n v="519.41"/>
    <n v="505.7054"/>
    <n v="461.90480000000002"/>
    <x v="0"/>
  </r>
  <r>
    <x v="859"/>
    <n v="513.07000000000005"/>
    <n v="506.26960000000003"/>
    <n v="462.27280000000002"/>
    <x v="0"/>
  </r>
  <r>
    <x v="860"/>
    <n v="518.42999999999995"/>
    <n v="506.93040000000002"/>
    <n v="462.67899999999997"/>
    <x v="0"/>
  </r>
  <r>
    <x v="861"/>
    <n v="518.72"/>
    <n v="507.54419999999999"/>
    <n v="463.09800000000001"/>
    <x v="0"/>
  </r>
  <r>
    <x v="862"/>
    <n v="519.32000000000005"/>
    <n v="508.18239999999997"/>
    <n v="463.512"/>
    <x v="0"/>
  </r>
  <r>
    <x v="863"/>
    <n v="514.12"/>
    <n v="508.63940000000002"/>
    <n v="463.91660000000002"/>
    <x v="0"/>
  </r>
  <r>
    <x v="864"/>
    <n v="518"/>
    <n v="509.1816"/>
    <n v="464.3494"/>
    <x v="0"/>
  </r>
  <r>
    <x v="865"/>
    <n v="510.85"/>
    <n v="509.74099999999999"/>
    <n v="464.72280000000001"/>
    <x v="0"/>
  </r>
  <r>
    <x v="866"/>
    <n v="504.45"/>
    <n v="510.04599999999999"/>
    <n v="465.06299999999999"/>
    <x v="0"/>
  </r>
  <r>
    <x v="867"/>
    <n v="503.53"/>
    <n v="510.2296"/>
    <n v="465.39019999999999"/>
    <x v="0"/>
  </r>
  <r>
    <x v="868"/>
    <n v="500.55"/>
    <n v="510.38959999999997"/>
    <n v="465.67649999999998"/>
    <x v="0"/>
  </r>
  <r>
    <x v="869"/>
    <n v="499.52"/>
    <n v="510.50040000000001"/>
    <n v="465.95519999999999"/>
    <x v="0"/>
  </r>
  <r>
    <x v="870"/>
    <n v="495.16"/>
    <n v="510.44159999999999"/>
    <n v="466.21530000000001"/>
    <x v="0"/>
  </r>
  <r>
    <x v="871"/>
    <n v="499.72"/>
    <n v="510.46960000000001"/>
    <n v="466.51560000000001"/>
    <x v="0"/>
  </r>
  <r>
    <x v="872"/>
    <n v="505.65"/>
    <n v="510.55860000000001"/>
    <n v="466.85109999999997"/>
    <x v="0"/>
  </r>
  <r>
    <x v="873"/>
    <n v="505.41"/>
    <n v="510.6472"/>
    <n v="467.1798"/>
    <x v="0"/>
  </r>
  <r>
    <x v="874"/>
    <n v="503.49"/>
    <n v="510.83539999999999"/>
    <n v="467.48500000000001"/>
    <x v="0"/>
  </r>
  <r>
    <x v="875"/>
    <n v="508.26"/>
    <n v="511.0292"/>
    <n v="467.7962"/>
    <x v="0"/>
  </r>
  <r>
    <x v="876"/>
    <n v="510.06"/>
    <n v="511.1902"/>
    <n v="468.09870000000001"/>
    <x v="0"/>
  </r>
  <r>
    <x v="877"/>
    <n v="501.98"/>
    <n v="511.2396"/>
    <n v="468.36219999999997"/>
    <x v="0"/>
  </r>
  <r>
    <x v="878"/>
    <n v="500.35"/>
    <n v="511.31139999999999"/>
    <n v="468.60980000000001"/>
    <x v="0"/>
  </r>
  <r>
    <x v="879"/>
    <n v="505.03"/>
    <n v="511.46780000000001"/>
    <n v="468.86399999999998"/>
    <x v="0"/>
  </r>
  <r>
    <x v="880"/>
    <n v="511.29"/>
    <n v="511.54360000000003"/>
    <n v="469.14440000000002"/>
    <x v="0"/>
  </r>
  <r>
    <x v="881"/>
    <n v="516.57000000000005"/>
    <n v="511.71800000000002"/>
    <n v="469.46640000000002"/>
    <x v="0"/>
  </r>
  <r>
    <x v="882"/>
    <n v="517.14"/>
    <n v="511.94099999999997"/>
    <n v="469.7912"/>
    <x v="0"/>
  </r>
  <r>
    <x v="883"/>
    <n v="517.19000000000005"/>
    <n v="512.14620000000002"/>
    <n v="470.10610000000003"/>
    <x v="0"/>
  </r>
  <r>
    <x v="884"/>
    <n v="520.16999999999996"/>
    <n v="512.42439999999999"/>
    <n v="470.4298"/>
    <x v="0"/>
  </r>
  <r>
    <x v="885"/>
    <n v="520.84"/>
    <n v="512.67960000000005"/>
    <n v="470.75639999999999"/>
    <x v="0"/>
  </r>
  <r>
    <x v="886"/>
    <n v="520.91"/>
    <n v="512.84079999999994"/>
    <n v="471.0985"/>
    <x v="0"/>
  </r>
  <r>
    <x v="887"/>
    <n v="523.29999999999995"/>
    <n v="513.06079999999997"/>
    <n v="471.43040000000002"/>
    <x v="0"/>
  </r>
  <r>
    <x v="888"/>
    <n v="529.78"/>
    <n v="513.51279999999997"/>
    <n v="471.79039999999998"/>
    <x v="0"/>
  </r>
  <r>
    <x v="889"/>
    <n v="528.69000000000005"/>
    <n v="513.89160000000004"/>
    <n v="472.15140000000002"/>
    <x v="0"/>
  </r>
  <r>
    <x v="890"/>
    <n v="529.45000000000005"/>
    <n v="514.18439999999998"/>
    <n v="472.548"/>
    <x v="0"/>
  </r>
  <r>
    <x v="891"/>
    <n v="530.05999999999995"/>
    <n v="514.55119999999999"/>
    <n v="472.95409999999998"/>
    <x v="0"/>
  </r>
  <r>
    <x v="892"/>
    <n v="531.36"/>
    <n v="514.95280000000002"/>
    <n v="473.3768"/>
    <x v="0"/>
  </r>
  <r>
    <x v="893"/>
    <n v="529.83000000000004"/>
    <n v="515.21379999999999"/>
    <n v="473.7724"/>
    <x v="0"/>
  </r>
  <r>
    <x v="894"/>
    <n v="525.96"/>
    <n v="515.41359999999997"/>
    <n v="474.1585"/>
    <x v="0"/>
  </r>
  <r>
    <x v="895"/>
    <n v="529.44000000000005"/>
    <n v="515.70339999999999"/>
    <n v="474.577"/>
    <x v="0"/>
  </r>
  <r>
    <x v="896"/>
    <n v="529.80999999999995"/>
    <n v="516.10299999999995"/>
    <n v="474.99639999999999"/>
    <x v="0"/>
  </r>
  <r>
    <x v="897"/>
    <n v="526.1"/>
    <n v="516.36779999999999"/>
    <n v="475.39870000000002"/>
    <x v="0"/>
  </r>
  <r>
    <x v="898"/>
    <n v="522.61"/>
    <n v="516.50580000000002"/>
    <n v="475.77120000000002"/>
    <x v="0"/>
  </r>
  <r>
    <x v="899"/>
    <n v="527.37"/>
    <n v="516.64359999999999"/>
    <n v="476.1936"/>
    <x v="0"/>
  </r>
  <r>
    <x v="900"/>
    <n v="527.79999999999995"/>
    <n v="516.75559999999996"/>
    <n v="476.63440000000003"/>
    <x v="0"/>
  </r>
  <r>
    <x v="901"/>
    <n v="528.39"/>
    <n v="516.89919999999995"/>
    <n v="477.0949"/>
    <x v="0"/>
  </r>
  <r>
    <x v="902"/>
    <n v="534.66999999999996"/>
    <n v="517.19719999999995"/>
    <n v="477.58580000000001"/>
    <x v="0"/>
  </r>
  <r>
    <x v="903"/>
    <n v="534.66"/>
    <n v="517.51419999999996"/>
    <n v="478.06240000000003"/>
    <x v="0"/>
  </r>
  <r>
    <x v="904"/>
    <n v="534.01"/>
    <n v="517.73099999999999"/>
    <n v="478.54160000000002"/>
    <x v="0"/>
  </r>
  <r>
    <x v="905"/>
    <n v="535.66"/>
    <n v="517.9828"/>
    <n v="479.00479999999999"/>
    <x v="0"/>
  </r>
  <r>
    <x v="906"/>
    <n v="536.95000000000005"/>
    <n v="518.27859999999998"/>
    <n v="479.50510000000003"/>
    <x v="0"/>
  </r>
  <r>
    <x v="907"/>
    <n v="541.36"/>
    <n v="518.72900000000004"/>
    <n v="480.012"/>
    <x v="0"/>
  </r>
  <r>
    <x v="908"/>
    <n v="542.45000000000005"/>
    <n v="519.18979999999999"/>
    <n v="480.51049999999998"/>
    <x v="0"/>
  </r>
  <r>
    <x v="909"/>
    <n v="542.78"/>
    <n v="519.78399999999999"/>
    <n v="480.97859999999997"/>
    <x v="0"/>
  </r>
  <r>
    <x v="910"/>
    <n v="547.1"/>
    <n v="520.35739999999998"/>
    <n v="481.459"/>
    <x v="0"/>
  </r>
  <r>
    <x v="911"/>
    <n v="548.49"/>
    <n v="520.95280000000002"/>
    <n v="481.94979999999998"/>
    <x v="0"/>
  </r>
  <r>
    <x v="912"/>
    <n v="547"/>
    <n v="521.50639999999999"/>
    <n v="482.42880000000002"/>
    <x v="0"/>
  </r>
  <r>
    <x v="913"/>
    <n v="544.51"/>
    <n v="522.11419999999998"/>
    <n v="482.90519999999998"/>
    <x v="0"/>
  </r>
  <r>
    <x v="914"/>
    <n v="542.74"/>
    <n v="522.60900000000004"/>
    <n v="483.38780000000003"/>
    <x v="0"/>
  </r>
  <r>
    <x v="915"/>
    <n v="544.83000000000004"/>
    <n v="523.28859999999997"/>
    <n v="483.88760000000002"/>
    <x v="0"/>
  </r>
  <r>
    <x v="916"/>
    <n v="545.51"/>
    <n v="524.10979999999995"/>
    <n v="484.38760000000002"/>
    <x v="0"/>
  </r>
  <r>
    <x v="917"/>
    <n v="546.37"/>
    <n v="524.96659999999997"/>
    <n v="484.87720000000002"/>
    <x v="0"/>
  </r>
  <r>
    <x v="918"/>
    <n v="544.22"/>
    <n v="525.84"/>
    <n v="485.36840000000001"/>
    <x v="0"/>
  </r>
  <r>
    <x v="919"/>
    <n v="545.34"/>
    <n v="526.75639999999999"/>
    <n v="485.86250000000001"/>
    <x v="0"/>
  </r>
  <r>
    <x v="920"/>
    <n v="549.01"/>
    <n v="527.83339999999998"/>
    <n v="486.35579999999999"/>
    <x v="0"/>
  </r>
  <r>
    <x v="921"/>
    <n v="551.46"/>
    <n v="528.8682"/>
    <n v="486.89620000000002"/>
    <x v="0"/>
  </r>
  <r>
    <x v="922"/>
    <n v="554.64"/>
    <n v="529.84799999999996"/>
    <n v="487.45119999999997"/>
    <x v="0"/>
  </r>
  <r>
    <x v="923"/>
    <n v="555.28"/>
    <n v="530.84540000000004"/>
    <n v="488.01409999999998"/>
    <x v="0"/>
  </r>
  <r>
    <x v="924"/>
    <n v="555.82000000000005"/>
    <n v="531.89200000000005"/>
    <n v="488.6"/>
    <x v="0"/>
  </r>
  <r>
    <x v="925"/>
    <n v="561.32000000000005"/>
    <n v="532.95320000000004"/>
    <n v="489.24959999999999"/>
    <x v="0"/>
  </r>
  <r>
    <x v="926"/>
    <n v="556.48"/>
    <n v="533.88160000000005"/>
    <n v="489.88"/>
    <x v="0"/>
  </r>
  <r>
    <x v="927"/>
    <n v="559.99"/>
    <n v="535.04179999999997"/>
    <n v="490.5188"/>
    <x v="0"/>
  </r>
  <r>
    <x v="928"/>
    <n v="561.53"/>
    <n v="536.2654"/>
    <n v="491.197"/>
    <x v="0"/>
  </r>
  <r>
    <x v="929"/>
    <n v="564.86"/>
    <n v="537.46199999999999"/>
    <n v="491.89100000000002"/>
    <x v="0"/>
  </r>
  <r>
    <x v="930"/>
    <n v="556.94000000000005"/>
    <n v="538.375"/>
    <n v="492.53320000000002"/>
    <x v="0"/>
  </r>
  <r>
    <x v="931"/>
    <n v="552.66"/>
    <n v="539.09680000000003"/>
    <n v="493.15899999999999"/>
    <x v="0"/>
  </r>
  <r>
    <x v="932"/>
    <n v="548.99"/>
    <n v="539.73379999999997"/>
    <n v="493.76740000000001"/>
    <x v="0"/>
  </r>
  <r>
    <x v="933"/>
    <n v="554.65"/>
    <n v="540.48299999999995"/>
    <n v="494.43279999999999"/>
    <x v="0"/>
  </r>
  <r>
    <x v="934"/>
    <n v="553.78"/>
    <n v="541.15520000000004"/>
    <n v="495.07839999999999"/>
    <x v="0"/>
  </r>
  <r>
    <x v="935"/>
    <n v="541.23"/>
    <n v="541.56299999999999"/>
    <n v="495.66199999999998"/>
    <x v="0"/>
  </r>
  <r>
    <x v="936"/>
    <n v="538.41"/>
    <n v="541.91300000000001"/>
    <n v="496.20639999999997"/>
    <x v="0"/>
  </r>
  <r>
    <x v="937"/>
    <n v="544.44000000000005"/>
    <n v="542.33579999999995"/>
    <n v="496.76710000000003"/>
    <x v="0"/>
  </r>
  <r>
    <x v="938"/>
    <n v="544.76"/>
    <n v="542.6354"/>
    <n v="497.31819999999999"/>
    <x v="0"/>
  </r>
  <r>
    <x v="939"/>
    <n v="542"/>
    <n v="542.90160000000003"/>
    <n v="497.84660000000002"/>
    <x v="0"/>
  </r>
  <r>
    <x v="940"/>
    <n v="550.80999999999995"/>
    <n v="543.3288"/>
    <n v="498.43239999999997"/>
    <x v="0"/>
  </r>
  <r>
    <x v="941"/>
    <n v="543.01"/>
    <n v="543.58780000000002"/>
    <n v="498.98989999999998"/>
    <x v="0"/>
  </r>
  <r>
    <x v="942"/>
    <n v="532.9"/>
    <n v="543.61860000000001"/>
    <n v="499.4742"/>
    <x v="0"/>
  </r>
  <r>
    <x v="943"/>
    <n v="517.38"/>
    <n v="543.36959999999999"/>
    <n v="499.88099999999997"/>
    <x v="0"/>
  </r>
  <r>
    <x v="944"/>
    <n v="522.15"/>
    <n v="543.29340000000002"/>
    <n v="500.34070000000003"/>
    <x v="0"/>
  </r>
  <r>
    <x v="945"/>
    <n v="518.66"/>
    <n v="543.07780000000002"/>
    <n v="500.80180000000001"/>
    <x v="0"/>
  </r>
  <r>
    <x v="946"/>
    <n v="530.65"/>
    <n v="543.09460000000001"/>
    <n v="501.3492"/>
    <x v="0"/>
  </r>
  <r>
    <x v="947"/>
    <n v="532.99"/>
    <n v="543.23239999999998"/>
    <n v="501.91180000000003"/>
    <x v="0"/>
  </r>
  <r>
    <x v="948"/>
    <n v="533.27"/>
    <n v="543.44560000000001"/>
    <n v="502.46"/>
    <x v="0"/>
  </r>
  <r>
    <x v="949"/>
    <n v="542.04"/>
    <n v="543.73900000000003"/>
    <n v="503.08240000000001"/>
    <x v="0"/>
  </r>
  <r>
    <x v="950"/>
    <n v="543.75"/>
    <n v="544.05799999999999"/>
    <n v="503.73840000000001"/>
    <x v="0"/>
  </r>
  <r>
    <x v="951"/>
    <n v="553.07000000000005"/>
    <n v="544.55160000000001"/>
    <n v="504.4504"/>
    <x v="0"/>
  </r>
  <r>
    <x v="952"/>
    <n v="554.30999999999995"/>
    <n v="544.94439999999997"/>
    <n v="505.14400000000001"/>
    <x v="0"/>
  </r>
  <r>
    <x v="953"/>
    <n v="559.61"/>
    <n v="545.4434"/>
    <n v="505.851"/>
    <x v="0"/>
  </r>
  <r>
    <x v="954"/>
    <n v="558.70000000000005"/>
    <n v="545.93719999999996"/>
    <n v="506.53120000000001"/>
    <x v="0"/>
  </r>
  <r>
    <x v="955"/>
    <n v="560.62"/>
    <n v="546.43640000000005"/>
    <n v="507.18060000000003"/>
    <x v="0"/>
  </r>
  <r>
    <x v="956"/>
    <n v="556.22"/>
    <n v="546.82180000000005"/>
    <n v="507.78820000000002"/>
    <x v="0"/>
  </r>
  <r>
    <x v="957"/>
    <n v="562.13"/>
    <n v="547.23720000000003"/>
    <n v="508.42039999999997"/>
    <x v="0"/>
  </r>
  <r>
    <x v="958"/>
    <n v="560.79"/>
    <n v="547.60400000000004"/>
    <n v="509.03969999999998"/>
    <x v="0"/>
  </r>
  <r>
    <x v="959"/>
    <n v="561.55999999999995"/>
    <n v="547.9796"/>
    <n v="509.66120000000001"/>
    <x v="0"/>
  </r>
  <r>
    <x v="960"/>
    <n v="558.29999999999995"/>
    <n v="548.20360000000005"/>
    <n v="510.28359999999998"/>
    <x v="0"/>
  </r>
  <r>
    <x v="961"/>
    <n v="558.35"/>
    <n v="548.4008"/>
    <n v="510.87220000000002"/>
    <x v="0"/>
  </r>
  <r>
    <x v="962"/>
    <n v="563.67999999999995"/>
    <n v="548.73440000000005"/>
    <n v="511.48970000000003"/>
    <x v="0"/>
  </r>
  <r>
    <x v="963"/>
    <n v="552.08000000000004"/>
    <n v="548.88580000000002"/>
    <n v="512.00639999999999"/>
    <x v="0"/>
  </r>
  <r>
    <x v="964"/>
    <n v="550.95000000000005"/>
    <n v="549.04999999999995"/>
    <n v="512.51279999999997"/>
    <x v="0"/>
  </r>
  <r>
    <x v="965"/>
    <n v="549.61"/>
    <n v="549.14559999999994"/>
    <n v="513.00969999999995"/>
    <x v="0"/>
  </r>
  <r>
    <x v="966"/>
    <n v="540.36"/>
    <n v="549.04259999999999"/>
    <n v="513.45759999999996"/>
    <x v="0"/>
  </r>
  <r>
    <x v="967"/>
    <n v="546.41"/>
    <n v="549.04340000000002"/>
    <n v="513.91830000000004"/>
    <x v="0"/>
  </r>
  <r>
    <x v="968"/>
    <n v="548.79"/>
    <n v="549.13480000000004"/>
    <n v="514.39589999999998"/>
    <x v="0"/>
  </r>
  <r>
    <x v="969"/>
    <n v="554.41999999999996"/>
    <n v="549.31640000000004"/>
    <n v="514.89290000000005"/>
    <x v="0"/>
  </r>
  <r>
    <x v="970"/>
    <n v="559.09"/>
    <n v="549.51800000000003"/>
    <n v="515.41179999999997"/>
    <x v="0"/>
  </r>
  <r>
    <x v="971"/>
    <n v="562.01"/>
    <n v="549.72900000000004"/>
    <n v="515.94949999999994"/>
    <x v="0"/>
  </r>
  <r>
    <x v="972"/>
    <n v="562.84"/>
    <n v="549.89300000000003"/>
    <n v="516.48900000000003"/>
    <x v="0"/>
  </r>
  <r>
    <x v="973"/>
    <n v="563.07000000000005"/>
    <n v="550.04880000000003"/>
    <n v="517.03139999999996"/>
    <x v="0"/>
  </r>
  <r>
    <x v="974"/>
    <n v="561.4"/>
    <n v="550.16039999999998"/>
    <n v="517.55640000000005"/>
    <x v="0"/>
  </r>
  <r>
    <x v="975"/>
    <n v="570.98"/>
    <n v="550.35360000000003"/>
    <n v="518.11580000000004"/>
    <x v="0"/>
  </r>
  <r>
    <x v="976"/>
    <n v="568.25"/>
    <n v="550.58900000000006"/>
    <n v="518.67359999999996"/>
    <x v="0"/>
  </r>
  <r>
    <x v="977"/>
    <n v="569.66999999999996"/>
    <n v="550.7826"/>
    <n v="519.23889999999994"/>
    <x v="0"/>
  </r>
  <r>
    <x v="978"/>
    <n v="571.29999999999995"/>
    <n v="550.97799999999995"/>
    <n v="519.82159999999999"/>
    <x v="0"/>
  </r>
  <r>
    <x v="979"/>
    <n v="570.04"/>
    <n v="551.08159999999998"/>
    <n v="520.38059999999996"/>
    <x v="0"/>
  </r>
  <r>
    <x v="980"/>
    <n v="572.29999999999995"/>
    <n v="551.38879999999995"/>
    <n v="520.94119999999998"/>
    <x v="0"/>
  </r>
  <r>
    <x v="981"/>
    <n v="571.47"/>
    <n v="551.76499999999999"/>
    <n v="521.48860000000002"/>
    <x v="0"/>
  </r>
  <r>
    <x v="982"/>
    <n v="573.76"/>
    <n v="552.2604"/>
    <n v="522.03679999999997"/>
    <x v="0"/>
  </r>
  <r>
    <x v="983"/>
    <n v="568.62"/>
    <n v="552.53980000000001"/>
    <n v="522.52739999999994"/>
    <x v="0"/>
  </r>
  <r>
    <x v="984"/>
    <n v="568.86"/>
    <n v="552.84140000000002"/>
    <n v="523.01170000000002"/>
    <x v="0"/>
  </r>
  <r>
    <x v="985"/>
    <n v="567.82000000000005"/>
    <n v="553.3732"/>
    <n v="523.50419999999997"/>
    <x v="0"/>
  </r>
  <r>
    <x v="986"/>
    <n v="572.98"/>
    <n v="554.06460000000004"/>
    <n v="524.00919999999996"/>
    <x v="0"/>
  </r>
  <r>
    <x v="987"/>
    <n v="567.79999999999995"/>
    <n v="554.53179999999998"/>
    <n v="524.47400000000005"/>
    <x v="0"/>
  </r>
  <r>
    <x v="988"/>
    <n v="573.16999999999996"/>
    <n v="555.1"/>
    <n v="524.99860000000001"/>
    <x v="0"/>
  </r>
  <r>
    <x v="989"/>
    <n v="577.14"/>
    <n v="555.80280000000005"/>
    <n v="525.52080000000001"/>
    <x v="0"/>
  </r>
  <r>
    <x v="990"/>
    <n v="576.13"/>
    <n v="556.30920000000003"/>
    <n v="526.03319999999997"/>
    <x v="0"/>
  </r>
  <r>
    <x v="991"/>
    <n v="579.58000000000004"/>
    <n v="557.04060000000004"/>
    <n v="526.55280000000005"/>
    <x v="0"/>
  </r>
  <r>
    <x v="992"/>
    <n v="584.32000000000005"/>
    <n v="558.06899999999996"/>
    <n v="527.09180000000003"/>
    <x v="0"/>
  </r>
  <r>
    <x v="993"/>
    <n v="579.78"/>
    <n v="559.31700000000001"/>
    <n v="527.60730000000001"/>
    <x v="0"/>
  </r>
  <r>
    <x v="994"/>
    <n v="582.29999999999995"/>
    <n v="560.52"/>
    <n v="528.1422"/>
    <x v="0"/>
  </r>
  <r>
    <x v="995"/>
    <n v="582.35"/>
    <n v="561.79380000000003"/>
    <n v="528.69079999999997"/>
    <x v="0"/>
  </r>
  <r>
    <x v="996"/>
    <n v="584.59"/>
    <n v="562.87260000000003"/>
    <n v="529.26980000000003"/>
    <x v="0"/>
  </r>
  <r>
    <x v="997"/>
    <n v="583.63"/>
    <n v="563.8854"/>
    <n v="529.85149999999999"/>
    <x v="0"/>
  </r>
  <r>
    <x v="998"/>
    <n v="583.32000000000005"/>
    <n v="564.88639999999998"/>
    <n v="530.42849999999999"/>
    <x v="0"/>
  </r>
  <r>
    <x v="999"/>
    <n v="577.99"/>
    <n v="565.60540000000003"/>
    <n v="530.94539999999995"/>
    <x v="0"/>
  </r>
  <r>
    <x v="1000"/>
    <n v="579.24"/>
    <n v="566.3152"/>
    <n v="531.47220000000004"/>
    <x v="0"/>
  </r>
  <r>
    <x v="1001"/>
    <n v="579.04"/>
    <n v="566.83460000000002"/>
    <n v="531.9846"/>
    <x v="0"/>
  </r>
  <r>
    <x v="1002"/>
    <n v="580.83000000000004"/>
    <n v="567.36500000000001"/>
    <n v="532.50699999999995"/>
    <x v="0"/>
  </r>
  <r>
    <x v="1003"/>
    <n v="581.77"/>
    <n v="567.80820000000006"/>
    <n v="533.03250000000003"/>
    <x v="0"/>
  </r>
  <r>
    <x v="1004"/>
    <n v="580.01"/>
    <n v="568.23440000000005"/>
    <n v="533.55790000000002"/>
    <x v="0"/>
  </r>
  <r>
    <x v="1005"/>
    <n v="568.64"/>
    <n v="568.39480000000003"/>
    <n v="534.03959999999995"/>
    <x v="0"/>
  </r>
  <r>
    <x v="1006"/>
    <n v="571.04"/>
    <n v="568.69119999999998"/>
    <n v="534.51239999999996"/>
    <x v="0"/>
  </r>
  <r>
    <x v="1007"/>
    <n v="569.80999999999995"/>
    <n v="568.84479999999996"/>
    <n v="534.94929999999999"/>
    <x v="0"/>
  </r>
  <r>
    <x v="1008"/>
    <n v="576.70000000000005"/>
    <n v="569.16300000000001"/>
    <n v="535.41560000000004"/>
    <x v="0"/>
  </r>
  <r>
    <x v="1009"/>
    <n v="591.04"/>
    <n v="569.75260000000003"/>
    <n v="535.94640000000004"/>
    <x v="0"/>
  </r>
  <r>
    <x v="1010"/>
    <n v="595.61"/>
    <n v="570.49879999999996"/>
    <n v="536.49760000000003"/>
    <x v="0"/>
  </r>
  <r>
    <x v="1011"/>
    <n v="598.19000000000005"/>
    <n v="571.29560000000004"/>
    <n v="537.04840000000002"/>
    <x v="0"/>
  </r>
  <r>
    <x v="1012"/>
    <n v="598.76"/>
    <n v="571.99720000000002"/>
    <n v="537.60509999999999"/>
    <x v="0"/>
  </r>
  <r>
    <x v="1013"/>
    <n v="596.9"/>
    <n v="572.89359999999999"/>
    <n v="538.13319999999999"/>
    <x v="0"/>
  </r>
  <r>
    <x v="1014"/>
    <n v="597.19000000000005"/>
    <n v="573.8184"/>
    <n v="538.66480000000001"/>
    <x v="0"/>
  </r>
  <r>
    <x v="1015"/>
    <n v="593.35"/>
    <n v="574.69320000000005"/>
    <n v="539.21709999999996"/>
    <x v="0"/>
  </r>
  <r>
    <x v="1016"/>
    <n v="585.75"/>
    <n v="575.601"/>
    <n v="539.69979999999998"/>
    <x v="0"/>
  </r>
  <r>
    <x v="1017"/>
    <n v="588.15"/>
    <n v="576.43579999999997"/>
    <n v="540.16880000000003"/>
    <x v="0"/>
  </r>
  <r>
    <x v="1018"/>
    <n v="590.29999999999995"/>
    <n v="577.26599999999996"/>
    <n v="540.6576"/>
    <x v="0"/>
  </r>
  <r>
    <x v="1019"/>
    <n v="590.5"/>
    <n v="577.98760000000004"/>
    <n v="541.14020000000005"/>
    <x v="0"/>
  </r>
  <r>
    <x v="1020"/>
    <n v="593.66999999999996"/>
    <n v="578.67920000000004"/>
    <n v="541.61800000000005"/>
    <x v="0"/>
  </r>
  <r>
    <x v="1021"/>
    <n v="595.51"/>
    <n v="579.3492"/>
    <n v="542.10400000000004"/>
    <x v="0"/>
  </r>
  <r>
    <x v="1022"/>
    <n v="597.53"/>
    <n v="580.04300000000001"/>
    <n v="542.5856"/>
    <x v="0"/>
  </r>
  <r>
    <x v="1023"/>
    <n v="600.65"/>
    <n v="580.79459999999995"/>
    <n v="543.08399999999995"/>
    <x v="0"/>
  </r>
  <r>
    <x v="1024"/>
    <n v="598.83000000000004"/>
    <n v="581.54319999999996"/>
    <n v="543.6078"/>
    <x v="0"/>
  </r>
  <r>
    <x v="1025"/>
    <n v="602.54999999999995"/>
    <n v="582.17460000000005"/>
    <n v="544.12760000000003"/>
    <x v="0"/>
  </r>
  <r>
    <x v="1026"/>
    <n v="603.63"/>
    <n v="582.88220000000001"/>
    <n v="544.63580000000002"/>
    <x v="0"/>
  </r>
  <r>
    <x v="1027"/>
    <n v="603.91"/>
    <n v="583.56700000000001"/>
    <n v="545.15779999999995"/>
    <x v="0"/>
  </r>
  <r>
    <x v="1028"/>
    <n v="607.66"/>
    <n v="584.29420000000005"/>
    <n v="545.71220000000005"/>
    <x v="0"/>
  </r>
  <r>
    <x v="1029"/>
    <n v="606.66"/>
    <n v="585.02660000000003"/>
    <n v="546.2595"/>
    <x v="0"/>
  </r>
  <r>
    <x v="1030"/>
    <n v="607.80999999999995"/>
    <n v="585.73680000000002"/>
    <n v="546.76099999999997"/>
    <x v="0"/>
  </r>
  <r>
    <x v="1031"/>
    <n v="604.67999999999995"/>
    <n v="586.40099999999995"/>
    <n v="547.24519999999995"/>
    <x v="0"/>
  </r>
  <r>
    <x v="1032"/>
    <n v="602.79999999999995"/>
    <n v="586.98180000000002"/>
    <n v="547.72919999999999"/>
    <x v="0"/>
  </r>
  <r>
    <x v="1033"/>
    <n v="607.46"/>
    <n v="587.7586"/>
    <n v="548.2319"/>
    <x v="0"/>
  </r>
  <r>
    <x v="1034"/>
    <n v="604.33000000000004"/>
    <n v="588.46799999999996"/>
    <n v="548.72220000000004"/>
    <x v="0"/>
  </r>
  <r>
    <x v="1035"/>
    <n v="604.21"/>
    <n v="589.19579999999996"/>
    <n v="549.2029"/>
    <x v="0"/>
  </r>
  <r>
    <x v="1036"/>
    <n v="606.79"/>
    <n v="589.87199999999996"/>
    <n v="549.67259999999999"/>
    <x v="0"/>
  </r>
  <r>
    <x v="1037"/>
    <n v="604.29"/>
    <n v="590.60180000000003"/>
    <n v="550.13260000000002"/>
    <x v="0"/>
  </r>
  <r>
    <x v="1038"/>
    <n v="586.28"/>
    <n v="590.86400000000003"/>
    <n v="550.52800000000002"/>
    <x v="0"/>
  </r>
  <r>
    <x v="1039"/>
    <n v="586.1"/>
    <n v="591.04319999999996"/>
    <n v="550.90980000000002"/>
    <x v="0"/>
  </r>
  <r>
    <x v="1040"/>
    <n v="591.15"/>
    <n v="591.34360000000004"/>
    <n v="551.29150000000004"/>
    <x v="0"/>
  </r>
  <r>
    <x v="1041"/>
    <n v="594.69000000000005"/>
    <n v="591.64580000000001"/>
    <n v="551.70640000000003"/>
    <x v="0"/>
  </r>
  <r>
    <x v="1042"/>
    <n v="601.29999999999995"/>
    <n v="591.98540000000003"/>
    <n v="552.15639999999996"/>
    <x v="0"/>
  </r>
  <r>
    <x v="1043"/>
    <n v="601.34"/>
    <n v="592.41660000000002"/>
    <n v="552.57920000000001"/>
    <x v="0"/>
  </r>
  <r>
    <x v="1044"/>
    <n v="595.01"/>
    <n v="592.67079999999999"/>
    <n v="552.97439999999995"/>
    <x v="0"/>
  </r>
  <r>
    <x v="1045"/>
    <n v="588.22"/>
    <n v="592.78819999999996"/>
    <n v="553.34079999999994"/>
    <x v="0"/>
  </r>
  <r>
    <x v="1046"/>
    <n v="586.08000000000004"/>
    <n v="592.81799999999998"/>
    <n v="553.72199999999998"/>
    <x v="0"/>
  </r>
  <r>
    <x v="1047"/>
    <n v="584.64"/>
    <n v="592.83820000000003"/>
    <n v="554.08100000000002"/>
    <x v="0"/>
  </r>
  <r>
    <x v="1048"/>
    <n v="591.95000000000005"/>
    <n v="593.01080000000002"/>
    <n v="554.46220000000005"/>
    <x v="0"/>
  </r>
  <r>
    <x v="1049"/>
    <n v="595.36"/>
    <n v="593.35820000000001"/>
    <n v="554.83659999999998"/>
    <x v="0"/>
  </r>
  <r>
    <x v="1050"/>
    <n v="588.63"/>
    <n v="593.54600000000005"/>
    <n v="555.16869999999994"/>
    <x v="0"/>
  </r>
  <r>
    <x v="1051"/>
    <n v="589.49"/>
    <n v="593.755"/>
    <n v="555.51009999999997"/>
    <x v="0"/>
  </r>
  <r>
    <x v="1052"/>
    <n v="580.49"/>
    <n v="593.7482"/>
    <n v="555.81370000000004"/>
    <x v="0"/>
  </r>
  <r>
    <x v="1053"/>
    <n v="581.39"/>
    <n v="593.74059999999997"/>
    <n v="556.12660000000005"/>
    <x v="0"/>
  </r>
  <r>
    <x v="1054"/>
    <n v="582.19000000000005"/>
    <n v="593.78420000000006"/>
    <n v="556.42169999999999"/>
    <x v="0"/>
  </r>
  <r>
    <x v="1055"/>
    <n v="592.78"/>
    <n v="594.26700000000005"/>
    <n v="556.77020000000005"/>
    <x v="0"/>
  </r>
  <r>
    <x v="1056"/>
    <n v="591.64"/>
    <n v="594.67899999999997"/>
    <n v="557.11760000000004"/>
    <x v="0"/>
  </r>
  <r>
    <x v="1057"/>
    <n v="597.58000000000004"/>
    <n v="595.23440000000005"/>
    <n v="557.51139999999998"/>
    <x v="0"/>
  </r>
  <r>
    <x v="1058"/>
    <n v="603.04999999999995"/>
    <n v="595.76139999999998"/>
    <n v="557.92960000000005"/>
    <x v="0"/>
  </r>
  <r>
    <x v="1059"/>
    <n v="606.44000000000005"/>
    <n v="596.06939999999997"/>
    <n v="558.39639999999997"/>
    <x v="0"/>
  </r>
  <r>
    <x v="1060"/>
    <n v="609.75"/>
    <n v="596.35220000000004"/>
    <n v="558.85299999999995"/>
    <x v="0"/>
  </r>
  <r>
    <x v="1061"/>
    <n v="607.97"/>
    <n v="596.54780000000005"/>
    <n v="559.29920000000004"/>
    <x v="0"/>
  </r>
  <r>
    <x v="1062"/>
    <n v="599.37"/>
    <n v="596.55999999999995"/>
    <n v="559.69949999999994"/>
    <x v="0"/>
  </r>
  <r>
    <x v="1063"/>
    <n v="604.52"/>
    <n v="596.7124"/>
    <n v="560.15150000000006"/>
    <x v="0"/>
  </r>
  <r>
    <x v="1064"/>
    <n v="601.80999999999995"/>
    <n v="596.8048"/>
    <n v="560.57060000000001"/>
    <x v="0"/>
  </r>
  <r>
    <x v="1065"/>
    <n v="605.04"/>
    <n v="597.03859999999997"/>
    <n v="561.04150000000004"/>
    <x v="0"/>
  </r>
  <r>
    <x v="1066"/>
    <n v="601.82000000000005"/>
    <n v="597.36"/>
    <n v="561.52840000000003"/>
    <x v="0"/>
  </r>
  <r>
    <x v="1067"/>
    <n v="597.77"/>
    <n v="597.55240000000003"/>
    <n v="561.99959999999999"/>
    <x v="0"/>
  </r>
  <r>
    <x v="1068"/>
    <n v="601.78"/>
    <n v="597.78200000000004"/>
    <n v="562.50570000000005"/>
    <x v="0"/>
  </r>
  <r>
    <x v="1069"/>
    <n v="604.22"/>
    <n v="598.05640000000005"/>
    <n v="563.02919999999995"/>
    <x v="0"/>
  </r>
  <r>
    <x v="1070"/>
    <n v="606.32000000000005"/>
    <n v="598.30939999999998"/>
    <n v="563.58500000000004"/>
    <x v="0"/>
  </r>
  <r>
    <x v="1071"/>
    <n v="600.77"/>
    <n v="598.41459999999995"/>
    <n v="564.09019999999998"/>
    <x v="0"/>
  </r>
  <r>
    <x v="1072"/>
    <n v="604.85"/>
    <n v="598.56100000000004"/>
    <n v="564.58619999999996"/>
    <x v="0"/>
  </r>
  <r>
    <x v="1073"/>
    <n v="605.30999999999995"/>
    <n v="598.65419999999995"/>
    <n v="565.08579999999995"/>
    <x v="0"/>
  </r>
  <r>
    <x v="1074"/>
    <n v="603.36"/>
    <n v="598.74480000000005"/>
    <n v="565.58510000000001"/>
    <x v="0"/>
  </r>
  <r>
    <x v="1075"/>
    <n v="609.73"/>
    <n v="598.88840000000005"/>
    <n v="566.0924"/>
    <x v="0"/>
  </r>
  <r>
    <x v="1076"/>
    <n v="609.70000000000005"/>
    <n v="599.00980000000004"/>
    <n v="566.59059999999999"/>
    <x v="0"/>
  </r>
  <r>
    <x v="1077"/>
    <n v="611.49"/>
    <n v="599.16139999999996"/>
    <n v="567.13819999999998"/>
    <x v="0"/>
  </r>
  <r>
    <x v="1078"/>
    <n v="612.92999999999995"/>
    <n v="599.26679999999999"/>
    <n v="567.7011"/>
    <x v="0"/>
  </r>
  <r>
    <x v="1079"/>
    <n v="610.38"/>
    <n v="599.34119999999996"/>
    <n v="568.2278"/>
    <x v="0"/>
  </r>
  <r>
    <x v="1080"/>
    <n v="599.94000000000005"/>
    <n v="599.18380000000002"/>
    <n v="568.67110000000002"/>
    <x v="0"/>
  </r>
  <r>
    <x v="1081"/>
    <n v="597.21"/>
    <n v="599.03440000000001"/>
    <n v="569.07429999999999"/>
    <x v="0"/>
  </r>
  <r>
    <x v="1082"/>
    <n v="594.24"/>
    <n v="598.86320000000001"/>
    <n v="569.45979999999997"/>
    <x v="0"/>
  </r>
  <r>
    <x v="1083"/>
    <n v="594.54"/>
    <n v="598.60479999999995"/>
    <n v="569.84659999999997"/>
    <x v="0"/>
  </r>
  <r>
    <x v="1084"/>
    <n v="585.04999999999995"/>
    <n v="598.2192"/>
    <n v="570.17100000000005"/>
    <x v="0"/>
  </r>
  <r>
    <x v="1085"/>
    <n v="594.17999999999995"/>
    <n v="598.01859999999999"/>
    <n v="570.5376"/>
    <x v="0"/>
  </r>
  <r>
    <x v="1086"/>
    <n v="583.77"/>
    <n v="597.55820000000006"/>
    <n v="570.85199999999998"/>
    <x v="0"/>
  </r>
  <r>
    <x v="1087"/>
    <n v="576.86"/>
    <n v="597.00959999999998"/>
    <n v="571.11980000000005"/>
    <x v="0"/>
  </r>
  <r>
    <x v="1088"/>
    <n v="583.05999999999995"/>
    <n v="596.9452"/>
    <n v="571.38620000000003"/>
    <x v="0"/>
  </r>
  <r>
    <x v="1089"/>
    <n v="572.71"/>
    <n v="596.67740000000003"/>
    <n v="571.60619999999994"/>
    <x v="0"/>
  </r>
  <r>
    <x v="1090"/>
    <n v="575.91999999999996"/>
    <n v="596.37279999999998"/>
    <n v="571.83860000000004"/>
    <x v="0"/>
  </r>
  <r>
    <x v="1091"/>
    <n v="560.58000000000004"/>
    <n v="595.69060000000002"/>
    <n v="571.99120000000005"/>
    <x v="0"/>
  </r>
  <r>
    <x v="1092"/>
    <n v="555.91999999999996"/>
    <n v="594.78300000000002"/>
    <n v="572.11400000000003"/>
    <x v="0"/>
  </r>
  <r>
    <x v="1093"/>
    <n v="558.87"/>
    <n v="593.93359999999996"/>
    <n v="572.25919999999996"/>
    <x v="0"/>
  </r>
  <r>
    <x v="1094"/>
    <n v="551.41999999999996"/>
    <n v="593.06179999999995"/>
    <n v="572.38649999999996"/>
    <x v="0"/>
  </r>
  <r>
    <x v="1095"/>
    <n v="562.80999999999995"/>
    <n v="592.55359999999996"/>
    <n v="572.55340000000001"/>
    <x v="0"/>
  </r>
  <r>
    <x v="1096"/>
    <n v="567.15"/>
    <n v="592.17499999999995"/>
    <n v="572.74"/>
    <x v="0"/>
  </r>
  <r>
    <x v="1097"/>
    <n v="561.02"/>
    <n v="591.70259999999996"/>
    <n v="572.91459999999995"/>
    <x v="0"/>
  </r>
  <r>
    <x v="1098"/>
    <n v="567.13"/>
    <n v="591.20619999999997"/>
    <n v="573.13720000000001"/>
    <x v="0"/>
  </r>
  <r>
    <x v="1099"/>
    <n v="565.49"/>
    <n v="590.60879999999997"/>
    <n v="573.32780000000002"/>
    <x v="0"/>
  </r>
  <r>
    <x v="1100"/>
    <n v="563.98"/>
    <n v="590.11580000000004"/>
    <n v="573.50879999999995"/>
    <x v="0"/>
  </r>
  <r>
    <x v="1101"/>
    <n v="574.08000000000004"/>
    <n v="589.80759999999998"/>
    <n v="573.73720000000003"/>
    <x v="0"/>
  </r>
  <r>
    <x v="1102"/>
    <n v="575.46"/>
    <n v="589.70699999999999"/>
    <n v="573.94119999999998"/>
    <x v="0"/>
  </r>
  <r>
    <x v="1103"/>
    <n v="568.59"/>
    <n v="589.45100000000002"/>
    <n v="574.11080000000004"/>
    <x v="0"/>
  </r>
  <r>
    <x v="1104"/>
    <n v="567.08000000000004"/>
    <n v="589.14880000000005"/>
    <n v="574.27620000000002"/>
    <x v="0"/>
  </r>
  <r>
    <x v="1105"/>
    <n v="555.66"/>
    <n v="588.40639999999996"/>
    <n v="574.37620000000004"/>
    <x v="0"/>
  </r>
  <r>
    <x v="1106"/>
    <n v="559.39"/>
    <n v="587.76139999999998"/>
    <n v="574.48839999999996"/>
    <x v="0"/>
  </r>
  <r>
    <x v="1107"/>
    <n v="560.97"/>
    <n v="587.02919999999995"/>
    <n v="574.58640000000003"/>
    <x v="0"/>
  </r>
  <r>
    <x v="1108"/>
    <n v="564.52"/>
    <n v="586.2586"/>
    <n v="574.69680000000005"/>
    <x v="0"/>
  </r>
  <r>
    <x v="1109"/>
    <n v="536.70000000000005"/>
    <n v="584.86379999999997"/>
    <n v="574.66639999999995"/>
    <x v="0"/>
  </r>
  <r>
    <x v="1110"/>
    <n v="505.28"/>
    <n v="582.77440000000001"/>
    <n v="574.45719999999994"/>
    <x v="0"/>
  </r>
  <r>
    <x v="1111"/>
    <n v="504.38"/>
    <n v="580.70259999999996"/>
    <n v="574.23670000000004"/>
    <x v="0"/>
  </r>
  <r>
    <x v="1112"/>
    <n v="496.48"/>
    <n v="578.64480000000003"/>
    <n v="573.98410000000001"/>
    <x v="0"/>
  </r>
  <r>
    <x v="1113"/>
    <n v="548.62"/>
    <n v="577.52679999999998"/>
    <n v="574.00459999999998"/>
    <x v="0"/>
  </r>
  <r>
    <x v="1114"/>
    <n v="524.58000000000004"/>
    <n v="575.98220000000003"/>
    <n v="573.91380000000004"/>
    <x v="0"/>
  </r>
  <r>
    <x v="1115"/>
    <n v="533.94000000000005"/>
    <n v="574.56020000000001"/>
    <n v="573.85940000000005"/>
    <x v="0"/>
  </r>
  <r>
    <x v="1116"/>
    <n v="539.12"/>
    <n v="573.30619999999999"/>
    <n v="573.82740000000001"/>
    <x v="0"/>
  </r>
  <r>
    <x v="1117"/>
    <n v="537.61"/>
    <n v="572.10299999999995"/>
    <n v="573.78359999999998"/>
    <x v="0"/>
  </r>
  <r>
    <x v="1118"/>
    <n v="525.66"/>
    <n v="570.5806"/>
    <n v="573.69079999999997"/>
    <x v="0"/>
  </r>
  <r>
    <x v="1119"/>
    <n v="526.41"/>
    <n v="569.02440000000001"/>
    <n v="573.59619999999995"/>
    <x v="0"/>
  </r>
  <r>
    <x v="1120"/>
    <n v="513.88"/>
    <n v="567.17560000000003"/>
    <n v="573.42060000000004"/>
    <x v="0"/>
  </r>
  <r>
    <x v="1121"/>
    <n v="527.25"/>
    <n v="565.70519999999999"/>
    <n v="573.29949999999997"/>
    <x v="0"/>
  </r>
  <r>
    <x v="1122"/>
    <n v="535.41999999999996"/>
    <n v="564.31659999999999"/>
    <n v="573.20339999999999"/>
    <x v="0"/>
  </r>
  <r>
    <x v="1123"/>
    <n v="546.69000000000005"/>
    <n v="563.14419999999996"/>
    <n v="573.16039999999998"/>
    <x v="0"/>
  </r>
  <r>
    <x v="1124"/>
    <n v="550.64"/>
    <n v="562.08979999999997"/>
    <n v="573.13459999999998"/>
    <x v="0"/>
  </r>
  <r>
    <x v="1125"/>
    <n v="550.85"/>
    <n v="560.91219999999998"/>
    <n v="573.08219999999994"/>
    <x v="0"/>
  </r>
  <r>
    <x v="1126"/>
    <n v="554.32000000000005"/>
    <n v="559.80460000000005"/>
    <n v="573.07140000000004"/>
    <x v="0"/>
  </r>
  <r>
    <x v="1127"/>
    <n v="554.54"/>
    <n v="558.66560000000004"/>
    <n v="573.04420000000005"/>
    <x v="0"/>
  </r>
  <r>
    <x v="1128"/>
    <n v="558.47"/>
    <n v="557.57640000000004"/>
    <n v="573.02880000000005"/>
    <x v="0"/>
  </r>
  <r>
    <x v="1129"/>
    <n v="566.76"/>
    <n v="556.70399999999995"/>
    <n v="573.03840000000002"/>
    <x v="0"/>
  </r>
  <r>
    <x v="1130"/>
    <n v="563.51"/>
    <n v="555.97540000000004"/>
    <n v="573.07119999999998"/>
    <x v="0"/>
  </r>
  <r>
    <x v="1131"/>
    <n v="558.79999999999995"/>
    <n v="555.20719999999994"/>
    <n v="573.1019"/>
    <x v="0"/>
  </r>
  <r>
    <x v="1132"/>
    <n v="561.15"/>
    <n v="554.54539999999997"/>
    <n v="573.16269999999997"/>
    <x v="0"/>
  </r>
  <r>
    <x v="1133"/>
    <n v="565.05999999999995"/>
    <n v="553.95579999999995"/>
    <n v="573.21479999999997"/>
    <x v="0"/>
  </r>
  <r>
    <x v="1134"/>
    <n v="564.34"/>
    <n v="553.54160000000002"/>
    <n v="573.26760000000002"/>
    <x v="0"/>
  </r>
  <r>
    <x v="1135"/>
    <n v="582.99"/>
    <n v="553.31780000000003"/>
    <n v="573.47640000000001"/>
    <x v="0"/>
  </r>
  <r>
    <x v="1136"/>
    <n v="586.84"/>
    <n v="553.37919999999997"/>
    <n v="573.71849999999995"/>
    <x v="0"/>
  </r>
  <r>
    <x v="1137"/>
    <n v="587.59"/>
    <n v="553.59379999999999"/>
    <n v="573.93420000000003"/>
    <x v="0"/>
  </r>
  <r>
    <x v="1138"/>
    <n v="590.46"/>
    <n v="553.74180000000001"/>
    <n v="574.16279999999995"/>
    <x v="0"/>
  </r>
  <r>
    <x v="1139"/>
    <n v="594.20000000000005"/>
    <n v="554.17160000000001"/>
    <n v="574.42380000000003"/>
    <x v="0"/>
  </r>
  <r>
    <x v="1140"/>
    <n v="594.85"/>
    <n v="554.55020000000002"/>
    <n v="574.64400000000001"/>
    <x v="0"/>
  </r>
  <r>
    <x v="1141"/>
    <n v="592.85"/>
    <n v="555.19560000000001"/>
    <n v="574.89319999999998"/>
    <x v="0"/>
  </r>
  <r>
    <x v="1142"/>
    <n v="582.86"/>
    <n v="555.73440000000005"/>
    <n v="575.14300000000003"/>
    <x v="0"/>
  </r>
  <r>
    <x v="1143"/>
    <n v="583.09"/>
    <n v="556.21879999999999"/>
    <n v="575.47149999999999"/>
    <x v="0"/>
  </r>
  <r>
    <x v="1144"/>
    <n v="579.11"/>
    <n v="556.77260000000001"/>
    <n v="575.75630000000001"/>
    <x v="0"/>
  </r>
  <r>
    <x v="1145"/>
    <n v="591.15"/>
    <n v="557.33939999999996"/>
    <n v="576.11879999999996"/>
    <x v="0"/>
  </r>
  <r>
    <x v="1146"/>
    <n v="587.73"/>
    <n v="557.75099999999998"/>
    <n v="576.40419999999995"/>
    <x v="0"/>
  </r>
  <r>
    <x v="1147"/>
    <n v="590.04999999999995"/>
    <n v="558.33159999999998"/>
    <n v="576.68939999999998"/>
    <x v="0"/>
  </r>
  <r>
    <x v="1148"/>
    <n v="589.39"/>
    <n v="558.77679999999998"/>
    <n v="576.97"/>
    <x v="0"/>
  </r>
  <r>
    <x v="1149"/>
    <n v="592.71"/>
    <n v="559.32119999999998"/>
    <n v="577.22339999999997"/>
    <x v="0"/>
  </r>
  <r>
    <x v="1150"/>
    <n v="596.09"/>
    <n v="559.96339999999998"/>
    <n v="577.48509999999999"/>
    <x v="0"/>
  </r>
  <r>
    <x v="1151"/>
    <n v="595.92999999999995"/>
    <n v="560.40039999999999"/>
    <n v="577.69939999999997"/>
    <x v="0"/>
  </r>
  <r>
    <x v="1152"/>
    <n v="593.04999999999995"/>
    <n v="560.75220000000002"/>
    <n v="577.8931"/>
    <x v="0"/>
  </r>
  <r>
    <x v="1153"/>
    <n v="599.14"/>
    <n v="561.36320000000001"/>
    <n v="578.09079999999994"/>
    <x v="0"/>
  </r>
  <r>
    <x v="1154"/>
    <n v="599.67999999999995"/>
    <n v="562.01520000000005"/>
    <n v="578.29560000000004"/>
    <x v="0"/>
  </r>
  <r>
    <x v="1155"/>
    <n v="603.08000000000004"/>
    <n v="562.96360000000004"/>
    <n v="578.50800000000004"/>
    <x v="0"/>
  </r>
  <r>
    <x v="1156"/>
    <n v="601.36"/>
    <n v="563.803"/>
    <n v="578.73360000000002"/>
    <x v="0"/>
  </r>
  <r>
    <x v="1157"/>
    <n v="603.75"/>
    <n v="564.65859999999998"/>
    <n v="578.94179999999994"/>
    <x v="0"/>
  </r>
  <r>
    <x v="1158"/>
    <n v="597"/>
    <n v="565.30820000000006"/>
    <n v="579.12279999999998"/>
    <x v="0"/>
  </r>
  <r>
    <x v="1159"/>
    <n v="602.67999999999995"/>
    <n v="566.62779999999998"/>
    <n v="579.32839999999999"/>
    <x v="0"/>
  </r>
  <r>
    <x v="1160"/>
    <n v="597.53"/>
    <n v="568.47280000000001"/>
    <n v="579.52459999999996"/>
    <x v="0"/>
  </r>
  <r>
    <x v="1161"/>
    <n v="597.44000000000005"/>
    <n v="570.33399999999995"/>
    <n v="579.72"/>
    <x v="0"/>
  </r>
  <r>
    <x v="1162"/>
    <n v="594.28"/>
    <n v="572.29"/>
    <n v="579.87300000000005"/>
    <x v="0"/>
  </r>
  <r>
    <x v="1163"/>
    <n v="600.15"/>
    <n v="573.32060000000001"/>
    <n v="580.11339999999996"/>
    <x v="0"/>
  </r>
  <r>
    <x v="1164"/>
    <n v="606.78"/>
    <n v="574.96460000000002"/>
    <n v="580.39250000000004"/>
    <x v="0"/>
  </r>
  <r>
    <x v="1165"/>
    <n v="607.12"/>
    <n v="576.42819999999995"/>
    <n v="580.67999999999995"/>
    <x v="0"/>
  </r>
  <r>
    <x v="1166"/>
    <n v="611.87"/>
    <n v="577.88319999999999"/>
    <n v="581.0376"/>
    <x v="0"/>
  </r>
  <r>
    <x v="1167"/>
    <n v="614.91"/>
    <n v="579.42920000000004"/>
    <n v="581.38009999999997"/>
    <x v="0"/>
  </r>
  <r>
    <x v="1168"/>
    <n v="617.85"/>
    <n v="581.27300000000002"/>
    <n v="581.72540000000004"/>
    <x v="0"/>
  </r>
  <r>
    <x v="1169"/>
    <n v="617.65"/>
    <n v="583.09780000000001"/>
    <n v="582.04160000000002"/>
    <x v="1"/>
  </r>
  <r>
    <x v="1170"/>
    <n v="620.45000000000005"/>
    <n v="585.22919999999999"/>
    <n v="582.34839999999997"/>
    <x v="0"/>
  </r>
  <r>
    <x v="1171"/>
    <n v="625.34"/>
    <n v="587.19100000000003"/>
    <n v="582.66499999999996"/>
    <x v="0"/>
  </r>
  <r>
    <x v="1172"/>
    <n v="620.67999999999995"/>
    <n v="588.89620000000002"/>
    <n v="582.95420000000001"/>
    <x v="0"/>
  </r>
  <r>
    <x v="1173"/>
    <n v="620.34"/>
    <n v="590.36919999999998"/>
    <n v="583.24059999999997"/>
    <x v="0"/>
  </r>
  <r>
    <x v="1174"/>
    <n v="624.05999999999995"/>
    <n v="591.83759999999995"/>
    <n v="583.55380000000002"/>
    <x v="0"/>
  </r>
  <r>
    <x v="1175"/>
    <n v="625.82000000000005"/>
    <n v="593.33699999999999"/>
    <n v="583.82799999999997"/>
    <x v="0"/>
  </r>
  <r>
    <x v="1176"/>
    <n v="623.62"/>
    <n v="594.72299999999996"/>
    <n v="584.10490000000004"/>
    <x v="0"/>
  </r>
  <r>
    <x v="1177"/>
    <n v="624.80999999999995"/>
    <n v="596.12840000000006"/>
    <n v="584.38059999999996"/>
    <x v="0"/>
  </r>
  <r>
    <x v="1178"/>
    <n v="622.14"/>
    <n v="597.40179999999998"/>
    <n v="584.63480000000004"/>
    <x v="0"/>
  </r>
  <r>
    <x v="1179"/>
    <n v="624.22"/>
    <n v="598.55100000000004"/>
    <n v="584.90570000000002"/>
    <x v="0"/>
  </r>
  <r>
    <x v="1180"/>
    <n v="628.04"/>
    <n v="599.84159999999997"/>
    <n v="585.18439999999998"/>
    <x v="0"/>
  </r>
  <r>
    <x v="1181"/>
    <n v="627.58000000000004"/>
    <n v="601.21720000000005"/>
    <n v="585.46500000000003"/>
    <x v="0"/>
  </r>
  <r>
    <x v="1182"/>
    <n v="628.77"/>
    <n v="602.56960000000004"/>
    <n v="585.74"/>
    <x v="0"/>
  </r>
  <r>
    <x v="1183"/>
    <n v="628.86"/>
    <n v="603.84559999999999"/>
    <n v="586.0412"/>
    <x v="0"/>
  </r>
  <r>
    <x v="1184"/>
    <n v="634.21"/>
    <n v="605.24300000000005"/>
    <n v="586.36800000000005"/>
    <x v="0"/>
  </r>
  <r>
    <x v="1185"/>
    <n v="634.41999999999996"/>
    <n v="606.27160000000003"/>
    <n v="586.70100000000002"/>
    <x v="0"/>
  </r>
  <r>
    <x v="1186"/>
    <n v="637.1"/>
    <n v="607.27679999999998"/>
    <n v="587.02160000000003"/>
    <x v="0"/>
  </r>
  <r>
    <x v="1187"/>
    <n v="636.94000000000005"/>
    <n v="608.26379999999995"/>
    <n v="587.36720000000003"/>
    <x v="0"/>
  </r>
  <r>
    <x v="1188"/>
    <n v="635.26"/>
    <n v="609.15980000000002"/>
    <n v="587.67769999999996"/>
    <x v="0"/>
  </r>
  <r>
    <x v="1189"/>
    <n v="634.46"/>
    <n v="609.96500000000003"/>
    <n v="587.96429999999998"/>
    <x v="0"/>
  </r>
  <r>
    <x v="1190"/>
    <n v="632.08000000000004"/>
    <n v="610.70960000000002"/>
    <n v="588.24400000000003"/>
    <x v="0"/>
  </r>
  <r>
    <x v="1191"/>
    <n v="621.72"/>
    <n v="611.28700000000003"/>
    <n v="588.45479999999998"/>
    <x v="0"/>
  </r>
  <r>
    <x v="1192"/>
    <n v="631.16999999999996"/>
    <n v="612.25319999999999"/>
    <n v="588.68899999999996"/>
    <x v="0"/>
  </r>
  <r>
    <x v="1193"/>
    <n v="627.97"/>
    <n v="613.1508"/>
    <n v="588.92999999999995"/>
    <x v="0"/>
  </r>
  <r>
    <x v="1194"/>
    <n v="632.78"/>
    <n v="614.2242"/>
    <n v="589.18240000000003"/>
    <x v="0"/>
  </r>
  <r>
    <x v="1195"/>
    <n v="632.25"/>
    <n v="615.0462"/>
    <n v="589.43179999999995"/>
    <x v="0"/>
  </r>
  <r>
    <x v="1196"/>
    <n v="637.17999999999995"/>
    <n v="616.03520000000003"/>
    <n v="589.69479999999999"/>
    <x v="0"/>
  </r>
  <r>
    <x v="1197"/>
    <n v="635.91999999999996"/>
    <n v="616.95259999999996"/>
    <n v="589.95619999999997"/>
    <x v="0"/>
  </r>
  <r>
    <x v="1198"/>
    <n v="642.69000000000005"/>
    <n v="618.01859999999999"/>
    <n v="590.25310000000002"/>
    <x v="0"/>
  </r>
  <r>
    <x v="1199"/>
    <n v="644.89"/>
    <n v="619.06219999999996"/>
    <n v="590.58759999999995"/>
    <x v="0"/>
  </r>
  <r>
    <x v="1200"/>
    <n v="644.95000000000005"/>
    <n v="620.0394"/>
    <n v="590.9162"/>
    <x v="0"/>
  </r>
  <r>
    <x v="1201"/>
    <n v="643.44000000000005"/>
    <n v="620.9896"/>
    <n v="591.23820000000001"/>
    <x v="0"/>
  </r>
  <r>
    <x v="1202"/>
    <n v="643.29999999999995"/>
    <n v="621.99459999999999"/>
    <n v="591.55050000000006"/>
    <x v="0"/>
  </r>
  <r>
    <x v="1203"/>
    <n v="639.80999999999995"/>
    <n v="622.80799999999999"/>
    <n v="591.84069999999997"/>
    <x v="0"/>
  </r>
  <r>
    <x v="1204"/>
    <n v="638.11"/>
    <n v="623.57659999999998"/>
    <n v="592.13120000000004"/>
    <x v="0"/>
  </r>
  <r>
    <x v="1205"/>
    <n v="635.54999999999995"/>
    <n v="624.226"/>
    <n v="592.46579999999994"/>
    <x v="0"/>
  </r>
  <r>
    <x v="1206"/>
    <n v="645.30999999999995"/>
    <n v="625.10500000000002"/>
    <n v="592.83709999999996"/>
    <x v="0"/>
  </r>
  <r>
    <x v="1207"/>
    <n v="642.47"/>
    <n v="625.87940000000003"/>
    <n v="593.20039999999995"/>
    <x v="0"/>
  </r>
  <r>
    <x v="1208"/>
    <n v="645.16"/>
    <n v="626.84259999999995"/>
    <n v="593.54269999999997"/>
    <x v="0"/>
  </r>
  <r>
    <x v="1209"/>
    <n v="646.63"/>
    <n v="627.72159999999997"/>
    <n v="593.82060000000001"/>
    <x v="0"/>
  </r>
  <r>
    <x v="1210"/>
    <n v="648.91999999999996"/>
    <n v="628.74940000000004"/>
    <n v="594.08720000000005"/>
    <x v="0"/>
  </r>
  <r>
    <x v="1211"/>
    <n v="645.04999999999995"/>
    <n v="629.70159999999998"/>
    <n v="594.32150000000001"/>
    <x v="0"/>
  </r>
  <r>
    <x v="1212"/>
    <n v="640.27"/>
    <n v="630.62139999999999"/>
    <n v="594.529"/>
    <x v="0"/>
  </r>
  <r>
    <x v="1213"/>
    <n v="643.74"/>
    <n v="631.4932"/>
    <n v="594.76319999999998"/>
    <x v="0"/>
  </r>
  <r>
    <x v="1214"/>
    <n v="649.12"/>
    <n v="632.34"/>
    <n v="595.02290000000005"/>
    <x v="0"/>
  </r>
  <r>
    <x v="1215"/>
    <n v="647.24"/>
    <n v="633.14239999999995"/>
    <n v="595.29240000000004"/>
    <x v="0"/>
  </r>
  <r>
    <x v="1216"/>
    <n v="648.83000000000004"/>
    <n v="633.88160000000005"/>
    <n v="595.6078"/>
    <x v="0"/>
  </r>
  <r>
    <x v="1217"/>
    <n v="650.33000000000004"/>
    <n v="634.59"/>
    <n v="595.91859999999997"/>
    <x v="0"/>
  </r>
  <r>
    <x v="1218"/>
    <n v="652.21"/>
    <n v="635.27719999999999"/>
    <n v="596.22820000000002"/>
    <x v="0"/>
  </r>
  <r>
    <x v="1219"/>
    <n v="657.63"/>
    <n v="636.07680000000005"/>
    <n v="596.56380000000001"/>
    <x v="0"/>
  </r>
  <r>
    <x v="1220"/>
    <n v="657.41"/>
    <n v="636.81600000000003"/>
    <n v="596.88260000000002"/>
    <x v="0"/>
  </r>
  <r>
    <x v="1221"/>
    <n v="660.91"/>
    <n v="637.52739999999994"/>
    <n v="597.20960000000002"/>
    <x v="0"/>
  </r>
  <r>
    <x v="1222"/>
    <n v="660"/>
    <n v="638.31380000000001"/>
    <n v="597.52189999999996"/>
    <x v="0"/>
  </r>
  <r>
    <x v="1223"/>
    <n v="659.18"/>
    <n v="639.09059999999999"/>
    <n v="597.81460000000004"/>
    <x v="0"/>
  </r>
  <r>
    <x v="1224"/>
    <n v="662.26"/>
    <n v="639.8546"/>
    <n v="598.13170000000002"/>
    <x v="0"/>
  </r>
  <r>
    <x v="1225"/>
    <n v="663.7"/>
    <n v="640.61220000000003"/>
    <n v="598.43740000000003"/>
    <x v="0"/>
  </r>
  <r>
    <x v="1226"/>
    <n v="666.84"/>
    <n v="641.47659999999996"/>
    <n v="598.75350000000003"/>
    <x v="0"/>
  </r>
  <r>
    <x v="1227"/>
    <n v="663.21"/>
    <n v="642.24459999999999"/>
    <n v="599.04999999999995"/>
    <x v="0"/>
  </r>
  <r>
    <x v="1228"/>
    <n v="661.1"/>
    <n v="643.02380000000005"/>
    <n v="599.31719999999996"/>
    <x v="0"/>
  </r>
  <r>
    <x v="1229"/>
    <n v="658.05"/>
    <n v="643.70039999999995"/>
    <n v="599.57420000000002"/>
    <x v="0"/>
  </r>
  <r>
    <x v="1230"/>
    <n v="661.82"/>
    <n v="644.37599999999998"/>
    <n v="599.8442"/>
    <x v="0"/>
  </r>
  <r>
    <x v="1231"/>
    <n v="663.68"/>
    <n v="645.09799999999996"/>
    <n v="600.13919999999996"/>
    <x v="0"/>
  </r>
  <r>
    <x v="1232"/>
    <n v="666.18"/>
    <n v="645.84619999999995"/>
    <n v="600.45609999999999"/>
    <x v="0"/>
  </r>
  <r>
    <x v="1233"/>
    <n v="668.45"/>
    <n v="646.63800000000003"/>
    <n v="600.76099999999997"/>
    <x v="0"/>
  </r>
  <r>
    <x v="1234"/>
    <n v="669.22"/>
    <n v="647.33820000000003"/>
    <n v="601.08550000000002"/>
    <x v="0"/>
  </r>
  <r>
    <x v="1235"/>
    <n v="669.21"/>
    <n v="648.03399999999999"/>
    <n v="601.41049999999996"/>
    <x v="0"/>
  </r>
  <r>
    <x v="1236"/>
    <n v="671.61"/>
    <n v="648.7242"/>
    <n v="601.7346"/>
    <x v="0"/>
  </r>
  <r>
    <x v="1237"/>
    <n v="669.12"/>
    <n v="649.36779999999999"/>
    <n v="602.05880000000002"/>
    <x v="0"/>
  </r>
  <r>
    <x v="1238"/>
    <n v="673.11"/>
    <n v="650.12480000000005"/>
    <n v="602.49289999999996"/>
    <x v="0"/>
  </r>
  <r>
    <x v="1239"/>
    <n v="671.16"/>
    <n v="650.85879999999997"/>
    <n v="602.91819999999996"/>
    <x v="0"/>
  </r>
  <r>
    <x v="1240"/>
    <n v="653.02"/>
    <n v="651.27760000000001"/>
    <n v="603.22760000000005"/>
    <x v="0"/>
  </r>
  <r>
    <x v="1241"/>
    <n v="663.04"/>
    <n v="652.10400000000004"/>
    <n v="603.5693"/>
    <x v="0"/>
  </r>
  <r>
    <x v="1242"/>
    <n v="662.23"/>
    <n v="652.72519999999997"/>
    <n v="603.87400000000002"/>
    <x v="0"/>
  </r>
  <r>
    <x v="1243"/>
    <n v="665.17"/>
    <n v="653.4692"/>
    <n v="604.19309999999996"/>
    <x v="0"/>
  </r>
  <r>
    <x v="1244"/>
    <n v="660.64"/>
    <n v="654.02639999999997"/>
    <n v="604.52120000000002"/>
    <x v="0"/>
  </r>
  <r>
    <x v="1245"/>
    <n v="664.39"/>
    <n v="654.66920000000005"/>
    <n v="604.90210000000002"/>
    <x v="0"/>
  </r>
  <r>
    <x v="1246"/>
    <n v="671.3"/>
    <n v="655.35159999999996"/>
    <n v="605.32820000000004"/>
    <x v="0"/>
  </r>
  <r>
    <x v="1247"/>
    <n v="671.29"/>
    <n v="656.05899999999997"/>
    <n v="605.76139999999998"/>
    <x v="0"/>
  </r>
  <r>
    <x v="1248"/>
    <n v="667.8"/>
    <n v="656.56119999999999"/>
    <n v="606.14070000000004"/>
    <x v="0"/>
  </r>
  <r>
    <x v="1249"/>
    <n v="671.76"/>
    <n v="657.09860000000003"/>
    <n v="606.52269999999999"/>
    <x v="0"/>
  </r>
  <r>
    <x v="1250"/>
    <n v="677.25"/>
    <n v="657.74459999999999"/>
    <n v="606.96579999999994"/>
    <x v="0"/>
  </r>
  <r>
    <x v="1251"/>
    <n v="685.24"/>
    <n v="658.5806"/>
    <n v="607.44460000000004"/>
    <x v="0"/>
  </r>
  <r>
    <x v="1252"/>
    <n v="687.06"/>
    <n v="659.45579999999995"/>
    <n v="607.97739999999999"/>
    <x v="0"/>
  </r>
  <r>
    <x v="1253"/>
    <n v="687.39"/>
    <n v="660.40740000000005"/>
    <n v="608.50739999999996"/>
    <x v="0"/>
  </r>
  <r>
    <x v="1254"/>
    <n v="679.83"/>
    <n v="661.24180000000001"/>
    <n v="608.99559999999997"/>
    <x v="0"/>
  </r>
  <r>
    <x v="1255"/>
    <n v="682.06"/>
    <n v="662.17200000000003"/>
    <n v="609.4420000000000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B0947-120D-417B-98FC-19453A2C8ADE}" name="PivotTable2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47">
  <location ref="G3:K1260" firstHeaderRow="0" firstDataRow="1" firstDataCol="1"/>
  <pivotFields count="5">
    <pivotField axis="axisRow" numFmtId="14" showAll="0">
      <items count="12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t="default"/>
      </items>
    </pivotField>
    <pivotField dataField="1" showAll="0"/>
    <pivotField dataField="1" showAll="0"/>
    <pivotField dataField="1" showAll="0"/>
    <pivotField dataField="1" numFmtId="1" showAll="0">
      <items count="3">
        <item x="0"/>
        <item x="1"/>
        <item t="default"/>
      </items>
    </pivotField>
  </pivotFields>
  <rowFields count="1">
    <field x="0"/>
  </rowFields>
  <rowItems count="12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P" fld="1" baseField="0" baseItem="0"/>
    <dataField name="50Day-MA" fld="2" baseField="0" baseItem="0"/>
    <dataField name="200Day-MA" fld="3" baseField="0" baseItem="0"/>
    <dataField name="Golden_Cross" fld="4" baseField="0" baseItem="0" numFmtId="1"/>
  </dataFields>
  <chartFormats count="6">
    <chartFormat chart="4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6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6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6" format="10">
      <pivotArea type="data" outline="0" fieldPosition="0">
        <references count="2">
          <reference field="4294967294" count="1" selected="0">
            <x v="3"/>
          </reference>
          <reference field="0" count="1" selected="0">
            <x v="566"/>
          </reference>
        </references>
      </pivotArea>
    </chartFormat>
    <chartFormat chart="46" format="11">
      <pivotArea type="data" outline="0" fieldPosition="0">
        <references count="2">
          <reference field="4294967294" count="1" selected="0">
            <x v="3"/>
          </reference>
          <reference field="0" count="1" selected="0">
            <x v="116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48D28A9-253F-47CC-B59E-AEF384B9FAD7}" autoFormatId="16" applyNumberFormats="0" applyBorderFormats="0" applyFontFormats="0" applyPatternFormats="0" applyAlignmentFormats="0" applyWidthHeightFormats="0">
  <queryTableRefresh nextId="8" unboundColumnsRight="1">
    <queryTableFields count="5">
      <queryTableField id="1" name="Date" tableColumnId="1"/>
      <queryTableField id="2" name="Close" tableColumnId="2"/>
      <queryTableField id="3" name="50-Day-MovingAverage" tableColumnId="3"/>
      <queryTableField id="4" name="200-Day-MovingAverage" tableColumnId="4"/>
      <queryTableField id="6" dataBound="0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5B54B5-064F-4DA7-B5B4-642EBDBB136B}" name="SPY_Close_Price" displayName="SPY_Close_Price" ref="A2:B1258" totalsRowShown="0" headerRowDxfId="17" dataDxfId="16" tableBorderDxfId="15">
  <autoFilter ref="A2:B1258" xr:uid="{854E1EC9-1A8B-4B98-A3F1-E9A0037AC1A3}"/>
  <tableColumns count="2">
    <tableColumn id="1" xr3:uid="{D8733522-C6CB-4125-B6BD-EF3E5E302028}" name="Date" dataDxfId="14"/>
    <tableColumn id="2" xr3:uid="{37F09C9B-4106-49E4-81CB-D9AE861E52DA}" name="Close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017ABB-CEF3-4670-AAF5-588D2532A1BD}" name="SPY_Close_Price_PQ" displayName="SPY_Close_Price_PQ" ref="A2:E1258" totalsRowShown="0" headerRowDxfId="12" dataDxfId="11" tableBorderDxfId="10">
  <autoFilter ref="A2:E1258" xr:uid="{854E1EC9-1A8B-4B98-A3F1-E9A0037AC1A3}"/>
  <tableColumns count="5">
    <tableColumn id="1" xr3:uid="{01A69A55-EC15-4C5F-9A0A-436952721CE0}" name="Date" dataDxfId="9"/>
    <tableColumn id="2" xr3:uid="{9B5786DC-5BC4-4EB6-A342-00E66DA6FECD}" name="Close" dataDxfId="8"/>
    <tableColumn id="3" xr3:uid="{81F610D9-7A62-485C-ABFB-9A4E86FA02C4}" name="50-MA" dataDxfId="7">
      <calculatedColumnFormula>AVERAGE(OFFSET(SPY_Close_Price_PQ[[#This Row],[Close]], 0, 0, $C$1*-1))</calculatedColumnFormula>
    </tableColumn>
    <tableColumn id="4" xr3:uid="{94CE638A-B960-4E9E-AFC5-805B17F840BF}" name="200-MA" dataDxfId="6">
      <calculatedColumnFormula>AVERAGE(OFFSET(SPY_Close_Price_PQ[[#This Row],[Close]], 0, 0, $D$1*-1))</calculatedColumnFormula>
    </tableColumn>
    <tableColumn id="5" xr3:uid="{78977168-3FC8-4078-8A6F-5023CF948755}" name="Golden Cross" dataDxfId="5">
      <calculatedColumnFormula>IF(AND(C2&lt;D2,C3&gt;D3),1,0)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9FC28C-5AE6-44AA-B3A1-903EA8339222}" name="Close_Moving_Averages" displayName="Close_Moving_Averages" ref="A1:E1257" tableType="queryTable" totalsRowShown="0">
  <autoFilter ref="A1:E1257" xr:uid="{E89FC28C-5AE6-44AA-B3A1-903EA8339222}"/>
  <tableColumns count="5">
    <tableColumn id="1" xr3:uid="{8885E060-9113-4FFC-B01F-EA8FD984C424}" uniqueName="1" name="Date" queryTableFieldId="1" dataDxfId="4"/>
    <tableColumn id="2" xr3:uid="{4F3D8E31-BF96-405C-BB7C-DE1D780969EB}" uniqueName="2" name="Close" queryTableFieldId="2" dataDxfId="3"/>
    <tableColumn id="3" xr3:uid="{3B42E990-4B93-45B0-A27C-1579653E690D}" uniqueName="3" name="50-Day-MovingAverage" queryTableFieldId="3" dataDxfId="2"/>
    <tableColumn id="4" xr3:uid="{1AD07F6C-FAC3-4A8A-BFC1-D302E4099B9A}" uniqueName="4" name="200-Day-MovingAverage" queryTableFieldId="4" dataDxfId="1"/>
    <tableColumn id="5" xr3:uid="{663BC0F4-0409-462A-BB91-63892139B2AF}" uniqueName="5" name="Golden Cross" queryTableFieldId="6" dataDxfId="0">
      <calculatedColumnFormula>IF(AND(C2&gt;D2, C1&lt;D1), 1, 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55C01E78-9C9B-425D-BA73-7102F231BFDA}" sourceName="Date">
  <pivotTables>
    <pivotTable tabId="11" name="PivotTable2"/>
  </pivotTables>
  <state minimalRefreshVersion="6" lastRefreshVersion="6" pivotCacheId="959674812" filterType="unknown">
    <bounds startDate="2020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1" xr10:uid="{0C3FF14D-99E5-4DAC-A342-D842F2755A13}" cache="NativeTimeline_Date" caption="Select Year" showTimeLevel="0" showHorizontalScrollbar="0" level="0" selectionLevel="0" scrollPosition="2020-01-01T00:00:00" style="TimeSlicerStyleLight4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mavenanalytics.io/data-drills/turning-bullish" TargetMode="External"/><Relationship Id="rId1" Type="http://schemas.openxmlformats.org/officeDocument/2006/relationships/hyperlink" Target="https://www.youtube.com/watch?v=tuF6DqpamIs&amp;list=PLmejDGrsgFyBMJmF2KWR9wGyuPwIK1NW8&amp;index=16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702A8-AA63-4AE9-8FB8-CEF29016C0EE}">
  <sheetPr>
    <pageSetUpPr autoPageBreaks="0"/>
  </sheetPr>
  <dimension ref="A2:B1258"/>
  <sheetViews>
    <sheetView workbookViewId="0">
      <selection activeCell="A7" sqref="A7"/>
    </sheetView>
  </sheetViews>
  <sheetFormatPr defaultRowHeight="21" x14ac:dyDescent="0.4"/>
  <cols>
    <col min="1" max="1" width="9.92578125" bestFit="1" customWidth="1"/>
    <col min="2" max="2" width="8.5703125" bestFit="1" customWidth="1"/>
  </cols>
  <sheetData>
    <row r="2" spans="1:2" x14ac:dyDescent="0.4">
      <c r="A2" s="6" t="s">
        <v>0</v>
      </c>
      <c r="B2" s="6" t="s">
        <v>1</v>
      </c>
    </row>
    <row r="3" spans="1:2" x14ac:dyDescent="0.4">
      <c r="A3" s="4">
        <v>44137</v>
      </c>
      <c r="B3" s="8">
        <v>330.2</v>
      </c>
    </row>
    <row r="4" spans="1:2" x14ac:dyDescent="0.4">
      <c r="A4" s="5">
        <v>44138</v>
      </c>
      <c r="B4" s="9">
        <v>336.03</v>
      </c>
    </row>
    <row r="5" spans="1:2" x14ac:dyDescent="0.4">
      <c r="A5" s="4">
        <v>44139</v>
      </c>
      <c r="B5" s="8">
        <v>343.54</v>
      </c>
    </row>
    <row r="6" spans="1:2" x14ac:dyDescent="0.4">
      <c r="A6" s="5">
        <v>44140</v>
      </c>
      <c r="B6" s="9">
        <v>350.24</v>
      </c>
    </row>
    <row r="7" spans="1:2" x14ac:dyDescent="0.4">
      <c r="A7" s="4">
        <v>44141</v>
      </c>
      <c r="B7" s="8">
        <v>350.16</v>
      </c>
    </row>
    <row r="8" spans="1:2" x14ac:dyDescent="0.4">
      <c r="A8" s="5">
        <v>44144</v>
      </c>
      <c r="B8" s="9">
        <v>354.56</v>
      </c>
    </row>
    <row r="9" spans="1:2" x14ac:dyDescent="0.4">
      <c r="A9" s="4">
        <v>44145</v>
      </c>
      <c r="B9" s="8">
        <v>354.04</v>
      </c>
    </row>
    <row r="10" spans="1:2" x14ac:dyDescent="0.4">
      <c r="A10" s="5">
        <v>44146</v>
      </c>
      <c r="B10" s="9">
        <v>356.67</v>
      </c>
    </row>
    <row r="11" spans="1:2" x14ac:dyDescent="0.4">
      <c r="A11" s="4">
        <v>44147</v>
      </c>
      <c r="B11" s="8">
        <v>353.21</v>
      </c>
    </row>
    <row r="12" spans="1:2" x14ac:dyDescent="0.4">
      <c r="A12" s="5">
        <v>44148</v>
      </c>
      <c r="B12" s="9">
        <v>358.1</v>
      </c>
    </row>
    <row r="13" spans="1:2" x14ac:dyDescent="0.4">
      <c r="A13" s="4">
        <v>44151</v>
      </c>
      <c r="B13" s="8">
        <v>362.57</v>
      </c>
    </row>
    <row r="14" spans="1:2" x14ac:dyDescent="0.4">
      <c r="A14" s="5">
        <v>44152</v>
      </c>
      <c r="B14" s="9">
        <v>360.62</v>
      </c>
    </row>
    <row r="15" spans="1:2" x14ac:dyDescent="0.4">
      <c r="A15" s="4">
        <v>44153</v>
      </c>
      <c r="B15" s="8">
        <v>356.28</v>
      </c>
    </row>
    <row r="16" spans="1:2" x14ac:dyDescent="0.4">
      <c r="A16" s="5">
        <v>44154</v>
      </c>
      <c r="B16" s="9">
        <v>357.78</v>
      </c>
    </row>
    <row r="17" spans="1:2" x14ac:dyDescent="0.4">
      <c r="A17" s="4">
        <v>44155</v>
      </c>
      <c r="B17" s="8">
        <v>355.33</v>
      </c>
    </row>
    <row r="18" spans="1:2" x14ac:dyDescent="0.4">
      <c r="A18" s="5">
        <v>44158</v>
      </c>
      <c r="B18" s="9">
        <v>357.46</v>
      </c>
    </row>
    <row r="19" spans="1:2" x14ac:dyDescent="0.4">
      <c r="A19" s="4">
        <v>44159</v>
      </c>
      <c r="B19" s="8">
        <v>363.22</v>
      </c>
    </row>
    <row r="20" spans="1:2" x14ac:dyDescent="0.4">
      <c r="A20" s="5">
        <v>44160</v>
      </c>
      <c r="B20" s="9">
        <v>362.66</v>
      </c>
    </row>
    <row r="21" spans="1:2" x14ac:dyDescent="0.4">
      <c r="A21" s="4">
        <v>44162</v>
      </c>
      <c r="B21" s="8">
        <v>363.67</v>
      </c>
    </row>
    <row r="22" spans="1:2" x14ac:dyDescent="0.4">
      <c r="A22" s="5">
        <v>44165</v>
      </c>
      <c r="B22" s="9">
        <v>362.06</v>
      </c>
    </row>
    <row r="23" spans="1:2" x14ac:dyDescent="0.4">
      <c r="A23" s="4">
        <v>44166</v>
      </c>
      <c r="B23" s="8">
        <v>366.02</v>
      </c>
    </row>
    <row r="24" spans="1:2" x14ac:dyDescent="0.4">
      <c r="A24" s="5">
        <v>44167</v>
      </c>
      <c r="B24" s="9">
        <v>366.79</v>
      </c>
    </row>
    <row r="25" spans="1:2" x14ac:dyDescent="0.4">
      <c r="A25" s="4">
        <v>44168</v>
      </c>
      <c r="B25" s="8">
        <v>366.69</v>
      </c>
    </row>
    <row r="26" spans="1:2" x14ac:dyDescent="0.4">
      <c r="A26" s="5">
        <v>44169</v>
      </c>
      <c r="B26" s="9">
        <v>369.85</v>
      </c>
    </row>
    <row r="27" spans="1:2" x14ac:dyDescent="0.4">
      <c r="A27" s="4">
        <v>44172</v>
      </c>
      <c r="B27" s="8">
        <v>369.09</v>
      </c>
    </row>
    <row r="28" spans="1:2" x14ac:dyDescent="0.4">
      <c r="A28" s="5">
        <v>44173</v>
      </c>
      <c r="B28" s="9">
        <v>370.17</v>
      </c>
    </row>
    <row r="29" spans="1:2" x14ac:dyDescent="0.4">
      <c r="A29" s="4">
        <v>44174</v>
      </c>
      <c r="B29" s="8">
        <v>366.85</v>
      </c>
    </row>
    <row r="30" spans="1:2" x14ac:dyDescent="0.4">
      <c r="A30" s="5">
        <v>44175</v>
      </c>
      <c r="B30" s="9">
        <v>366.73</v>
      </c>
    </row>
    <row r="31" spans="1:2" x14ac:dyDescent="0.4">
      <c r="A31" s="4">
        <v>44176</v>
      </c>
      <c r="B31" s="8">
        <v>366.3</v>
      </c>
    </row>
    <row r="32" spans="1:2" x14ac:dyDescent="0.4">
      <c r="A32" s="5">
        <v>44179</v>
      </c>
      <c r="B32" s="9">
        <v>364.66</v>
      </c>
    </row>
    <row r="33" spans="1:2" x14ac:dyDescent="0.4">
      <c r="A33" s="4">
        <v>44180</v>
      </c>
      <c r="B33" s="8">
        <v>369.59</v>
      </c>
    </row>
    <row r="34" spans="1:2" x14ac:dyDescent="0.4">
      <c r="A34" s="5">
        <v>44181</v>
      </c>
      <c r="B34" s="9">
        <v>370.17</v>
      </c>
    </row>
    <row r="35" spans="1:2" x14ac:dyDescent="0.4">
      <c r="A35" s="4">
        <v>44182</v>
      </c>
      <c r="B35" s="8">
        <v>372.24</v>
      </c>
    </row>
    <row r="36" spans="1:2" x14ac:dyDescent="0.4">
      <c r="A36" s="5">
        <v>44183</v>
      </c>
      <c r="B36" s="9">
        <v>369.18</v>
      </c>
    </row>
    <row r="37" spans="1:2" x14ac:dyDescent="0.4">
      <c r="A37" s="4">
        <v>44186</v>
      </c>
      <c r="B37" s="8">
        <v>367.86</v>
      </c>
    </row>
    <row r="38" spans="1:2" x14ac:dyDescent="0.4">
      <c r="A38" s="5">
        <v>44187</v>
      </c>
      <c r="B38" s="9">
        <v>367.24</v>
      </c>
    </row>
    <row r="39" spans="1:2" x14ac:dyDescent="0.4">
      <c r="A39" s="4">
        <v>44188</v>
      </c>
      <c r="B39" s="8">
        <v>367.57</v>
      </c>
    </row>
    <row r="40" spans="1:2" x14ac:dyDescent="0.4">
      <c r="A40" s="5">
        <v>44189</v>
      </c>
      <c r="B40" s="9">
        <v>369</v>
      </c>
    </row>
    <row r="41" spans="1:2" x14ac:dyDescent="0.4">
      <c r="A41" s="4">
        <v>44193</v>
      </c>
      <c r="B41" s="8">
        <v>372.17</v>
      </c>
    </row>
    <row r="42" spans="1:2" x14ac:dyDescent="0.4">
      <c r="A42" s="5">
        <v>44194</v>
      </c>
      <c r="B42" s="9">
        <v>371.46</v>
      </c>
    </row>
    <row r="43" spans="1:2" x14ac:dyDescent="0.4">
      <c r="A43" s="4">
        <v>44195</v>
      </c>
      <c r="B43" s="8">
        <v>371.99</v>
      </c>
    </row>
    <row r="44" spans="1:2" x14ac:dyDescent="0.4">
      <c r="A44" s="5">
        <v>44196</v>
      </c>
      <c r="B44" s="9">
        <v>373.88</v>
      </c>
    </row>
    <row r="45" spans="1:2" x14ac:dyDescent="0.4">
      <c r="A45" s="4">
        <v>44200</v>
      </c>
      <c r="B45" s="8">
        <v>368.79</v>
      </c>
    </row>
    <row r="46" spans="1:2" x14ac:dyDescent="0.4">
      <c r="A46" s="5">
        <v>44201</v>
      </c>
      <c r="B46" s="9">
        <v>371.33</v>
      </c>
    </row>
    <row r="47" spans="1:2" x14ac:dyDescent="0.4">
      <c r="A47" s="4">
        <v>44202</v>
      </c>
      <c r="B47" s="8">
        <v>373.55</v>
      </c>
    </row>
    <row r="48" spans="1:2" x14ac:dyDescent="0.4">
      <c r="A48" s="5">
        <v>44203</v>
      </c>
      <c r="B48" s="9">
        <v>379.1</v>
      </c>
    </row>
    <row r="49" spans="1:2" x14ac:dyDescent="0.4">
      <c r="A49" s="4">
        <v>44204</v>
      </c>
      <c r="B49" s="8">
        <v>381.26</v>
      </c>
    </row>
    <row r="50" spans="1:2" x14ac:dyDescent="0.4">
      <c r="A50" s="5">
        <v>44207</v>
      </c>
      <c r="B50" s="9">
        <v>378.69</v>
      </c>
    </row>
    <row r="51" spans="1:2" x14ac:dyDescent="0.4">
      <c r="A51" s="4">
        <v>44208</v>
      </c>
      <c r="B51" s="8">
        <v>378.77</v>
      </c>
    </row>
    <row r="52" spans="1:2" x14ac:dyDescent="0.4">
      <c r="A52" s="5">
        <v>44209</v>
      </c>
      <c r="B52" s="9">
        <v>379.79</v>
      </c>
    </row>
    <row r="53" spans="1:2" x14ac:dyDescent="0.4">
      <c r="A53" s="4">
        <v>44210</v>
      </c>
      <c r="B53" s="8">
        <v>378.46</v>
      </c>
    </row>
    <row r="54" spans="1:2" x14ac:dyDescent="0.4">
      <c r="A54" s="5">
        <v>44211</v>
      </c>
      <c r="B54" s="9">
        <v>375.7</v>
      </c>
    </row>
    <row r="55" spans="1:2" x14ac:dyDescent="0.4">
      <c r="A55" s="4">
        <v>44215</v>
      </c>
      <c r="B55" s="8">
        <v>378.65</v>
      </c>
    </row>
    <row r="56" spans="1:2" x14ac:dyDescent="0.4">
      <c r="A56" s="5">
        <v>44216</v>
      </c>
      <c r="B56" s="9">
        <v>383.89</v>
      </c>
    </row>
    <row r="57" spans="1:2" x14ac:dyDescent="0.4">
      <c r="A57" s="4">
        <v>44217</v>
      </c>
      <c r="B57" s="8">
        <v>384.24</v>
      </c>
    </row>
    <row r="58" spans="1:2" x14ac:dyDescent="0.4">
      <c r="A58" s="5">
        <v>44218</v>
      </c>
      <c r="B58" s="9">
        <v>382.88</v>
      </c>
    </row>
    <row r="59" spans="1:2" x14ac:dyDescent="0.4">
      <c r="A59" s="4">
        <v>44221</v>
      </c>
      <c r="B59" s="8">
        <v>384.39</v>
      </c>
    </row>
    <row r="60" spans="1:2" x14ac:dyDescent="0.4">
      <c r="A60" s="5">
        <v>44222</v>
      </c>
      <c r="B60" s="9">
        <v>383.79</v>
      </c>
    </row>
    <row r="61" spans="1:2" x14ac:dyDescent="0.4">
      <c r="A61" s="4">
        <v>44223</v>
      </c>
      <c r="B61" s="8">
        <v>374.41</v>
      </c>
    </row>
    <row r="62" spans="1:2" x14ac:dyDescent="0.4">
      <c r="A62" s="5">
        <v>44224</v>
      </c>
      <c r="B62" s="9">
        <v>377.63</v>
      </c>
    </row>
    <row r="63" spans="1:2" x14ac:dyDescent="0.4">
      <c r="A63" s="4">
        <v>44225</v>
      </c>
      <c r="B63" s="8">
        <v>370.07</v>
      </c>
    </row>
    <row r="64" spans="1:2" x14ac:dyDescent="0.4">
      <c r="A64" s="5">
        <v>44228</v>
      </c>
      <c r="B64" s="9">
        <v>376.23</v>
      </c>
    </row>
    <row r="65" spans="1:2" x14ac:dyDescent="0.4">
      <c r="A65" s="4">
        <v>44229</v>
      </c>
      <c r="B65" s="8">
        <v>381.55</v>
      </c>
    </row>
    <row r="66" spans="1:2" x14ac:dyDescent="0.4">
      <c r="A66" s="5">
        <v>44230</v>
      </c>
      <c r="B66" s="9">
        <v>381.85</v>
      </c>
    </row>
    <row r="67" spans="1:2" x14ac:dyDescent="0.4">
      <c r="A67" s="4">
        <v>44231</v>
      </c>
      <c r="B67" s="8">
        <v>386.19</v>
      </c>
    </row>
    <row r="68" spans="1:2" x14ac:dyDescent="0.4">
      <c r="A68" s="5">
        <v>44232</v>
      </c>
      <c r="B68" s="9">
        <v>387.71</v>
      </c>
    </row>
    <row r="69" spans="1:2" x14ac:dyDescent="0.4">
      <c r="A69" s="4">
        <v>44235</v>
      </c>
      <c r="B69" s="8">
        <v>390.51</v>
      </c>
    </row>
    <row r="70" spans="1:2" x14ac:dyDescent="0.4">
      <c r="A70" s="5">
        <v>44236</v>
      </c>
      <c r="B70" s="9">
        <v>390.25</v>
      </c>
    </row>
    <row r="71" spans="1:2" x14ac:dyDescent="0.4">
      <c r="A71" s="4">
        <v>44237</v>
      </c>
      <c r="B71" s="8">
        <v>390.08</v>
      </c>
    </row>
    <row r="72" spans="1:2" x14ac:dyDescent="0.4">
      <c r="A72" s="5">
        <v>44238</v>
      </c>
      <c r="B72" s="9">
        <v>390.71</v>
      </c>
    </row>
    <row r="73" spans="1:2" x14ac:dyDescent="0.4">
      <c r="A73" s="4">
        <v>44239</v>
      </c>
      <c r="B73" s="8">
        <v>392.64</v>
      </c>
    </row>
    <row r="74" spans="1:2" x14ac:dyDescent="0.4">
      <c r="A74" s="5">
        <v>44243</v>
      </c>
      <c r="B74" s="9">
        <v>392.3</v>
      </c>
    </row>
    <row r="75" spans="1:2" x14ac:dyDescent="0.4">
      <c r="A75" s="4">
        <v>44244</v>
      </c>
      <c r="B75" s="8">
        <v>392.39</v>
      </c>
    </row>
    <row r="76" spans="1:2" x14ac:dyDescent="0.4">
      <c r="A76" s="5">
        <v>44245</v>
      </c>
      <c r="B76" s="9">
        <v>390.72</v>
      </c>
    </row>
    <row r="77" spans="1:2" x14ac:dyDescent="0.4">
      <c r="A77" s="4">
        <v>44246</v>
      </c>
      <c r="B77" s="8">
        <v>390.03</v>
      </c>
    </row>
    <row r="78" spans="1:2" x14ac:dyDescent="0.4">
      <c r="A78" s="5">
        <v>44249</v>
      </c>
      <c r="B78" s="9">
        <v>387.03</v>
      </c>
    </row>
    <row r="79" spans="1:2" x14ac:dyDescent="0.4">
      <c r="A79" s="4">
        <v>44250</v>
      </c>
      <c r="B79" s="8">
        <v>387.5</v>
      </c>
    </row>
    <row r="80" spans="1:2" x14ac:dyDescent="0.4">
      <c r="A80" s="5">
        <v>44251</v>
      </c>
      <c r="B80" s="9">
        <v>391.77</v>
      </c>
    </row>
    <row r="81" spans="1:2" x14ac:dyDescent="0.4">
      <c r="A81" s="4">
        <v>44252</v>
      </c>
      <c r="B81" s="8">
        <v>382.33</v>
      </c>
    </row>
    <row r="82" spans="1:2" x14ac:dyDescent="0.4">
      <c r="A82" s="5">
        <v>44253</v>
      </c>
      <c r="B82" s="9">
        <v>380.36</v>
      </c>
    </row>
    <row r="83" spans="1:2" x14ac:dyDescent="0.4">
      <c r="A83" s="4">
        <v>44256</v>
      </c>
      <c r="B83" s="8">
        <v>389.58</v>
      </c>
    </row>
    <row r="84" spans="1:2" x14ac:dyDescent="0.4">
      <c r="A84" s="5">
        <v>44257</v>
      </c>
      <c r="B84" s="9">
        <v>386.54</v>
      </c>
    </row>
    <row r="85" spans="1:2" x14ac:dyDescent="0.4">
      <c r="A85" s="4">
        <v>44258</v>
      </c>
      <c r="B85" s="8">
        <v>381.42</v>
      </c>
    </row>
    <row r="86" spans="1:2" x14ac:dyDescent="0.4">
      <c r="A86" s="5">
        <v>44259</v>
      </c>
      <c r="B86" s="9">
        <v>376.7</v>
      </c>
    </row>
    <row r="87" spans="1:2" x14ac:dyDescent="0.4">
      <c r="A87" s="4">
        <v>44260</v>
      </c>
      <c r="B87" s="8">
        <v>383.63</v>
      </c>
    </row>
    <row r="88" spans="1:2" x14ac:dyDescent="0.4">
      <c r="A88" s="5">
        <v>44263</v>
      </c>
      <c r="B88" s="9">
        <v>381.72</v>
      </c>
    </row>
    <row r="89" spans="1:2" x14ac:dyDescent="0.4">
      <c r="A89" s="4">
        <v>44264</v>
      </c>
      <c r="B89" s="8">
        <v>387.17</v>
      </c>
    </row>
    <row r="90" spans="1:2" x14ac:dyDescent="0.4">
      <c r="A90" s="5">
        <v>44265</v>
      </c>
      <c r="B90" s="9">
        <v>389.58</v>
      </c>
    </row>
    <row r="91" spans="1:2" x14ac:dyDescent="0.4">
      <c r="A91" s="4">
        <v>44266</v>
      </c>
      <c r="B91" s="8">
        <v>393.53</v>
      </c>
    </row>
    <row r="92" spans="1:2" x14ac:dyDescent="0.4">
      <c r="A92" s="5">
        <v>44267</v>
      </c>
      <c r="B92" s="9">
        <v>394.06</v>
      </c>
    </row>
    <row r="93" spans="1:2" x14ac:dyDescent="0.4">
      <c r="A93" s="4">
        <v>44270</v>
      </c>
      <c r="B93" s="8">
        <v>396.41</v>
      </c>
    </row>
    <row r="94" spans="1:2" x14ac:dyDescent="0.4">
      <c r="A94" s="5">
        <v>44271</v>
      </c>
      <c r="B94" s="9">
        <v>395.91</v>
      </c>
    </row>
    <row r="95" spans="1:2" x14ac:dyDescent="0.4">
      <c r="A95" s="4">
        <v>44272</v>
      </c>
      <c r="B95" s="8">
        <v>397.26</v>
      </c>
    </row>
    <row r="96" spans="1:2" x14ac:dyDescent="0.4">
      <c r="A96" s="5">
        <v>44273</v>
      </c>
      <c r="B96" s="9">
        <v>391.48</v>
      </c>
    </row>
    <row r="97" spans="1:2" x14ac:dyDescent="0.4">
      <c r="A97" s="4">
        <v>44274</v>
      </c>
      <c r="B97" s="8">
        <v>389.48</v>
      </c>
    </row>
    <row r="98" spans="1:2" x14ac:dyDescent="0.4">
      <c r="A98" s="5">
        <v>44277</v>
      </c>
      <c r="B98" s="9">
        <v>392.59</v>
      </c>
    </row>
    <row r="99" spans="1:2" x14ac:dyDescent="0.4">
      <c r="A99" s="4">
        <v>44278</v>
      </c>
      <c r="B99" s="8">
        <v>389.5</v>
      </c>
    </row>
    <row r="100" spans="1:2" x14ac:dyDescent="0.4">
      <c r="A100" s="5">
        <v>44279</v>
      </c>
      <c r="B100" s="9">
        <v>387.52</v>
      </c>
    </row>
    <row r="101" spans="1:2" x14ac:dyDescent="0.4">
      <c r="A101" s="4">
        <v>44280</v>
      </c>
      <c r="B101" s="8">
        <v>389.7</v>
      </c>
    </row>
    <row r="102" spans="1:2" x14ac:dyDescent="0.4">
      <c r="A102" s="5">
        <v>44281</v>
      </c>
      <c r="B102" s="9">
        <v>395.98</v>
      </c>
    </row>
    <row r="103" spans="1:2" x14ac:dyDescent="0.4">
      <c r="A103" s="4">
        <v>44284</v>
      </c>
      <c r="B103" s="8">
        <v>395.78</v>
      </c>
    </row>
    <row r="104" spans="1:2" x14ac:dyDescent="0.4">
      <c r="A104" s="5">
        <v>44285</v>
      </c>
      <c r="B104" s="9">
        <v>394.73</v>
      </c>
    </row>
    <row r="105" spans="1:2" x14ac:dyDescent="0.4">
      <c r="A105" s="4">
        <v>44286</v>
      </c>
      <c r="B105" s="8">
        <v>396.33</v>
      </c>
    </row>
    <row r="106" spans="1:2" x14ac:dyDescent="0.4">
      <c r="A106" s="5">
        <v>44287</v>
      </c>
      <c r="B106" s="9">
        <v>400.61</v>
      </c>
    </row>
    <row r="107" spans="1:2" x14ac:dyDescent="0.4">
      <c r="A107" s="4">
        <v>44291</v>
      </c>
      <c r="B107" s="8">
        <v>406.36</v>
      </c>
    </row>
    <row r="108" spans="1:2" x14ac:dyDescent="0.4">
      <c r="A108" s="5">
        <v>44292</v>
      </c>
      <c r="B108" s="9">
        <v>406.12</v>
      </c>
    </row>
    <row r="109" spans="1:2" x14ac:dyDescent="0.4">
      <c r="A109" s="4">
        <v>44293</v>
      </c>
      <c r="B109" s="8">
        <v>406.59</v>
      </c>
    </row>
    <row r="110" spans="1:2" x14ac:dyDescent="0.4">
      <c r="A110" s="5">
        <v>44294</v>
      </c>
      <c r="B110" s="9">
        <v>408.52</v>
      </c>
    </row>
    <row r="111" spans="1:2" x14ac:dyDescent="0.4">
      <c r="A111" s="4">
        <v>44295</v>
      </c>
      <c r="B111" s="8">
        <v>411.49</v>
      </c>
    </row>
    <row r="112" spans="1:2" x14ac:dyDescent="0.4">
      <c r="A112" s="5">
        <v>44298</v>
      </c>
      <c r="B112" s="9">
        <v>411.64</v>
      </c>
    </row>
    <row r="113" spans="1:2" x14ac:dyDescent="0.4">
      <c r="A113" s="4">
        <v>44299</v>
      </c>
      <c r="B113" s="8">
        <v>412.86</v>
      </c>
    </row>
    <row r="114" spans="1:2" x14ac:dyDescent="0.4">
      <c r="A114" s="5">
        <v>44300</v>
      </c>
      <c r="B114" s="9">
        <v>411.45</v>
      </c>
    </row>
    <row r="115" spans="1:2" x14ac:dyDescent="0.4">
      <c r="A115" s="4">
        <v>44301</v>
      </c>
      <c r="B115" s="8">
        <v>415.87</v>
      </c>
    </row>
    <row r="116" spans="1:2" x14ac:dyDescent="0.4">
      <c r="A116" s="5">
        <v>44302</v>
      </c>
      <c r="B116" s="9">
        <v>417.26</v>
      </c>
    </row>
    <row r="117" spans="1:2" x14ac:dyDescent="0.4">
      <c r="A117" s="4">
        <v>44305</v>
      </c>
      <c r="B117" s="8">
        <v>415.21</v>
      </c>
    </row>
    <row r="118" spans="1:2" x14ac:dyDescent="0.4">
      <c r="A118" s="5">
        <v>44306</v>
      </c>
      <c r="B118" s="9">
        <v>412.17</v>
      </c>
    </row>
    <row r="119" spans="1:2" x14ac:dyDescent="0.4">
      <c r="A119" s="4">
        <v>44307</v>
      </c>
      <c r="B119" s="8">
        <v>416.07</v>
      </c>
    </row>
    <row r="120" spans="1:2" x14ac:dyDescent="0.4">
      <c r="A120" s="5">
        <v>44308</v>
      </c>
      <c r="B120" s="9">
        <v>412.27</v>
      </c>
    </row>
    <row r="121" spans="1:2" x14ac:dyDescent="0.4">
      <c r="A121" s="4">
        <v>44309</v>
      </c>
      <c r="B121" s="8">
        <v>416.74</v>
      </c>
    </row>
    <row r="122" spans="1:2" x14ac:dyDescent="0.4">
      <c r="A122" s="5">
        <v>44312</v>
      </c>
      <c r="B122" s="9">
        <v>417.61</v>
      </c>
    </row>
    <row r="123" spans="1:2" x14ac:dyDescent="0.4">
      <c r="A123" s="4">
        <v>44313</v>
      </c>
      <c r="B123" s="8">
        <v>417.52</v>
      </c>
    </row>
    <row r="124" spans="1:2" x14ac:dyDescent="0.4">
      <c r="A124" s="5">
        <v>44314</v>
      </c>
      <c r="B124" s="9">
        <v>417.4</v>
      </c>
    </row>
    <row r="125" spans="1:2" x14ac:dyDescent="0.4">
      <c r="A125" s="4">
        <v>44315</v>
      </c>
      <c r="B125" s="8">
        <v>420.06</v>
      </c>
    </row>
    <row r="126" spans="1:2" x14ac:dyDescent="0.4">
      <c r="A126" s="5">
        <v>44316</v>
      </c>
      <c r="B126" s="9">
        <v>417.3</v>
      </c>
    </row>
    <row r="127" spans="1:2" x14ac:dyDescent="0.4">
      <c r="A127" s="4">
        <v>44319</v>
      </c>
      <c r="B127" s="8">
        <v>418.2</v>
      </c>
    </row>
    <row r="128" spans="1:2" x14ac:dyDescent="0.4">
      <c r="A128" s="5">
        <v>44320</v>
      </c>
      <c r="B128" s="9">
        <v>415.62</v>
      </c>
    </row>
    <row r="129" spans="1:2" x14ac:dyDescent="0.4">
      <c r="A129" s="4">
        <v>44321</v>
      </c>
      <c r="B129" s="8">
        <v>415.75</v>
      </c>
    </row>
    <row r="130" spans="1:2" x14ac:dyDescent="0.4">
      <c r="A130" s="5">
        <v>44322</v>
      </c>
      <c r="B130" s="9">
        <v>419.07</v>
      </c>
    </row>
    <row r="131" spans="1:2" x14ac:dyDescent="0.4">
      <c r="A131" s="4">
        <v>44323</v>
      </c>
      <c r="B131" s="8">
        <v>422.12</v>
      </c>
    </row>
    <row r="132" spans="1:2" x14ac:dyDescent="0.4">
      <c r="A132" s="5">
        <v>44326</v>
      </c>
      <c r="B132" s="9">
        <v>417.94</v>
      </c>
    </row>
    <row r="133" spans="1:2" x14ac:dyDescent="0.4">
      <c r="A133" s="4">
        <v>44327</v>
      </c>
      <c r="B133" s="8">
        <v>414.21</v>
      </c>
    </row>
    <row r="134" spans="1:2" x14ac:dyDescent="0.4">
      <c r="A134" s="5">
        <v>44328</v>
      </c>
      <c r="B134" s="9">
        <v>405.41</v>
      </c>
    </row>
    <row r="135" spans="1:2" x14ac:dyDescent="0.4">
      <c r="A135" s="4">
        <v>44329</v>
      </c>
      <c r="B135" s="8">
        <v>410.28</v>
      </c>
    </row>
    <row r="136" spans="1:2" x14ac:dyDescent="0.4">
      <c r="A136" s="5">
        <v>44330</v>
      </c>
      <c r="B136" s="9">
        <v>416.58</v>
      </c>
    </row>
    <row r="137" spans="1:2" x14ac:dyDescent="0.4">
      <c r="A137" s="4">
        <v>44333</v>
      </c>
      <c r="B137" s="8">
        <v>415.52</v>
      </c>
    </row>
    <row r="138" spans="1:2" x14ac:dyDescent="0.4">
      <c r="A138" s="5">
        <v>44334</v>
      </c>
      <c r="B138" s="9">
        <v>411.94</v>
      </c>
    </row>
    <row r="139" spans="1:2" x14ac:dyDescent="0.4">
      <c r="A139" s="4">
        <v>44335</v>
      </c>
      <c r="B139" s="8">
        <v>410.86</v>
      </c>
    </row>
    <row r="140" spans="1:2" x14ac:dyDescent="0.4">
      <c r="A140" s="5">
        <v>44336</v>
      </c>
      <c r="B140" s="9">
        <v>415.28</v>
      </c>
    </row>
    <row r="141" spans="1:2" x14ac:dyDescent="0.4">
      <c r="A141" s="4">
        <v>44337</v>
      </c>
      <c r="B141" s="8">
        <v>414.94</v>
      </c>
    </row>
    <row r="142" spans="1:2" x14ac:dyDescent="0.4">
      <c r="A142" s="5">
        <v>44340</v>
      </c>
      <c r="B142" s="9">
        <v>419.17</v>
      </c>
    </row>
    <row r="143" spans="1:2" x14ac:dyDescent="0.4">
      <c r="A143" s="4">
        <v>44341</v>
      </c>
      <c r="B143" s="8">
        <v>418.24</v>
      </c>
    </row>
    <row r="144" spans="1:2" x14ac:dyDescent="0.4">
      <c r="A144" s="5">
        <v>44342</v>
      </c>
      <c r="B144" s="9">
        <v>419.07</v>
      </c>
    </row>
    <row r="145" spans="1:2" x14ac:dyDescent="0.4">
      <c r="A145" s="4">
        <v>44343</v>
      </c>
      <c r="B145" s="8">
        <v>419.29</v>
      </c>
    </row>
    <row r="146" spans="1:2" x14ac:dyDescent="0.4">
      <c r="A146" s="5">
        <v>44344</v>
      </c>
      <c r="B146" s="9">
        <v>420.04</v>
      </c>
    </row>
    <row r="147" spans="1:2" x14ac:dyDescent="0.4">
      <c r="A147" s="4">
        <v>44348</v>
      </c>
      <c r="B147" s="8">
        <v>419.67</v>
      </c>
    </row>
    <row r="148" spans="1:2" x14ac:dyDescent="0.4">
      <c r="A148" s="5">
        <v>44349</v>
      </c>
      <c r="B148" s="9">
        <v>420.33</v>
      </c>
    </row>
    <row r="149" spans="1:2" x14ac:dyDescent="0.4">
      <c r="A149" s="4">
        <v>44350</v>
      </c>
      <c r="B149" s="8">
        <v>418.77</v>
      </c>
    </row>
    <row r="150" spans="1:2" x14ac:dyDescent="0.4">
      <c r="A150" s="5">
        <v>44351</v>
      </c>
      <c r="B150" s="9">
        <v>422.6</v>
      </c>
    </row>
    <row r="151" spans="1:2" x14ac:dyDescent="0.4">
      <c r="A151" s="4">
        <v>44354</v>
      </c>
      <c r="B151" s="8">
        <v>422.19</v>
      </c>
    </row>
    <row r="152" spans="1:2" x14ac:dyDescent="0.4">
      <c r="A152" s="5">
        <v>44355</v>
      </c>
      <c r="B152" s="9">
        <v>422.28</v>
      </c>
    </row>
    <row r="153" spans="1:2" x14ac:dyDescent="0.4">
      <c r="A153" s="4">
        <v>44356</v>
      </c>
      <c r="B153" s="8">
        <v>421.65</v>
      </c>
    </row>
    <row r="154" spans="1:2" x14ac:dyDescent="0.4">
      <c r="A154" s="5">
        <v>44357</v>
      </c>
      <c r="B154" s="9">
        <v>423.61</v>
      </c>
    </row>
    <row r="155" spans="1:2" x14ac:dyDescent="0.4">
      <c r="A155" s="4">
        <v>44358</v>
      </c>
      <c r="B155" s="8">
        <v>424.31</v>
      </c>
    </row>
    <row r="156" spans="1:2" x14ac:dyDescent="0.4">
      <c r="A156" s="5">
        <v>44361</v>
      </c>
      <c r="B156" s="9">
        <v>425.26</v>
      </c>
    </row>
    <row r="157" spans="1:2" x14ac:dyDescent="0.4">
      <c r="A157" s="4">
        <v>44362</v>
      </c>
      <c r="B157" s="8">
        <v>424.48</v>
      </c>
    </row>
    <row r="158" spans="1:2" x14ac:dyDescent="0.4">
      <c r="A158" s="5">
        <v>44363</v>
      </c>
      <c r="B158" s="9">
        <v>422.11</v>
      </c>
    </row>
    <row r="159" spans="1:2" x14ac:dyDescent="0.4">
      <c r="A159" s="4">
        <v>44364</v>
      </c>
      <c r="B159" s="8">
        <v>421.97</v>
      </c>
    </row>
    <row r="160" spans="1:2" x14ac:dyDescent="0.4">
      <c r="A160" s="5">
        <v>44365</v>
      </c>
      <c r="B160" s="9">
        <v>414.92</v>
      </c>
    </row>
    <row r="161" spans="1:2" x14ac:dyDescent="0.4">
      <c r="A161" s="4">
        <v>44368</v>
      </c>
      <c r="B161" s="8">
        <v>420.86</v>
      </c>
    </row>
    <row r="162" spans="1:2" x14ac:dyDescent="0.4">
      <c r="A162" s="5">
        <v>44369</v>
      </c>
      <c r="B162" s="9">
        <v>423.11</v>
      </c>
    </row>
    <row r="163" spans="1:2" x14ac:dyDescent="0.4">
      <c r="A163" s="4">
        <v>44370</v>
      </c>
      <c r="B163" s="8">
        <v>422.6</v>
      </c>
    </row>
    <row r="164" spans="1:2" x14ac:dyDescent="0.4">
      <c r="A164" s="5">
        <v>44371</v>
      </c>
      <c r="B164" s="9">
        <v>425.1</v>
      </c>
    </row>
    <row r="165" spans="1:2" x14ac:dyDescent="0.4">
      <c r="A165" s="4">
        <v>44372</v>
      </c>
      <c r="B165" s="8">
        <v>426.61</v>
      </c>
    </row>
    <row r="166" spans="1:2" x14ac:dyDescent="0.4">
      <c r="A166" s="5">
        <v>44375</v>
      </c>
      <c r="B166" s="9">
        <v>427.47</v>
      </c>
    </row>
    <row r="167" spans="1:2" x14ac:dyDescent="0.4">
      <c r="A167" s="4">
        <v>44376</v>
      </c>
      <c r="B167" s="8">
        <v>427.7</v>
      </c>
    </row>
    <row r="168" spans="1:2" x14ac:dyDescent="0.4">
      <c r="A168" s="5">
        <v>44377</v>
      </c>
      <c r="B168" s="9">
        <v>428.06</v>
      </c>
    </row>
    <row r="169" spans="1:2" x14ac:dyDescent="0.4">
      <c r="A169" s="4">
        <v>44378</v>
      </c>
      <c r="B169" s="8">
        <v>430.43</v>
      </c>
    </row>
    <row r="170" spans="1:2" x14ac:dyDescent="0.4">
      <c r="A170" s="5">
        <v>44379</v>
      </c>
      <c r="B170" s="9">
        <v>433.72</v>
      </c>
    </row>
    <row r="171" spans="1:2" x14ac:dyDescent="0.4">
      <c r="A171" s="4">
        <v>44383</v>
      </c>
      <c r="B171" s="8">
        <v>432.93</v>
      </c>
    </row>
    <row r="172" spans="1:2" x14ac:dyDescent="0.4">
      <c r="A172" s="5">
        <v>44384</v>
      </c>
      <c r="B172" s="9">
        <v>434.46</v>
      </c>
    </row>
    <row r="173" spans="1:2" x14ac:dyDescent="0.4">
      <c r="A173" s="4">
        <v>44385</v>
      </c>
      <c r="B173" s="8">
        <v>430.92</v>
      </c>
    </row>
    <row r="174" spans="1:2" x14ac:dyDescent="0.4">
      <c r="A174" s="5">
        <v>44386</v>
      </c>
      <c r="B174" s="9">
        <v>435.52</v>
      </c>
    </row>
    <row r="175" spans="1:2" x14ac:dyDescent="0.4">
      <c r="A175" s="4">
        <v>44389</v>
      </c>
      <c r="B175" s="8">
        <v>437.08</v>
      </c>
    </row>
    <row r="176" spans="1:2" x14ac:dyDescent="0.4">
      <c r="A176" s="5">
        <v>44390</v>
      </c>
      <c r="B176" s="9">
        <v>435.59</v>
      </c>
    </row>
    <row r="177" spans="1:2" x14ac:dyDescent="0.4">
      <c r="A177" s="4">
        <v>44391</v>
      </c>
      <c r="B177" s="8">
        <v>436.24</v>
      </c>
    </row>
    <row r="178" spans="1:2" x14ac:dyDescent="0.4">
      <c r="A178" s="5">
        <v>44392</v>
      </c>
      <c r="B178" s="9">
        <v>434.75</v>
      </c>
    </row>
    <row r="179" spans="1:2" x14ac:dyDescent="0.4">
      <c r="A179" s="4">
        <v>44393</v>
      </c>
      <c r="B179" s="8">
        <v>431.34</v>
      </c>
    </row>
    <row r="180" spans="1:2" x14ac:dyDescent="0.4">
      <c r="A180" s="5">
        <v>44396</v>
      </c>
      <c r="B180" s="9">
        <v>424.97</v>
      </c>
    </row>
    <row r="181" spans="1:2" x14ac:dyDescent="0.4">
      <c r="A181" s="4">
        <v>44397</v>
      </c>
      <c r="B181" s="8">
        <v>431.06</v>
      </c>
    </row>
    <row r="182" spans="1:2" x14ac:dyDescent="0.4">
      <c r="A182" s="5">
        <v>44398</v>
      </c>
      <c r="B182" s="9">
        <v>434.55</v>
      </c>
    </row>
    <row r="183" spans="1:2" x14ac:dyDescent="0.4">
      <c r="A183" s="4">
        <v>44399</v>
      </c>
      <c r="B183" s="8">
        <v>435.46</v>
      </c>
    </row>
    <row r="184" spans="1:2" x14ac:dyDescent="0.4">
      <c r="A184" s="5">
        <v>44400</v>
      </c>
      <c r="B184" s="9">
        <v>439.94</v>
      </c>
    </row>
    <row r="185" spans="1:2" x14ac:dyDescent="0.4">
      <c r="A185" s="4">
        <v>44403</v>
      </c>
      <c r="B185" s="8">
        <v>441.02</v>
      </c>
    </row>
    <row r="186" spans="1:2" x14ac:dyDescent="0.4">
      <c r="A186" s="5">
        <v>44404</v>
      </c>
      <c r="B186" s="9">
        <v>439.01</v>
      </c>
    </row>
    <row r="187" spans="1:2" x14ac:dyDescent="0.4">
      <c r="A187" s="4">
        <v>44405</v>
      </c>
      <c r="B187" s="8">
        <v>438.83</v>
      </c>
    </row>
    <row r="188" spans="1:2" x14ac:dyDescent="0.4">
      <c r="A188" s="5">
        <v>44406</v>
      </c>
      <c r="B188" s="9">
        <v>440.65</v>
      </c>
    </row>
    <row r="189" spans="1:2" x14ac:dyDescent="0.4">
      <c r="A189" s="4">
        <v>44407</v>
      </c>
      <c r="B189" s="8">
        <v>438.51</v>
      </c>
    </row>
    <row r="190" spans="1:2" x14ac:dyDescent="0.4">
      <c r="A190" s="5">
        <v>44410</v>
      </c>
      <c r="B190" s="9">
        <v>437.59</v>
      </c>
    </row>
    <row r="191" spans="1:2" x14ac:dyDescent="0.4">
      <c r="A191" s="4">
        <v>44411</v>
      </c>
      <c r="B191" s="8">
        <v>441.15</v>
      </c>
    </row>
    <row r="192" spans="1:2" x14ac:dyDescent="0.4">
      <c r="A192" s="5">
        <v>44412</v>
      </c>
      <c r="B192" s="9">
        <v>438.98</v>
      </c>
    </row>
    <row r="193" spans="1:2" x14ac:dyDescent="0.4">
      <c r="A193" s="4">
        <v>44413</v>
      </c>
      <c r="B193" s="8">
        <v>441.76</v>
      </c>
    </row>
    <row r="194" spans="1:2" x14ac:dyDescent="0.4">
      <c r="A194" s="5">
        <v>44414</v>
      </c>
      <c r="B194" s="9">
        <v>442.49</v>
      </c>
    </row>
    <row r="195" spans="1:2" x14ac:dyDescent="0.4">
      <c r="A195" s="4">
        <v>44417</v>
      </c>
      <c r="B195" s="8">
        <v>442.13</v>
      </c>
    </row>
    <row r="196" spans="1:2" x14ac:dyDescent="0.4">
      <c r="A196" s="5">
        <v>44418</v>
      </c>
      <c r="B196" s="9">
        <v>442.68</v>
      </c>
    </row>
    <row r="197" spans="1:2" x14ac:dyDescent="0.4">
      <c r="A197" s="4">
        <v>44419</v>
      </c>
      <c r="B197" s="8">
        <v>443.78</v>
      </c>
    </row>
    <row r="198" spans="1:2" x14ac:dyDescent="0.4">
      <c r="A198" s="5">
        <v>44420</v>
      </c>
      <c r="B198" s="9">
        <v>445.11</v>
      </c>
    </row>
    <row r="199" spans="1:2" x14ac:dyDescent="0.4">
      <c r="A199" s="4">
        <v>44421</v>
      </c>
      <c r="B199" s="8">
        <v>445.92</v>
      </c>
    </row>
    <row r="200" spans="1:2" x14ac:dyDescent="0.4">
      <c r="A200" s="5">
        <v>44424</v>
      </c>
      <c r="B200" s="9">
        <v>446.97</v>
      </c>
    </row>
    <row r="201" spans="1:2" x14ac:dyDescent="0.4">
      <c r="A201" s="4">
        <v>44425</v>
      </c>
      <c r="B201" s="8">
        <v>444.04</v>
      </c>
    </row>
    <row r="202" spans="1:2" x14ac:dyDescent="0.4">
      <c r="A202" s="5">
        <v>44426</v>
      </c>
      <c r="B202" s="9">
        <v>439.18</v>
      </c>
    </row>
    <row r="203" spans="1:2" x14ac:dyDescent="0.4">
      <c r="A203" s="4">
        <v>44427</v>
      </c>
      <c r="B203" s="8">
        <v>439.86</v>
      </c>
    </row>
    <row r="204" spans="1:2" x14ac:dyDescent="0.4">
      <c r="A204" s="5">
        <v>44428</v>
      </c>
      <c r="B204" s="9">
        <v>443.36</v>
      </c>
    </row>
    <row r="205" spans="1:2" x14ac:dyDescent="0.4">
      <c r="A205" s="4">
        <v>44431</v>
      </c>
      <c r="B205" s="8">
        <v>447.26</v>
      </c>
    </row>
    <row r="206" spans="1:2" x14ac:dyDescent="0.4">
      <c r="A206" s="5">
        <v>44432</v>
      </c>
      <c r="B206" s="9">
        <v>447.97</v>
      </c>
    </row>
    <row r="207" spans="1:2" x14ac:dyDescent="0.4">
      <c r="A207" s="4">
        <v>44433</v>
      </c>
      <c r="B207" s="8">
        <v>448.91</v>
      </c>
    </row>
    <row r="208" spans="1:2" x14ac:dyDescent="0.4">
      <c r="A208" s="5">
        <v>44434</v>
      </c>
      <c r="B208" s="9">
        <v>446.26</v>
      </c>
    </row>
    <row r="209" spans="1:2" x14ac:dyDescent="0.4">
      <c r="A209" s="4">
        <v>44435</v>
      </c>
      <c r="B209" s="8">
        <v>450.25</v>
      </c>
    </row>
    <row r="210" spans="1:2" x14ac:dyDescent="0.4">
      <c r="A210" s="5">
        <v>44438</v>
      </c>
      <c r="B210" s="9">
        <v>452.23</v>
      </c>
    </row>
    <row r="211" spans="1:2" x14ac:dyDescent="0.4">
      <c r="A211" s="4">
        <v>44439</v>
      </c>
      <c r="B211" s="8">
        <v>451.56</v>
      </c>
    </row>
    <row r="212" spans="1:2" x14ac:dyDescent="0.4">
      <c r="A212" s="5">
        <v>44440</v>
      </c>
      <c r="B212" s="9">
        <v>451.8</v>
      </c>
    </row>
    <row r="213" spans="1:2" x14ac:dyDescent="0.4">
      <c r="A213" s="4">
        <v>44441</v>
      </c>
      <c r="B213" s="8">
        <v>453.19</v>
      </c>
    </row>
    <row r="214" spans="1:2" x14ac:dyDescent="0.4">
      <c r="A214" s="5">
        <v>44442</v>
      </c>
      <c r="B214" s="9">
        <v>453.08</v>
      </c>
    </row>
    <row r="215" spans="1:2" x14ac:dyDescent="0.4">
      <c r="A215" s="4">
        <v>44446</v>
      </c>
      <c r="B215" s="8">
        <v>451.46</v>
      </c>
    </row>
    <row r="216" spans="1:2" x14ac:dyDescent="0.4">
      <c r="A216" s="5">
        <v>44447</v>
      </c>
      <c r="B216" s="9">
        <v>450.91</v>
      </c>
    </row>
    <row r="217" spans="1:2" x14ac:dyDescent="0.4">
      <c r="A217" s="4">
        <v>44448</v>
      </c>
      <c r="B217" s="8">
        <v>448.98</v>
      </c>
    </row>
    <row r="218" spans="1:2" x14ac:dyDescent="0.4">
      <c r="A218" s="5">
        <v>44449</v>
      </c>
      <c r="B218" s="9">
        <v>445.44</v>
      </c>
    </row>
    <row r="219" spans="1:2" x14ac:dyDescent="0.4">
      <c r="A219" s="4">
        <v>44452</v>
      </c>
      <c r="B219" s="8">
        <v>446.58</v>
      </c>
    </row>
    <row r="220" spans="1:2" x14ac:dyDescent="0.4">
      <c r="A220" s="5">
        <v>44453</v>
      </c>
      <c r="B220" s="9">
        <v>444.17</v>
      </c>
    </row>
    <row r="221" spans="1:2" x14ac:dyDescent="0.4">
      <c r="A221" s="4">
        <v>44454</v>
      </c>
      <c r="B221" s="8">
        <v>447.88</v>
      </c>
    </row>
    <row r="222" spans="1:2" x14ac:dyDescent="0.4">
      <c r="A222" s="5">
        <v>44455</v>
      </c>
      <c r="B222" s="9">
        <v>447.17</v>
      </c>
    </row>
    <row r="223" spans="1:2" x14ac:dyDescent="0.4">
      <c r="A223" s="4">
        <v>44456</v>
      </c>
      <c r="B223" s="8">
        <v>441.4</v>
      </c>
    </row>
    <row r="224" spans="1:2" x14ac:dyDescent="0.4">
      <c r="A224" s="5">
        <v>44459</v>
      </c>
      <c r="B224" s="9">
        <v>434.04</v>
      </c>
    </row>
    <row r="225" spans="1:2" x14ac:dyDescent="0.4">
      <c r="A225" s="4">
        <v>44460</v>
      </c>
      <c r="B225" s="8">
        <v>433.63</v>
      </c>
    </row>
    <row r="226" spans="1:2" x14ac:dyDescent="0.4">
      <c r="A226" s="5">
        <v>44461</v>
      </c>
      <c r="B226" s="9">
        <v>437.86</v>
      </c>
    </row>
    <row r="227" spans="1:2" x14ac:dyDescent="0.4">
      <c r="A227" s="4">
        <v>44462</v>
      </c>
      <c r="B227" s="8">
        <v>443.18</v>
      </c>
    </row>
    <row r="228" spans="1:2" x14ac:dyDescent="0.4">
      <c r="A228" s="5">
        <v>44463</v>
      </c>
      <c r="B228" s="9">
        <v>443.91</v>
      </c>
    </row>
    <row r="229" spans="1:2" x14ac:dyDescent="0.4">
      <c r="A229" s="4">
        <v>44466</v>
      </c>
      <c r="B229" s="8">
        <v>442.64</v>
      </c>
    </row>
    <row r="230" spans="1:2" x14ac:dyDescent="0.4">
      <c r="A230" s="5">
        <v>44467</v>
      </c>
      <c r="B230" s="9">
        <v>433.72</v>
      </c>
    </row>
    <row r="231" spans="1:2" x14ac:dyDescent="0.4">
      <c r="A231" s="4">
        <v>44468</v>
      </c>
      <c r="B231" s="8">
        <v>434.45</v>
      </c>
    </row>
    <row r="232" spans="1:2" x14ac:dyDescent="0.4">
      <c r="A232" s="5">
        <v>44469</v>
      </c>
      <c r="B232" s="9">
        <v>429.14</v>
      </c>
    </row>
    <row r="233" spans="1:2" x14ac:dyDescent="0.4">
      <c r="A233" s="4">
        <v>44470</v>
      </c>
      <c r="B233" s="8">
        <v>434.24</v>
      </c>
    </row>
    <row r="234" spans="1:2" x14ac:dyDescent="0.4">
      <c r="A234" s="5">
        <v>44473</v>
      </c>
      <c r="B234" s="9">
        <v>428.64</v>
      </c>
    </row>
    <row r="235" spans="1:2" x14ac:dyDescent="0.4">
      <c r="A235" s="4">
        <v>44474</v>
      </c>
      <c r="B235" s="8">
        <v>433.1</v>
      </c>
    </row>
    <row r="236" spans="1:2" x14ac:dyDescent="0.4">
      <c r="A236" s="5">
        <v>44475</v>
      </c>
      <c r="B236" s="9">
        <v>434.9</v>
      </c>
    </row>
    <row r="237" spans="1:2" x14ac:dyDescent="0.4">
      <c r="A237" s="4">
        <v>44476</v>
      </c>
      <c r="B237" s="8">
        <v>438.66</v>
      </c>
    </row>
    <row r="238" spans="1:2" x14ac:dyDescent="0.4">
      <c r="A238" s="5">
        <v>44477</v>
      </c>
      <c r="B238" s="9">
        <v>437.86</v>
      </c>
    </row>
    <row r="239" spans="1:2" x14ac:dyDescent="0.4">
      <c r="A239" s="4">
        <v>44480</v>
      </c>
      <c r="B239" s="8">
        <v>434.69</v>
      </c>
    </row>
    <row r="240" spans="1:2" x14ac:dyDescent="0.4">
      <c r="A240" s="5">
        <v>44481</v>
      </c>
      <c r="B240" s="9">
        <v>433.62</v>
      </c>
    </row>
    <row r="241" spans="1:2" x14ac:dyDescent="0.4">
      <c r="A241" s="4">
        <v>44482</v>
      </c>
      <c r="B241" s="8">
        <v>435.18</v>
      </c>
    </row>
    <row r="242" spans="1:2" x14ac:dyDescent="0.4">
      <c r="A242" s="5">
        <v>44483</v>
      </c>
      <c r="B242" s="9">
        <v>442.5</v>
      </c>
    </row>
    <row r="243" spans="1:2" x14ac:dyDescent="0.4">
      <c r="A243" s="4">
        <v>44484</v>
      </c>
      <c r="B243" s="8">
        <v>445.87</v>
      </c>
    </row>
    <row r="244" spans="1:2" x14ac:dyDescent="0.4">
      <c r="A244" s="5">
        <v>44487</v>
      </c>
      <c r="B244" s="9">
        <v>447.19</v>
      </c>
    </row>
    <row r="245" spans="1:2" x14ac:dyDescent="0.4">
      <c r="A245" s="4">
        <v>44488</v>
      </c>
      <c r="B245" s="8">
        <v>450.64</v>
      </c>
    </row>
    <row r="246" spans="1:2" x14ac:dyDescent="0.4">
      <c r="A246" s="5">
        <v>44489</v>
      </c>
      <c r="B246" s="9">
        <v>452.41</v>
      </c>
    </row>
    <row r="247" spans="1:2" x14ac:dyDescent="0.4">
      <c r="A247" s="4">
        <v>44490</v>
      </c>
      <c r="B247" s="8">
        <v>453.59</v>
      </c>
    </row>
    <row r="248" spans="1:2" x14ac:dyDescent="0.4">
      <c r="A248" s="5">
        <v>44491</v>
      </c>
      <c r="B248" s="9">
        <v>453.12</v>
      </c>
    </row>
    <row r="249" spans="1:2" x14ac:dyDescent="0.4">
      <c r="A249" s="4">
        <v>44494</v>
      </c>
      <c r="B249" s="8">
        <v>455.55</v>
      </c>
    </row>
    <row r="250" spans="1:2" x14ac:dyDescent="0.4">
      <c r="A250" s="5">
        <v>44495</v>
      </c>
      <c r="B250" s="9">
        <v>455.96</v>
      </c>
    </row>
    <row r="251" spans="1:2" x14ac:dyDescent="0.4">
      <c r="A251" s="4">
        <v>44496</v>
      </c>
      <c r="B251" s="8">
        <v>453.94</v>
      </c>
    </row>
    <row r="252" spans="1:2" x14ac:dyDescent="0.4">
      <c r="A252" s="5">
        <v>44497</v>
      </c>
      <c r="B252" s="9">
        <v>458.32</v>
      </c>
    </row>
    <row r="253" spans="1:2" x14ac:dyDescent="0.4">
      <c r="A253" s="4">
        <v>44498</v>
      </c>
      <c r="B253" s="8">
        <v>459.25</v>
      </c>
    </row>
    <row r="254" spans="1:2" x14ac:dyDescent="0.4">
      <c r="A254" s="5">
        <v>44501</v>
      </c>
      <c r="B254" s="9">
        <v>460.04</v>
      </c>
    </row>
    <row r="255" spans="1:2" x14ac:dyDescent="0.4">
      <c r="A255" s="4">
        <v>44502</v>
      </c>
      <c r="B255" s="8">
        <v>461.9</v>
      </c>
    </row>
    <row r="256" spans="1:2" x14ac:dyDescent="0.4">
      <c r="A256" s="5">
        <v>44503</v>
      </c>
      <c r="B256" s="9">
        <v>464.72</v>
      </c>
    </row>
    <row r="257" spans="1:2" x14ac:dyDescent="0.4">
      <c r="A257" s="4">
        <v>44504</v>
      </c>
      <c r="B257" s="8">
        <v>466.91</v>
      </c>
    </row>
    <row r="258" spans="1:2" x14ac:dyDescent="0.4">
      <c r="A258" s="5">
        <v>44505</v>
      </c>
      <c r="B258" s="9">
        <v>468.53</v>
      </c>
    </row>
    <row r="259" spans="1:2" x14ac:dyDescent="0.4">
      <c r="A259" s="4">
        <v>44508</v>
      </c>
      <c r="B259" s="8">
        <v>468.93</v>
      </c>
    </row>
    <row r="260" spans="1:2" x14ac:dyDescent="0.4">
      <c r="A260" s="5">
        <v>44509</v>
      </c>
      <c r="B260" s="9">
        <v>467.38</v>
      </c>
    </row>
    <row r="261" spans="1:2" x14ac:dyDescent="0.4">
      <c r="A261" s="4">
        <v>44510</v>
      </c>
      <c r="B261" s="8">
        <v>463.62</v>
      </c>
    </row>
    <row r="262" spans="1:2" x14ac:dyDescent="0.4">
      <c r="A262" s="5">
        <v>44511</v>
      </c>
      <c r="B262" s="9">
        <v>463.77</v>
      </c>
    </row>
    <row r="263" spans="1:2" x14ac:dyDescent="0.4">
      <c r="A263" s="4">
        <v>44512</v>
      </c>
      <c r="B263" s="8">
        <v>467.27</v>
      </c>
    </row>
    <row r="264" spans="1:2" x14ac:dyDescent="0.4">
      <c r="A264" s="5">
        <v>44515</v>
      </c>
      <c r="B264" s="9">
        <v>467.43</v>
      </c>
    </row>
    <row r="265" spans="1:2" x14ac:dyDescent="0.4">
      <c r="A265" s="4">
        <v>44516</v>
      </c>
      <c r="B265" s="8">
        <v>469.28</v>
      </c>
    </row>
    <row r="266" spans="1:2" x14ac:dyDescent="0.4">
      <c r="A266" s="5">
        <v>44517</v>
      </c>
      <c r="B266" s="9">
        <v>468.14</v>
      </c>
    </row>
    <row r="267" spans="1:2" x14ac:dyDescent="0.4">
      <c r="A267" s="4">
        <v>44518</v>
      </c>
      <c r="B267" s="8">
        <v>469.73</v>
      </c>
    </row>
    <row r="268" spans="1:2" x14ac:dyDescent="0.4">
      <c r="A268" s="5">
        <v>44519</v>
      </c>
      <c r="B268" s="9">
        <v>468.89</v>
      </c>
    </row>
    <row r="269" spans="1:2" x14ac:dyDescent="0.4">
      <c r="A269" s="4">
        <v>44522</v>
      </c>
      <c r="B269" s="8">
        <v>467.57</v>
      </c>
    </row>
    <row r="270" spans="1:2" x14ac:dyDescent="0.4">
      <c r="A270" s="5">
        <v>44523</v>
      </c>
      <c r="B270" s="9">
        <v>468.19</v>
      </c>
    </row>
    <row r="271" spans="1:2" x14ac:dyDescent="0.4">
      <c r="A271" s="4">
        <v>44524</v>
      </c>
      <c r="B271" s="8">
        <v>469.44</v>
      </c>
    </row>
    <row r="272" spans="1:2" x14ac:dyDescent="0.4">
      <c r="A272" s="5">
        <v>44526</v>
      </c>
      <c r="B272" s="9">
        <v>458.97</v>
      </c>
    </row>
    <row r="273" spans="1:2" x14ac:dyDescent="0.4">
      <c r="A273" s="4">
        <v>44529</v>
      </c>
      <c r="B273" s="8">
        <v>464.6</v>
      </c>
    </row>
    <row r="274" spans="1:2" x14ac:dyDescent="0.4">
      <c r="A274" s="5">
        <v>44530</v>
      </c>
      <c r="B274" s="9">
        <v>455.56</v>
      </c>
    </row>
    <row r="275" spans="1:2" x14ac:dyDescent="0.4">
      <c r="A275" s="4">
        <v>44531</v>
      </c>
      <c r="B275" s="8">
        <v>450.5</v>
      </c>
    </row>
    <row r="276" spans="1:2" x14ac:dyDescent="0.4">
      <c r="A276" s="5">
        <v>44532</v>
      </c>
      <c r="B276" s="9">
        <v>457.4</v>
      </c>
    </row>
    <row r="277" spans="1:2" x14ac:dyDescent="0.4">
      <c r="A277" s="4">
        <v>44533</v>
      </c>
      <c r="B277" s="8">
        <v>453.42</v>
      </c>
    </row>
    <row r="278" spans="1:2" x14ac:dyDescent="0.4">
      <c r="A278" s="5">
        <v>44536</v>
      </c>
      <c r="B278" s="9">
        <v>458.79</v>
      </c>
    </row>
    <row r="279" spans="1:2" x14ac:dyDescent="0.4">
      <c r="A279" s="4">
        <v>44537</v>
      </c>
      <c r="B279" s="8">
        <v>468.28</v>
      </c>
    </row>
    <row r="280" spans="1:2" x14ac:dyDescent="0.4">
      <c r="A280" s="5">
        <v>44538</v>
      </c>
      <c r="B280" s="9">
        <v>469.52</v>
      </c>
    </row>
    <row r="281" spans="1:2" x14ac:dyDescent="0.4">
      <c r="A281" s="4">
        <v>44539</v>
      </c>
      <c r="B281" s="8">
        <v>466.35</v>
      </c>
    </row>
    <row r="282" spans="1:2" x14ac:dyDescent="0.4">
      <c r="A282" s="5">
        <v>44540</v>
      </c>
      <c r="B282" s="9">
        <v>470.74</v>
      </c>
    </row>
    <row r="283" spans="1:2" x14ac:dyDescent="0.4">
      <c r="A283" s="4">
        <v>44543</v>
      </c>
      <c r="B283" s="8">
        <v>466.57</v>
      </c>
    </row>
    <row r="284" spans="1:2" x14ac:dyDescent="0.4">
      <c r="A284" s="5">
        <v>44544</v>
      </c>
      <c r="B284" s="9">
        <v>463.36</v>
      </c>
    </row>
    <row r="285" spans="1:2" x14ac:dyDescent="0.4">
      <c r="A285" s="4">
        <v>44545</v>
      </c>
      <c r="B285" s="8">
        <v>470.6</v>
      </c>
    </row>
    <row r="286" spans="1:2" x14ac:dyDescent="0.4">
      <c r="A286" s="5">
        <v>44546</v>
      </c>
      <c r="B286" s="9">
        <v>466.45</v>
      </c>
    </row>
    <row r="287" spans="1:2" x14ac:dyDescent="0.4">
      <c r="A287" s="4">
        <v>44547</v>
      </c>
      <c r="B287" s="8">
        <v>459.87</v>
      </c>
    </row>
    <row r="288" spans="1:2" x14ac:dyDescent="0.4">
      <c r="A288" s="5">
        <v>44550</v>
      </c>
      <c r="B288" s="9">
        <v>454.98</v>
      </c>
    </row>
    <row r="289" spans="1:2" x14ac:dyDescent="0.4">
      <c r="A289" s="4">
        <v>44551</v>
      </c>
      <c r="B289" s="8">
        <v>463.06</v>
      </c>
    </row>
    <row r="290" spans="1:2" x14ac:dyDescent="0.4">
      <c r="A290" s="5">
        <v>44552</v>
      </c>
      <c r="B290" s="9">
        <v>467.69</v>
      </c>
    </row>
    <row r="291" spans="1:2" x14ac:dyDescent="0.4">
      <c r="A291" s="4">
        <v>44553</v>
      </c>
      <c r="B291" s="8">
        <v>470.6</v>
      </c>
    </row>
    <row r="292" spans="1:2" x14ac:dyDescent="0.4">
      <c r="A292" s="5">
        <v>44557</v>
      </c>
      <c r="B292" s="9">
        <v>477.26</v>
      </c>
    </row>
    <row r="293" spans="1:2" x14ac:dyDescent="0.4">
      <c r="A293" s="4">
        <v>44558</v>
      </c>
      <c r="B293" s="8">
        <v>476.87</v>
      </c>
    </row>
    <row r="294" spans="1:2" x14ac:dyDescent="0.4">
      <c r="A294" s="5">
        <v>44559</v>
      </c>
      <c r="B294" s="9">
        <v>477.48</v>
      </c>
    </row>
    <row r="295" spans="1:2" x14ac:dyDescent="0.4">
      <c r="A295" s="4">
        <v>44560</v>
      </c>
      <c r="B295" s="8">
        <v>476.16</v>
      </c>
    </row>
    <row r="296" spans="1:2" x14ac:dyDescent="0.4">
      <c r="A296" s="5">
        <v>44561</v>
      </c>
      <c r="B296" s="9">
        <v>474.96</v>
      </c>
    </row>
    <row r="297" spans="1:2" x14ac:dyDescent="0.4">
      <c r="A297" s="4">
        <v>44564</v>
      </c>
      <c r="B297" s="8">
        <v>477.71</v>
      </c>
    </row>
    <row r="298" spans="1:2" x14ac:dyDescent="0.4">
      <c r="A298" s="5">
        <v>44565</v>
      </c>
      <c r="B298" s="9">
        <v>477.55</v>
      </c>
    </row>
    <row r="299" spans="1:2" x14ac:dyDescent="0.4">
      <c r="A299" s="4">
        <v>44566</v>
      </c>
      <c r="B299" s="8">
        <v>468.38</v>
      </c>
    </row>
    <row r="300" spans="1:2" x14ac:dyDescent="0.4">
      <c r="A300" s="5">
        <v>44567</v>
      </c>
      <c r="B300" s="9">
        <v>467.94</v>
      </c>
    </row>
    <row r="301" spans="1:2" x14ac:dyDescent="0.4">
      <c r="A301" s="4">
        <v>44568</v>
      </c>
      <c r="B301" s="8">
        <v>466.09</v>
      </c>
    </row>
    <row r="302" spans="1:2" x14ac:dyDescent="0.4">
      <c r="A302" s="5">
        <v>44571</v>
      </c>
      <c r="B302" s="9">
        <v>465.51</v>
      </c>
    </row>
    <row r="303" spans="1:2" x14ac:dyDescent="0.4">
      <c r="A303" s="4">
        <v>44572</v>
      </c>
      <c r="B303" s="8">
        <v>469.75</v>
      </c>
    </row>
    <row r="304" spans="1:2" x14ac:dyDescent="0.4">
      <c r="A304" s="5">
        <v>44573</v>
      </c>
      <c r="B304" s="9">
        <v>471.02</v>
      </c>
    </row>
    <row r="305" spans="1:2" x14ac:dyDescent="0.4">
      <c r="A305" s="4">
        <v>44574</v>
      </c>
      <c r="B305" s="8">
        <v>464.53</v>
      </c>
    </row>
    <row r="306" spans="1:2" x14ac:dyDescent="0.4">
      <c r="A306" s="5">
        <v>44575</v>
      </c>
      <c r="B306" s="9">
        <v>464.72</v>
      </c>
    </row>
    <row r="307" spans="1:2" x14ac:dyDescent="0.4">
      <c r="A307" s="4">
        <v>44579</v>
      </c>
      <c r="B307" s="8">
        <v>456.49</v>
      </c>
    </row>
    <row r="308" spans="1:2" x14ac:dyDescent="0.4">
      <c r="A308" s="5">
        <v>44580</v>
      </c>
      <c r="B308" s="9">
        <v>451.75</v>
      </c>
    </row>
    <row r="309" spans="1:2" x14ac:dyDescent="0.4">
      <c r="A309" s="4">
        <v>44581</v>
      </c>
      <c r="B309" s="8">
        <v>446.75</v>
      </c>
    </row>
    <row r="310" spans="1:2" x14ac:dyDescent="0.4">
      <c r="A310" s="5">
        <v>44582</v>
      </c>
      <c r="B310" s="9">
        <v>437.98</v>
      </c>
    </row>
    <row r="311" spans="1:2" x14ac:dyDescent="0.4">
      <c r="A311" s="4">
        <v>44585</v>
      </c>
      <c r="B311" s="8">
        <v>439.84</v>
      </c>
    </row>
    <row r="312" spans="1:2" x14ac:dyDescent="0.4">
      <c r="A312" s="5">
        <v>44586</v>
      </c>
      <c r="B312" s="9">
        <v>434.47</v>
      </c>
    </row>
    <row r="313" spans="1:2" x14ac:dyDescent="0.4">
      <c r="A313" s="4">
        <v>44587</v>
      </c>
      <c r="B313" s="8">
        <v>433.38</v>
      </c>
    </row>
    <row r="314" spans="1:2" x14ac:dyDescent="0.4">
      <c r="A314" s="5">
        <v>44588</v>
      </c>
      <c r="B314" s="9">
        <v>431.24</v>
      </c>
    </row>
    <row r="315" spans="1:2" x14ac:dyDescent="0.4">
      <c r="A315" s="4">
        <v>44589</v>
      </c>
      <c r="B315" s="8">
        <v>441.95</v>
      </c>
    </row>
    <row r="316" spans="1:2" x14ac:dyDescent="0.4">
      <c r="A316" s="5">
        <v>44592</v>
      </c>
      <c r="B316" s="9">
        <v>449.91</v>
      </c>
    </row>
    <row r="317" spans="1:2" x14ac:dyDescent="0.4">
      <c r="A317" s="4">
        <v>44593</v>
      </c>
      <c r="B317" s="8">
        <v>452.95</v>
      </c>
    </row>
    <row r="318" spans="1:2" x14ac:dyDescent="0.4">
      <c r="A318" s="5">
        <v>44594</v>
      </c>
      <c r="B318" s="9">
        <v>457.35</v>
      </c>
    </row>
    <row r="319" spans="1:2" x14ac:dyDescent="0.4">
      <c r="A319" s="4">
        <v>44595</v>
      </c>
      <c r="B319" s="8">
        <v>446.6</v>
      </c>
    </row>
    <row r="320" spans="1:2" x14ac:dyDescent="0.4">
      <c r="A320" s="5">
        <v>44596</v>
      </c>
      <c r="B320" s="9">
        <v>448.7</v>
      </c>
    </row>
    <row r="321" spans="1:2" x14ac:dyDescent="0.4">
      <c r="A321" s="4">
        <v>44599</v>
      </c>
      <c r="B321" s="8">
        <v>447.26</v>
      </c>
    </row>
    <row r="322" spans="1:2" x14ac:dyDescent="0.4">
      <c r="A322" s="5">
        <v>44600</v>
      </c>
      <c r="B322" s="9">
        <v>450.94</v>
      </c>
    </row>
    <row r="323" spans="1:2" x14ac:dyDescent="0.4">
      <c r="A323" s="4">
        <v>44601</v>
      </c>
      <c r="B323" s="8">
        <v>457.54</v>
      </c>
    </row>
    <row r="324" spans="1:2" x14ac:dyDescent="0.4">
      <c r="A324" s="5">
        <v>44602</v>
      </c>
      <c r="B324" s="9">
        <v>449.32</v>
      </c>
    </row>
    <row r="325" spans="1:2" x14ac:dyDescent="0.4">
      <c r="A325" s="4">
        <v>44603</v>
      </c>
      <c r="B325" s="8">
        <v>440.46</v>
      </c>
    </row>
    <row r="326" spans="1:2" x14ac:dyDescent="0.4">
      <c r="A326" s="5">
        <v>44606</v>
      </c>
      <c r="B326" s="9">
        <v>439.02</v>
      </c>
    </row>
    <row r="327" spans="1:2" x14ac:dyDescent="0.4">
      <c r="A327" s="4">
        <v>44607</v>
      </c>
      <c r="B327" s="8">
        <v>446.1</v>
      </c>
    </row>
    <row r="328" spans="1:2" x14ac:dyDescent="0.4">
      <c r="A328" s="5">
        <v>44608</v>
      </c>
      <c r="B328" s="9">
        <v>446.6</v>
      </c>
    </row>
    <row r="329" spans="1:2" x14ac:dyDescent="0.4">
      <c r="A329" s="4">
        <v>44609</v>
      </c>
      <c r="B329" s="8">
        <v>437.06</v>
      </c>
    </row>
    <row r="330" spans="1:2" x14ac:dyDescent="0.4">
      <c r="A330" s="5">
        <v>44610</v>
      </c>
      <c r="B330" s="9">
        <v>434.23</v>
      </c>
    </row>
    <row r="331" spans="1:2" x14ac:dyDescent="0.4">
      <c r="A331" s="4">
        <v>44614</v>
      </c>
      <c r="B331" s="8">
        <v>429.57</v>
      </c>
    </row>
    <row r="332" spans="1:2" x14ac:dyDescent="0.4">
      <c r="A332" s="5">
        <v>44615</v>
      </c>
      <c r="B332" s="9">
        <v>421.95</v>
      </c>
    </row>
    <row r="333" spans="1:2" x14ac:dyDescent="0.4">
      <c r="A333" s="4">
        <v>44616</v>
      </c>
      <c r="B333" s="8">
        <v>428.3</v>
      </c>
    </row>
    <row r="334" spans="1:2" x14ac:dyDescent="0.4">
      <c r="A334" s="5">
        <v>44617</v>
      </c>
      <c r="B334" s="9">
        <v>437.75</v>
      </c>
    </row>
    <row r="335" spans="1:2" x14ac:dyDescent="0.4">
      <c r="A335" s="4">
        <v>44620</v>
      </c>
      <c r="B335" s="8">
        <v>436.63</v>
      </c>
    </row>
    <row r="336" spans="1:2" x14ac:dyDescent="0.4">
      <c r="A336" s="5">
        <v>44621</v>
      </c>
      <c r="B336" s="9">
        <v>429.98</v>
      </c>
    </row>
    <row r="337" spans="1:2" x14ac:dyDescent="0.4">
      <c r="A337" s="4">
        <v>44622</v>
      </c>
      <c r="B337" s="8">
        <v>437.89</v>
      </c>
    </row>
    <row r="338" spans="1:2" x14ac:dyDescent="0.4">
      <c r="A338" s="5">
        <v>44623</v>
      </c>
      <c r="B338" s="9">
        <v>435.71</v>
      </c>
    </row>
    <row r="339" spans="1:2" x14ac:dyDescent="0.4">
      <c r="A339" s="4">
        <v>44624</v>
      </c>
      <c r="B339" s="8">
        <v>432.17</v>
      </c>
    </row>
    <row r="340" spans="1:2" x14ac:dyDescent="0.4">
      <c r="A340" s="5">
        <v>44627</v>
      </c>
      <c r="B340" s="9">
        <v>419.43</v>
      </c>
    </row>
    <row r="341" spans="1:2" x14ac:dyDescent="0.4">
      <c r="A341" s="4">
        <v>44628</v>
      </c>
      <c r="B341" s="8">
        <v>416.25</v>
      </c>
    </row>
    <row r="342" spans="1:2" x14ac:dyDescent="0.4">
      <c r="A342" s="5">
        <v>44629</v>
      </c>
      <c r="B342" s="9">
        <v>427.41</v>
      </c>
    </row>
    <row r="343" spans="1:2" x14ac:dyDescent="0.4">
      <c r="A343" s="4">
        <v>44630</v>
      </c>
      <c r="B343" s="8">
        <v>425.48</v>
      </c>
    </row>
    <row r="344" spans="1:2" x14ac:dyDescent="0.4">
      <c r="A344" s="5">
        <v>44631</v>
      </c>
      <c r="B344" s="9">
        <v>420.07</v>
      </c>
    </row>
    <row r="345" spans="1:2" x14ac:dyDescent="0.4">
      <c r="A345" s="4">
        <v>44634</v>
      </c>
      <c r="B345" s="8">
        <v>417</v>
      </c>
    </row>
    <row r="346" spans="1:2" x14ac:dyDescent="0.4">
      <c r="A346" s="5">
        <v>44635</v>
      </c>
      <c r="B346" s="9">
        <v>426.17</v>
      </c>
    </row>
    <row r="347" spans="1:2" x14ac:dyDescent="0.4">
      <c r="A347" s="4">
        <v>44636</v>
      </c>
      <c r="B347" s="8">
        <v>435.62</v>
      </c>
    </row>
    <row r="348" spans="1:2" x14ac:dyDescent="0.4">
      <c r="A348" s="5">
        <v>44637</v>
      </c>
      <c r="B348" s="9">
        <v>441.07</v>
      </c>
    </row>
    <row r="349" spans="1:2" x14ac:dyDescent="0.4">
      <c r="A349" s="4">
        <v>44638</v>
      </c>
      <c r="B349" s="8">
        <v>444.52</v>
      </c>
    </row>
    <row r="350" spans="1:2" x14ac:dyDescent="0.4">
      <c r="A350" s="5">
        <v>44641</v>
      </c>
      <c r="B350" s="9">
        <v>444.39</v>
      </c>
    </row>
    <row r="351" spans="1:2" x14ac:dyDescent="0.4">
      <c r="A351" s="4">
        <v>44642</v>
      </c>
      <c r="B351" s="8">
        <v>449.59</v>
      </c>
    </row>
    <row r="352" spans="1:2" x14ac:dyDescent="0.4">
      <c r="A352" s="5">
        <v>44643</v>
      </c>
      <c r="B352" s="9">
        <v>443.8</v>
      </c>
    </row>
    <row r="353" spans="1:2" x14ac:dyDescent="0.4">
      <c r="A353" s="4">
        <v>44644</v>
      </c>
      <c r="B353" s="8">
        <v>450.49</v>
      </c>
    </row>
    <row r="354" spans="1:2" x14ac:dyDescent="0.4">
      <c r="A354" s="5">
        <v>44645</v>
      </c>
      <c r="B354" s="9">
        <v>452.69</v>
      </c>
    </row>
    <row r="355" spans="1:2" x14ac:dyDescent="0.4">
      <c r="A355" s="4">
        <v>44648</v>
      </c>
      <c r="B355" s="8">
        <v>455.91</v>
      </c>
    </row>
    <row r="356" spans="1:2" x14ac:dyDescent="0.4">
      <c r="A356" s="5">
        <v>44649</v>
      </c>
      <c r="B356" s="9">
        <v>461.55</v>
      </c>
    </row>
    <row r="357" spans="1:2" x14ac:dyDescent="0.4">
      <c r="A357" s="4">
        <v>44650</v>
      </c>
      <c r="B357" s="8">
        <v>458.7</v>
      </c>
    </row>
    <row r="358" spans="1:2" x14ac:dyDescent="0.4">
      <c r="A358" s="5">
        <v>44651</v>
      </c>
      <c r="B358" s="9">
        <v>451.64</v>
      </c>
    </row>
    <row r="359" spans="1:2" x14ac:dyDescent="0.4">
      <c r="A359" s="4">
        <v>44652</v>
      </c>
      <c r="B359" s="8">
        <v>452.92</v>
      </c>
    </row>
    <row r="360" spans="1:2" x14ac:dyDescent="0.4">
      <c r="A360" s="5">
        <v>44655</v>
      </c>
      <c r="B360" s="9">
        <v>456.8</v>
      </c>
    </row>
    <row r="361" spans="1:2" x14ac:dyDescent="0.4">
      <c r="A361" s="4">
        <v>44656</v>
      </c>
      <c r="B361" s="8">
        <v>451.03</v>
      </c>
    </row>
    <row r="362" spans="1:2" x14ac:dyDescent="0.4">
      <c r="A362" s="5">
        <v>44657</v>
      </c>
      <c r="B362" s="9">
        <v>446.52</v>
      </c>
    </row>
    <row r="363" spans="1:2" x14ac:dyDescent="0.4">
      <c r="A363" s="4">
        <v>44658</v>
      </c>
      <c r="B363" s="8">
        <v>448.77</v>
      </c>
    </row>
    <row r="364" spans="1:2" x14ac:dyDescent="0.4">
      <c r="A364" s="5">
        <v>44659</v>
      </c>
      <c r="B364" s="9">
        <v>447.57</v>
      </c>
    </row>
    <row r="365" spans="1:2" x14ac:dyDescent="0.4">
      <c r="A365" s="4">
        <v>44662</v>
      </c>
      <c r="B365" s="8">
        <v>439.92</v>
      </c>
    </row>
    <row r="366" spans="1:2" x14ac:dyDescent="0.4">
      <c r="A366" s="5">
        <v>44663</v>
      </c>
      <c r="B366" s="9">
        <v>438.29</v>
      </c>
    </row>
    <row r="367" spans="1:2" x14ac:dyDescent="0.4">
      <c r="A367" s="4">
        <v>44664</v>
      </c>
      <c r="B367" s="8">
        <v>443.31</v>
      </c>
    </row>
    <row r="368" spans="1:2" x14ac:dyDescent="0.4">
      <c r="A368" s="5">
        <v>44665</v>
      </c>
      <c r="B368" s="9">
        <v>437.79</v>
      </c>
    </row>
    <row r="369" spans="1:2" x14ac:dyDescent="0.4">
      <c r="A369" s="4">
        <v>44669</v>
      </c>
      <c r="B369" s="8">
        <v>437.97</v>
      </c>
    </row>
    <row r="370" spans="1:2" x14ac:dyDescent="0.4">
      <c r="A370" s="5">
        <v>44670</v>
      </c>
      <c r="B370" s="9">
        <v>445.04</v>
      </c>
    </row>
    <row r="371" spans="1:2" x14ac:dyDescent="0.4">
      <c r="A371" s="4">
        <v>44671</v>
      </c>
      <c r="B371" s="8">
        <v>444.71</v>
      </c>
    </row>
    <row r="372" spans="1:2" x14ac:dyDescent="0.4">
      <c r="A372" s="5">
        <v>44672</v>
      </c>
      <c r="B372" s="9">
        <v>438.06</v>
      </c>
    </row>
    <row r="373" spans="1:2" x14ac:dyDescent="0.4">
      <c r="A373" s="4">
        <v>44673</v>
      </c>
      <c r="B373" s="8">
        <v>426.04</v>
      </c>
    </row>
    <row r="374" spans="1:2" x14ac:dyDescent="0.4">
      <c r="A374" s="5">
        <v>44676</v>
      </c>
      <c r="B374" s="9">
        <v>428.51</v>
      </c>
    </row>
    <row r="375" spans="1:2" x14ac:dyDescent="0.4">
      <c r="A375" s="4">
        <v>44677</v>
      </c>
      <c r="B375" s="8">
        <v>416.1</v>
      </c>
    </row>
    <row r="376" spans="1:2" x14ac:dyDescent="0.4">
      <c r="A376" s="5">
        <v>44678</v>
      </c>
      <c r="B376" s="9">
        <v>417.27</v>
      </c>
    </row>
    <row r="377" spans="1:2" x14ac:dyDescent="0.4">
      <c r="A377" s="4">
        <v>44679</v>
      </c>
      <c r="B377" s="8">
        <v>427.81</v>
      </c>
    </row>
    <row r="378" spans="1:2" x14ac:dyDescent="0.4">
      <c r="A378" s="5">
        <v>44680</v>
      </c>
      <c r="B378" s="9">
        <v>412</v>
      </c>
    </row>
    <row r="379" spans="1:2" x14ac:dyDescent="0.4">
      <c r="A379" s="4">
        <v>44683</v>
      </c>
      <c r="B379" s="8">
        <v>414.48</v>
      </c>
    </row>
    <row r="380" spans="1:2" x14ac:dyDescent="0.4">
      <c r="A380" s="5">
        <v>44684</v>
      </c>
      <c r="B380" s="9">
        <v>416.38</v>
      </c>
    </row>
    <row r="381" spans="1:2" x14ac:dyDescent="0.4">
      <c r="A381" s="4">
        <v>44685</v>
      </c>
      <c r="B381" s="8">
        <v>429.06</v>
      </c>
    </row>
    <row r="382" spans="1:2" x14ac:dyDescent="0.4">
      <c r="A382" s="5">
        <v>44686</v>
      </c>
      <c r="B382" s="9">
        <v>413.81</v>
      </c>
    </row>
    <row r="383" spans="1:2" x14ac:dyDescent="0.4">
      <c r="A383" s="4">
        <v>44687</v>
      </c>
      <c r="B383" s="8">
        <v>411.34</v>
      </c>
    </row>
    <row r="384" spans="1:2" x14ac:dyDescent="0.4">
      <c r="A384" s="5">
        <v>44690</v>
      </c>
      <c r="B384" s="9">
        <v>398.17</v>
      </c>
    </row>
    <row r="385" spans="1:2" x14ac:dyDescent="0.4">
      <c r="A385" s="4">
        <v>44691</v>
      </c>
      <c r="B385" s="8">
        <v>399.09</v>
      </c>
    </row>
    <row r="386" spans="1:2" x14ac:dyDescent="0.4">
      <c r="A386" s="5">
        <v>44692</v>
      </c>
      <c r="B386" s="9">
        <v>392.75</v>
      </c>
    </row>
    <row r="387" spans="1:2" x14ac:dyDescent="0.4">
      <c r="A387" s="4">
        <v>44693</v>
      </c>
      <c r="B387" s="8">
        <v>392.34</v>
      </c>
    </row>
    <row r="388" spans="1:2" x14ac:dyDescent="0.4">
      <c r="A388" s="5">
        <v>44694</v>
      </c>
      <c r="B388" s="9">
        <v>401.72</v>
      </c>
    </row>
    <row r="389" spans="1:2" x14ac:dyDescent="0.4">
      <c r="A389" s="4">
        <v>44697</v>
      </c>
      <c r="B389" s="8">
        <v>400.09</v>
      </c>
    </row>
    <row r="390" spans="1:2" x14ac:dyDescent="0.4">
      <c r="A390" s="5">
        <v>44698</v>
      </c>
      <c r="B390" s="9">
        <v>408.32</v>
      </c>
    </row>
    <row r="391" spans="1:2" x14ac:dyDescent="0.4">
      <c r="A391" s="4">
        <v>44699</v>
      </c>
      <c r="B391" s="8">
        <v>391.86</v>
      </c>
    </row>
    <row r="392" spans="1:2" x14ac:dyDescent="0.4">
      <c r="A392" s="5">
        <v>44700</v>
      </c>
      <c r="B392" s="9">
        <v>389.46</v>
      </c>
    </row>
    <row r="393" spans="1:2" x14ac:dyDescent="0.4">
      <c r="A393" s="4">
        <v>44701</v>
      </c>
      <c r="B393" s="8">
        <v>389.63</v>
      </c>
    </row>
    <row r="394" spans="1:2" x14ac:dyDescent="0.4">
      <c r="A394" s="5">
        <v>44704</v>
      </c>
      <c r="B394" s="9">
        <v>396.92</v>
      </c>
    </row>
    <row r="395" spans="1:2" x14ac:dyDescent="0.4">
      <c r="A395" s="4">
        <v>44705</v>
      </c>
      <c r="B395" s="8">
        <v>393.89</v>
      </c>
    </row>
    <row r="396" spans="1:2" x14ac:dyDescent="0.4">
      <c r="A396" s="5">
        <v>44706</v>
      </c>
      <c r="B396" s="9">
        <v>397.37</v>
      </c>
    </row>
    <row r="397" spans="1:2" x14ac:dyDescent="0.4">
      <c r="A397" s="4">
        <v>44707</v>
      </c>
      <c r="B397" s="8">
        <v>405.31</v>
      </c>
    </row>
    <row r="398" spans="1:2" x14ac:dyDescent="0.4">
      <c r="A398" s="5">
        <v>44708</v>
      </c>
      <c r="B398" s="9">
        <v>415.26</v>
      </c>
    </row>
    <row r="399" spans="1:2" x14ac:dyDescent="0.4">
      <c r="A399" s="4">
        <v>44712</v>
      </c>
      <c r="B399" s="8">
        <v>412.93</v>
      </c>
    </row>
    <row r="400" spans="1:2" x14ac:dyDescent="0.4">
      <c r="A400" s="5">
        <v>44713</v>
      </c>
      <c r="B400" s="9">
        <v>409.59</v>
      </c>
    </row>
    <row r="401" spans="1:2" x14ac:dyDescent="0.4">
      <c r="A401" s="4">
        <v>44714</v>
      </c>
      <c r="B401" s="8">
        <v>417.39</v>
      </c>
    </row>
    <row r="402" spans="1:2" x14ac:dyDescent="0.4">
      <c r="A402" s="5">
        <v>44715</v>
      </c>
      <c r="B402" s="9">
        <v>410.54</v>
      </c>
    </row>
    <row r="403" spans="1:2" x14ac:dyDescent="0.4">
      <c r="A403" s="4">
        <v>44718</v>
      </c>
      <c r="B403" s="8">
        <v>411.79</v>
      </c>
    </row>
    <row r="404" spans="1:2" x14ac:dyDescent="0.4">
      <c r="A404" s="5">
        <v>44719</v>
      </c>
      <c r="B404" s="9">
        <v>415.74</v>
      </c>
    </row>
    <row r="405" spans="1:2" x14ac:dyDescent="0.4">
      <c r="A405" s="4">
        <v>44720</v>
      </c>
      <c r="B405" s="8">
        <v>411.22</v>
      </c>
    </row>
    <row r="406" spans="1:2" x14ac:dyDescent="0.4">
      <c r="A406" s="5">
        <v>44721</v>
      </c>
      <c r="B406" s="9">
        <v>401.44</v>
      </c>
    </row>
    <row r="407" spans="1:2" x14ac:dyDescent="0.4">
      <c r="A407" s="4">
        <v>44722</v>
      </c>
      <c r="B407" s="8">
        <v>389.8</v>
      </c>
    </row>
    <row r="408" spans="1:2" x14ac:dyDescent="0.4">
      <c r="A408" s="5">
        <v>44725</v>
      </c>
      <c r="B408" s="9">
        <v>375</v>
      </c>
    </row>
    <row r="409" spans="1:2" x14ac:dyDescent="0.4">
      <c r="A409" s="4">
        <v>44726</v>
      </c>
      <c r="B409" s="8">
        <v>373.87</v>
      </c>
    </row>
    <row r="410" spans="1:2" x14ac:dyDescent="0.4">
      <c r="A410" s="5">
        <v>44727</v>
      </c>
      <c r="B410" s="9">
        <v>379.2</v>
      </c>
    </row>
    <row r="411" spans="1:2" x14ac:dyDescent="0.4">
      <c r="A411" s="4">
        <v>44728</v>
      </c>
      <c r="B411" s="8">
        <v>366.65</v>
      </c>
    </row>
    <row r="412" spans="1:2" x14ac:dyDescent="0.4">
      <c r="A412" s="5">
        <v>44729</v>
      </c>
      <c r="B412" s="9">
        <v>365.86</v>
      </c>
    </row>
    <row r="413" spans="1:2" x14ac:dyDescent="0.4">
      <c r="A413" s="4">
        <v>44733</v>
      </c>
      <c r="B413" s="8">
        <v>375.07</v>
      </c>
    </row>
    <row r="414" spans="1:2" x14ac:dyDescent="0.4">
      <c r="A414" s="5">
        <v>44734</v>
      </c>
      <c r="B414" s="9">
        <v>374.39</v>
      </c>
    </row>
    <row r="415" spans="1:2" x14ac:dyDescent="0.4">
      <c r="A415" s="4">
        <v>44735</v>
      </c>
      <c r="B415" s="8">
        <v>378.06</v>
      </c>
    </row>
    <row r="416" spans="1:2" x14ac:dyDescent="0.4">
      <c r="A416" s="5">
        <v>44736</v>
      </c>
      <c r="B416" s="9">
        <v>390.08</v>
      </c>
    </row>
    <row r="417" spans="1:2" x14ac:dyDescent="0.4">
      <c r="A417" s="4">
        <v>44739</v>
      </c>
      <c r="B417" s="8">
        <v>388.59</v>
      </c>
    </row>
    <row r="418" spans="1:2" x14ac:dyDescent="0.4">
      <c r="A418" s="5">
        <v>44740</v>
      </c>
      <c r="B418" s="9">
        <v>380.65</v>
      </c>
    </row>
    <row r="419" spans="1:2" x14ac:dyDescent="0.4">
      <c r="A419" s="4">
        <v>44741</v>
      </c>
      <c r="B419" s="8">
        <v>380.34</v>
      </c>
    </row>
    <row r="420" spans="1:2" x14ac:dyDescent="0.4">
      <c r="A420" s="5">
        <v>44742</v>
      </c>
      <c r="B420" s="9">
        <v>377.25</v>
      </c>
    </row>
    <row r="421" spans="1:2" x14ac:dyDescent="0.4">
      <c r="A421" s="4">
        <v>44743</v>
      </c>
      <c r="B421" s="8">
        <v>381.24</v>
      </c>
    </row>
    <row r="422" spans="1:2" x14ac:dyDescent="0.4">
      <c r="A422" s="5">
        <v>44747</v>
      </c>
      <c r="B422" s="9">
        <v>381.96</v>
      </c>
    </row>
    <row r="423" spans="1:2" x14ac:dyDescent="0.4">
      <c r="A423" s="4">
        <v>44748</v>
      </c>
      <c r="B423" s="8">
        <v>383.25</v>
      </c>
    </row>
    <row r="424" spans="1:2" x14ac:dyDescent="0.4">
      <c r="A424" s="5">
        <v>44749</v>
      </c>
      <c r="B424" s="9">
        <v>388.99</v>
      </c>
    </row>
    <row r="425" spans="1:2" x14ac:dyDescent="0.4">
      <c r="A425" s="4">
        <v>44750</v>
      </c>
      <c r="B425" s="8">
        <v>388.67</v>
      </c>
    </row>
    <row r="426" spans="1:2" x14ac:dyDescent="0.4">
      <c r="A426" s="5">
        <v>44753</v>
      </c>
      <c r="B426" s="9">
        <v>384.23</v>
      </c>
    </row>
    <row r="427" spans="1:2" x14ac:dyDescent="0.4">
      <c r="A427" s="4">
        <v>44754</v>
      </c>
      <c r="B427" s="8">
        <v>380.83</v>
      </c>
    </row>
    <row r="428" spans="1:2" x14ac:dyDescent="0.4">
      <c r="A428" s="5">
        <v>44755</v>
      </c>
      <c r="B428" s="9">
        <v>378.83</v>
      </c>
    </row>
    <row r="429" spans="1:2" x14ac:dyDescent="0.4">
      <c r="A429" s="4">
        <v>44756</v>
      </c>
      <c r="B429" s="8">
        <v>377.91</v>
      </c>
    </row>
    <row r="430" spans="1:2" x14ac:dyDescent="0.4">
      <c r="A430" s="5">
        <v>44757</v>
      </c>
      <c r="B430" s="9">
        <v>385.13</v>
      </c>
    </row>
    <row r="431" spans="1:2" x14ac:dyDescent="0.4">
      <c r="A431" s="4">
        <v>44760</v>
      </c>
      <c r="B431" s="8">
        <v>381.95</v>
      </c>
    </row>
    <row r="432" spans="1:2" x14ac:dyDescent="0.4">
      <c r="A432" s="5">
        <v>44761</v>
      </c>
      <c r="B432" s="9">
        <v>392.27</v>
      </c>
    </row>
    <row r="433" spans="1:2" x14ac:dyDescent="0.4">
      <c r="A433" s="4">
        <v>44762</v>
      </c>
      <c r="B433" s="8">
        <v>394.77</v>
      </c>
    </row>
    <row r="434" spans="1:2" x14ac:dyDescent="0.4">
      <c r="A434" s="5">
        <v>44763</v>
      </c>
      <c r="B434" s="9">
        <v>398.79</v>
      </c>
    </row>
    <row r="435" spans="1:2" x14ac:dyDescent="0.4">
      <c r="A435" s="4">
        <v>44764</v>
      </c>
      <c r="B435" s="8">
        <v>395.09</v>
      </c>
    </row>
    <row r="436" spans="1:2" x14ac:dyDescent="0.4">
      <c r="A436" s="5">
        <v>44767</v>
      </c>
      <c r="B436" s="9">
        <v>395.57</v>
      </c>
    </row>
    <row r="437" spans="1:2" x14ac:dyDescent="0.4">
      <c r="A437" s="4">
        <v>44768</v>
      </c>
      <c r="B437" s="8">
        <v>390.89</v>
      </c>
    </row>
    <row r="438" spans="1:2" x14ac:dyDescent="0.4">
      <c r="A438" s="5">
        <v>44769</v>
      </c>
      <c r="B438" s="9">
        <v>401.04</v>
      </c>
    </row>
    <row r="439" spans="1:2" x14ac:dyDescent="0.4">
      <c r="A439" s="4">
        <v>44770</v>
      </c>
      <c r="B439" s="8">
        <v>406.07</v>
      </c>
    </row>
    <row r="440" spans="1:2" x14ac:dyDescent="0.4">
      <c r="A440" s="5">
        <v>44771</v>
      </c>
      <c r="B440" s="9">
        <v>411.99</v>
      </c>
    </row>
    <row r="441" spans="1:2" x14ac:dyDescent="0.4">
      <c r="A441" s="4">
        <v>44774</v>
      </c>
      <c r="B441" s="8">
        <v>410.77</v>
      </c>
    </row>
    <row r="442" spans="1:2" x14ac:dyDescent="0.4">
      <c r="A442" s="5">
        <v>44775</v>
      </c>
      <c r="B442" s="9">
        <v>408.06</v>
      </c>
    </row>
    <row r="443" spans="1:2" x14ac:dyDescent="0.4">
      <c r="A443" s="4">
        <v>44776</v>
      </c>
      <c r="B443" s="8">
        <v>414.45</v>
      </c>
    </row>
    <row r="444" spans="1:2" x14ac:dyDescent="0.4">
      <c r="A444" s="5">
        <v>44777</v>
      </c>
      <c r="B444" s="9">
        <v>414.17</v>
      </c>
    </row>
    <row r="445" spans="1:2" x14ac:dyDescent="0.4">
      <c r="A445" s="4">
        <v>44778</v>
      </c>
      <c r="B445" s="8">
        <v>413.47</v>
      </c>
    </row>
    <row r="446" spans="1:2" x14ac:dyDescent="0.4">
      <c r="A446" s="5">
        <v>44781</v>
      </c>
      <c r="B446" s="9">
        <v>412.99</v>
      </c>
    </row>
    <row r="447" spans="1:2" x14ac:dyDescent="0.4">
      <c r="A447" s="4">
        <v>44782</v>
      </c>
      <c r="B447" s="8">
        <v>411.35</v>
      </c>
    </row>
    <row r="448" spans="1:2" x14ac:dyDescent="0.4">
      <c r="A448" s="5">
        <v>44783</v>
      </c>
      <c r="B448" s="9">
        <v>419.99</v>
      </c>
    </row>
    <row r="449" spans="1:2" x14ac:dyDescent="0.4">
      <c r="A449" s="4">
        <v>44784</v>
      </c>
      <c r="B449" s="8">
        <v>419.99</v>
      </c>
    </row>
    <row r="450" spans="1:2" x14ac:dyDescent="0.4">
      <c r="A450" s="5">
        <v>44785</v>
      </c>
      <c r="B450" s="9">
        <v>427.1</v>
      </c>
    </row>
    <row r="451" spans="1:2" x14ac:dyDescent="0.4">
      <c r="A451" s="4">
        <v>44788</v>
      </c>
      <c r="B451" s="8">
        <v>428.86</v>
      </c>
    </row>
    <row r="452" spans="1:2" x14ac:dyDescent="0.4">
      <c r="A452" s="5">
        <v>44789</v>
      </c>
      <c r="B452" s="9">
        <v>429.7</v>
      </c>
    </row>
    <row r="453" spans="1:2" x14ac:dyDescent="0.4">
      <c r="A453" s="4">
        <v>44790</v>
      </c>
      <c r="B453" s="8">
        <v>426.65</v>
      </c>
    </row>
    <row r="454" spans="1:2" x14ac:dyDescent="0.4">
      <c r="A454" s="5">
        <v>44791</v>
      </c>
      <c r="B454" s="9">
        <v>427.89</v>
      </c>
    </row>
    <row r="455" spans="1:2" x14ac:dyDescent="0.4">
      <c r="A455" s="4">
        <v>44792</v>
      </c>
      <c r="B455" s="8">
        <v>422.14</v>
      </c>
    </row>
    <row r="456" spans="1:2" x14ac:dyDescent="0.4">
      <c r="A456" s="5">
        <v>44795</v>
      </c>
      <c r="B456" s="9">
        <v>413.35</v>
      </c>
    </row>
    <row r="457" spans="1:2" x14ac:dyDescent="0.4">
      <c r="A457" s="4">
        <v>44796</v>
      </c>
      <c r="B457" s="8">
        <v>412.35</v>
      </c>
    </row>
    <row r="458" spans="1:2" x14ac:dyDescent="0.4">
      <c r="A458" s="5">
        <v>44797</v>
      </c>
      <c r="B458" s="9">
        <v>413.67</v>
      </c>
    </row>
    <row r="459" spans="1:2" x14ac:dyDescent="0.4">
      <c r="A459" s="4">
        <v>44798</v>
      </c>
      <c r="B459" s="8">
        <v>419.51</v>
      </c>
    </row>
    <row r="460" spans="1:2" x14ac:dyDescent="0.4">
      <c r="A460" s="5">
        <v>44799</v>
      </c>
      <c r="B460" s="9">
        <v>405.31</v>
      </c>
    </row>
    <row r="461" spans="1:2" x14ac:dyDescent="0.4">
      <c r="A461" s="4">
        <v>44802</v>
      </c>
      <c r="B461" s="8">
        <v>402.63</v>
      </c>
    </row>
    <row r="462" spans="1:2" x14ac:dyDescent="0.4">
      <c r="A462" s="5">
        <v>44803</v>
      </c>
      <c r="B462" s="9">
        <v>398.21</v>
      </c>
    </row>
    <row r="463" spans="1:2" x14ac:dyDescent="0.4">
      <c r="A463" s="4">
        <v>44804</v>
      </c>
      <c r="B463" s="8">
        <v>395.18</v>
      </c>
    </row>
    <row r="464" spans="1:2" x14ac:dyDescent="0.4">
      <c r="A464" s="5">
        <v>44805</v>
      </c>
      <c r="B464" s="9">
        <v>396.42</v>
      </c>
    </row>
    <row r="465" spans="1:2" x14ac:dyDescent="0.4">
      <c r="A465" s="4">
        <v>44806</v>
      </c>
      <c r="B465" s="8">
        <v>392.24</v>
      </c>
    </row>
    <row r="466" spans="1:2" x14ac:dyDescent="0.4">
      <c r="A466" s="5">
        <v>44810</v>
      </c>
      <c r="B466" s="9">
        <v>390.76</v>
      </c>
    </row>
    <row r="467" spans="1:2" x14ac:dyDescent="0.4">
      <c r="A467" s="4">
        <v>44811</v>
      </c>
      <c r="B467" s="8">
        <v>397.78</v>
      </c>
    </row>
    <row r="468" spans="1:2" x14ac:dyDescent="0.4">
      <c r="A468" s="5">
        <v>44812</v>
      </c>
      <c r="B468" s="9">
        <v>400.38</v>
      </c>
    </row>
    <row r="469" spans="1:2" x14ac:dyDescent="0.4">
      <c r="A469" s="4">
        <v>44813</v>
      </c>
      <c r="B469" s="8">
        <v>406.6</v>
      </c>
    </row>
    <row r="470" spans="1:2" x14ac:dyDescent="0.4">
      <c r="A470" s="5">
        <v>44816</v>
      </c>
      <c r="B470" s="9">
        <v>410.97</v>
      </c>
    </row>
    <row r="471" spans="1:2" x14ac:dyDescent="0.4">
      <c r="A471" s="4">
        <v>44817</v>
      </c>
      <c r="B471" s="8">
        <v>393.1</v>
      </c>
    </row>
    <row r="472" spans="1:2" x14ac:dyDescent="0.4">
      <c r="A472" s="5">
        <v>44818</v>
      </c>
      <c r="B472" s="9">
        <v>394.6</v>
      </c>
    </row>
    <row r="473" spans="1:2" x14ac:dyDescent="0.4">
      <c r="A473" s="4">
        <v>44819</v>
      </c>
      <c r="B473" s="8">
        <v>390.12</v>
      </c>
    </row>
    <row r="474" spans="1:2" x14ac:dyDescent="0.4">
      <c r="A474" s="5">
        <v>44820</v>
      </c>
      <c r="B474" s="9">
        <v>385.56</v>
      </c>
    </row>
    <row r="475" spans="1:2" x14ac:dyDescent="0.4">
      <c r="A475" s="4">
        <v>44823</v>
      </c>
      <c r="B475" s="8">
        <v>388.55</v>
      </c>
    </row>
    <row r="476" spans="1:2" x14ac:dyDescent="0.4">
      <c r="A476" s="5">
        <v>44824</v>
      </c>
      <c r="B476" s="9">
        <v>384.09</v>
      </c>
    </row>
    <row r="477" spans="1:2" x14ac:dyDescent="0.4">
      <c r="A477" s="4">
        <v>44825</v>
      </c>
      <c r="B477" s="8">
        <v>377.39</v>
      </c>
    </row>
    <row r="478" spans="1:2" x14ac:dyDescent="0.4">
      <c r="A478" s="5">
        <v>44826</v>
      </c>
      <c r="B478" s="9">
        <v>374.22</v>
      </c>
    </row>
    <row r="479" spans="1:2" x14ac:dyDescent="0.4">
      <c r="A479" s="4">
        <v>44827</v>
      </c>
      <c r="B479" s="8">
        <v>367.95</v>
      </c>
    </row>
    <row r="480" spans="1:2" x14ac:dyDescent="0.4">
      <c r="A480" s="5">
        <v>44830</v>
      </c>
      <c r="B480" s="9">
        <v>364.31</v>
      </c>
    </row>
    <row r="481" spans="1:2" x14ac:dyDescent="0.4">
      <c r="A481" s="4">
        <v>44831</v>
      </c>
      <c r="B481" s="8">
        <v>363.38</v>
      </c>
    </row>
    <row r="482" spans="1:2" x14ac:dyDescent="0.4">
      <c r="A482" s="5">
        <v>44832</v>
      </c>
      <c r="B482" s="9">
        <v>370.53</v>
      </c>
    </row>
    <row r="483" spans="1:2" x14ac:dyDescent="0.4">
      <c r="A483" s="4">
        <v>44833</v>
      </c>
      <c r="B483" s="8">
        <v>362.79</v>
      </c>
    </row>
    <row r="484" spans="1:2" x14ac:dyDescent="0.4">
      <c r="A484" s="5">
        <v>44834</v>
      </c>
      <c r="B484" s="9">
        <v>357.18</v>
      </c>
    </row>
    <row r="485" spans="1:2" x14ac:dyDescent="0.4">
      <c r="A485" s="4">
        <v>44837</v>
      </c>
      <c r="B485" s="8">
        <v>366.61</v>
      </c>
    </row>
    <row r="486" spans="1:2" x14ac:dyDescent="0.4">
      <c r="A486" s="5">
        <v>44838</v>
      </c>
      <c r="B486" s="9">
        <v>377.97</v>
      </c>
    </row>
    <row r="487" spans="1:2" x14ac:dyDescent="0.4">
      <c r="A487" s="4">
        <v>44839</v>
      </c>
      <c r="B487" s="8">
        <v>377.09</v>
      </c>
    </row>
    <row r="488" spans="1:2" x14ac:dyDescent="0.4">
      <c r="A488" s="5">
        <v>44840</v>
      </c>
      <c r="B488" s="9">
        <v>373.2</v>
      </c>
    </row>
    <row r="489" spans="1:2" x14ac:dyDescent="0.4">
      <c r="A489" s="4">
        <v>44841</v>
      </c>
      <c r="B489" s="8">
        <v>362.79</v>
      </c>
    </row>
    <row r="490" spans="1:2" x14ac:dyDescent="0.4">
      <c r="A490" s="5">
        <v>44844</v>
      </c>
      <c r="B490" s="9">
        <v>360.02</v>
      </c>
    </row>
    <row r="491" spans="1:2" x14ac:dyDescent="0.4">
      <c r="A491" s="4">
        <v>44845</v>
      </c>
      <c r="B491" s="8">
        <v>357.74</v>
      </c>
    </row>
    <row r="492" spans="1:2" x14ac:dyDescent="0.4">
      <c r="A492" s="5">
        <v>44846</v>
      </c>
      <c r="B492" s="9">
        <v>356.56</v>
      </c>
    </row>
    <row r="493" spans="1:2" x14ac:dyDescent="0.4">
      <c r="A493" s="4">
        <v>44847</v>
      </c>
      <c r="B493" s="8">
        <v>365.97</v>
      </c>
    </row>
    <row r="494" spans="1:2" x14ac:dyDescent="0.4">
      <c r="A494" s="5">
        <v>44848</v>
      </c>
      <c r="B494" s="9">
        <v>357.63</v>
      </c>
    </row>
    <row r="495" spans="1:2" x14ac:dyDescent="0.4">
      <c r="A495" s="4">
        <v>44851</v>
      </c>
      <c r="B495" s="8">
        <v>366.82</v>
      </c>
    </row>
    <row r="496" spans="1:2" x14ac:dyDescent="0.4">
      <c r="A496" s="5">
        <v>44852</v>
      </c>
      <c r="B496" s="9">
        <v>371.13</v>
      </c>
    </row>
    <row r="497" spans="1:2" x14ac:dyDescent="0.4">
      <c r="A497" s="4">
        <v>44853</v>
      </c>
      <c r="B497" s="8">
        <v>368.5</v>
      </c>
    </row>
    <row r="498" spans="1:2" x14ac:dyDescent="0.4">
      <c r="A498" s="5">
        <v>44854</v>
      </c>
      <c r="B498" s="9">
        <v>365.41</v>
      </c>
    </row>
    <row r="499" spans="1:2" x14ac:dyDescent="0.4">
      <c r="A499" s="4">
        <v>44855</v>
      </c>
      <c r="B499" s="8">
        <v>374.29</v>
      </c>
    </row>
    <row r="500" spans="1:2" x14ac:dyDescent="0.4">
      <c r="A500" s="5">
        <v>44858</v>
      </c>
      <c r="B500" s="9">
        <v>378.87</v>
      </c>
    </row>
    <row r="501" spans="1:2" x14ac:dyDescent="0.4">
      <c r="A501" s="4">
        <v>44859</v>
      </c>
      <c r="B501" s="8">
        <v>384.92</v>
      </c>
    </row>
    <row r="502" spans="1:2" x14ac:dyDescent="0.4">
      <c r="A502" s="5">
        <v>44860</v>
      </c>
      <c r="B502" s="9">
        <v>382.02</v>
      </c>
    </row>
    <row r="503" spans="1:2" x14ac:dyDescent="0.4">
      <c r="A503" s="4">
        <v>44861</v>
      </c>
      <c r="B503" s="8">
        <v>379.98</v>
      </c>
    </row>
    <row r="504" spans="1:2" x14ac:dyDescent="0.4">
      <c r="A504" s="5">
        <v>44862</v>
      </c>
      <c r="B504" s="9">
        <v>389.02</v>
      </c>
    </row>
    <row r="505" spans="1:2" x14ac:dyDescent="0.4">
      <c r="A505" s="4">
        <v>44865</v>
      </c>
      <c r="B505" s="8">
        <v>386.21</v>
      </c>
    </row>
    <row r="506" spans="1:2" x14ac:dyDescent="0.4">
      <c r="A506" s="5">
        <v>44866</v>
      </c>
      <c r="B506" s="9">
        <v>384.52</v>
      </c>
    </row>
    <row r="507" spans="1:2" x14ac:dyDescent="0.4">
      <c r="A507" s="4">
        <v>44867</v>
      </c>
      <c r="B507" s="8">
        <v>374.87</v>
      </c>
    </row>
    <row r="508" spans="1:2" x14ac:dyDescent="0.4">
      <c r="A508" s="5">
        <v>44868</v>
      </c>
      <c r="B508" s="9">
        <v>371.01</v>
      </c>
    </row>
    <row r="509" spans="1:2" x14ac:dyDescent="0.4">
      <c r="A509" s="4">
        <v>44869</v>
      </c>
      <c r="B509" s="8">
        <v>376.35</v>
      </c>
    </row>
    <row r="510" spans="1:2" x14ac:dyDescent="0.4">
      <c r="A510" s="5">
        <v>44872</v>
      </c>
      <c r="B510" s="9">
        <v>379.95</v>
      </c>
    </row>
    <row r="511" spans="1:2" x14ac:dyDescent="0.4">
      <c r="A511" s="4">
        <v>44873</v>
      </c>
      <c r="B511" s="8">
        <v>382</v>
      </c>
    </row>
    <row r="512" spans="1:2" x14ac:dyDescent="0.4">
      <c r="A512" s="5">
        <v>44874</v>
      </c>
      <c r="B512" s="9">
        <v>374.13</v>
      </c>
    </row>
    <row r="513" spans="1:2" x14ac:dyDescent="0.4">
      <c r="A513" s="4">
        <v>44875</v>
      </c>
      <c r="B513" s="8">
        <v>394.69</v>
      </c>
    </row>
    <row r="514" spans="1:2" x14ac:dyDescent="0.4">
      <c r="A514" s="5">
        <v>44876</v>
      </c>
      <c r="B514" s="9">
        <v>398.51</v>
      </c>
    </row>
    <row r="515" spans="1:2" x14ac:dyDescent="0.4">
      <c r="A515" s="4">
        <v>44879</v>
      </c>
      <c r="B515" s="8">
        <v>395.12</v>
      </c>
    </row>
    <row r="516" spans="1:2" x14ac:dyDescent="0.4">
      <c r="A516" s="5">
        <v>44880</v>
      </c>
      <c r="B516" s="9">
        <v>398.49</v>
      </c>
    </row>
    <row r="517" spans="1:2" x14ac:dyDescent="0.4">
      <c r="A517" s="4">
        <v>44881</v>
      </c>
      <c r="B517" s="8">
        <v>395.45</v>
      </c>
    </row>
    <row r="518" spans="1:2" x14ac:dyDescent="0.4">
      <c r="A518" s="5">
        <v>44882</v>
      </c>
      <c r="B518" s="9">
        <v>394.24</v>
      </c>
    </row>
    <row r="519" spans="1:2" x14ac:dyDescent="0.4">
      <c r="A519" s="4">
        <v>44883</v>
      </c>
      <c r="B519" s="8">
        <v>396.03</v>
      </c>
    </row>
    <row r="520" spans="1:2" x14ac:dyDescent="0.4">
      <c r="A520" s="5">
        <v>44886</v>
      </c>
      <c r="B520" s="9">
        <v>394.59</v>
      </c>
    </row>
    <row r="521" spans="1:2" x14ac:dyDescent="0.4">
      <c r="A521" s="4">
        <v>44887</v>
      </c>
      <c r="B521" s="8">
        <v>399.9</v>
      </c>
    </row>
    <row r="522" spans="1:2" x14ac:dyDescent="0.4">
      <c r="A522" s="5">
        <v>44888</v>
      </c>
      <c r="B522" s="9">
        <v>402.42</v>
      </c>
    </row>
    <row r="523" spans="1:2" x14ac:dyDescent="0.4">
      <c r="A523" s="4">
        <v>44890</v>
      </c>
      <c r="B523" s="8">
        <v>402.33</v>
      </c>
    </row>
    <row r="524" spans="1:2" x14ac:dyDescent="0.4">
      <c r="A524" s="5">
        <v>44893</v>
      </c>
      <c r="B524" s="9">
        <v>395.91</v>
      </c>
    </row>
    <row r="525" spans="1:2" x14ac:dyDescent="0.4">
      <c r="A525" s="4">
        <v>44894</v>
      </c>
      <c r="B525" s="8">
        <v>395.23</v>
      </c>
    </row>
    <row r="526" spans="1:2" x14ac:dyDescent="0.4">
      <c r="A526" s="5">
        <v>44895</v>
      </c>
      <c r="B526" s="9">
        <v>407.68</v>
      </c>
    </row>
    <row r="527" spans="1:2" x14ac:dyDescent="0.4">
      <c r="A527" s="4">
        <v>44896</v>
      </c>
      <c r="B527" s="8">
        <v>407.38</v>
      </c>
    </row>
    <row r="528" spans="1:2" x14ac:dyDescent="0.4">
      <c r="A528" s="5">
        <v>44897</v>
      </c>
      <c r="B528" s="9">
        <v>406.91</v>
      </c>
    </row>
    <row r="529" spans="1:2" x14ac:dyDescent="0.4">
      <c r="A529" s="4">
        <v>44900</v>
      </c>
      <c r="B529" s="8">
        <v>399.59</v>
      </c>
    </row>
    <row r="530" spans="1:2" x14ac:dyDescent="0.4">
      <c r="A530" s="5">
        <v>44901</v>
      </c>
      <c r="B530" s="9">
        <v>393.83</v>
      </c>
    </row>
    <row r="531" spans="1:2" x14ac:dyDescent="0.4">
      <c r="A531" s="4">
        <v>44902</v>
      </c>
      <c r="B531" s="8">
        <v>393.16</v>
      </c>
    </row>
    <row r="532" spans="1:2" x14ac:dyDescent="0.4">
      <c r="A532" s="5">
        <v>44903</v>
      </c>
      <c r="B532" s="9">
        <v>396.24</v>
      </c>
    </row>
    <row r="533" spans="1:2" x14ac:dyDescent="0.4">
      <c r="A533" s="4">
        <v>44904</v>
      </c>
      <c r="B533" s="8">
        <v>393.28</v>
      </c>
    </row>
    <row r="534" spans="1:2" x14ac:dyDescent="0.4">
      <c r="A534" s="5">
        <v>44907</v>
      </c>
      <c r="B534" s="9">
        <v>398.95</v>
      </c>
    </row>
    <row r="535" spans="1:2" x14ac:dyDescent="0.4">
      <c r="A535" s="4">
        <v>44908</v>
      </c>
      <c r="B535" s="8">
        <v>401.97</v>
      </c>
    </row>
    <row r="536" spans="1:2" x14ac:dyDescent="0.4">
      <c r="A536" s="5">
        <v>44909</v>
      </c>
      <c r="B536" s="9">
        <v>399.4</v>
      </c>
    </row>
    <row r="537" spans="1:2" x14ac:dyDescent="0.4">
      <c r="A537" s="4">
        <v>44910</v>
      </c>
      <c r="B537" s="8">
        <v>389.63</v>
      </c>
    </row>
    <row r="538" spans="1:2" x14ac:dyDescent="0.4">
      <c r="A538" s="5">
        <v>44911</v>
      </c>
      <c r="B538" s="9">
        <v>383.27</v>
      </c>
    </row>
    <row r="539" spans="1:2" x14ac:dyDescent="0.4">
      <c r="A539" s="4">
        <v>44914</v>
      </c>
      <c r="B539" s="8">
        <v>380.02</v>
      </c>
    </row>
    <row r="540" spans="1:2" x14ac:dyDescent="0.4">
      <c r="A540" s="5">
        <v>44915</v>
      </c>
      <c r="B540" s="9">
        <v>380.54</v>
      </c>
    </row>
    <row r="541" spans="1:2" x14ac:dyDescent="0.4">
      <c r="A541" s="4">
        <v>44916</v>
      </c>
      <c r="B541" s="8">
        <v>386.23</v>
      </c>
    </row>
    <row r="542" spans="1:2" x14ac:dyDescent="0.4">
      <c r="A542" s="5">
        <v>44917</v>
      </c>
      <c r="B542" s="9">
        <v>380.72</v>
      </c>
    </row>
    <row r="543" spans="1:2" x14ac:dyDescent="0.4">
      <c r="A543" s="4">
        <v>44918</v>
      </c>
      <c r="B543" s="8">
        <v>382.91</v>
      </c>
    </row>
    <row r="544" spans="1:2" x14ac:dyDescent="0.4">
      <c r="A544" s="5">
        <v>44922</v>
      </c>
      <c r="B544" s="9">
        <v>381.4</v>
      </c>
    </row>
    <row r="545" spans="1:2" x14ac:dyDescent="0.4">
      <c r="A545" s="4">
        <v>44923</v>
      </c>
      <c r="B545" s="8">
        <v>376.66</v>
      </c>
    </row>
    <row r="546" spans="1:2" x14ac:dyDescent="0.4">
      <c r="A546" s="5">
        <v>44924</v>
      </c>
      <c r="B546" s="9">
        <v>383.44</v>
      </c>
    </row>
    <row r="547" spans="1:2" x14ac:dyDescent="0.4">
      <c r="A547" s="4">
        <v>44925</v>
      </c>
      <c r="B547" s="8">
        <v>382.43</v>
      </c>
    </row>
    <row r="548" spans="1:2" x14ac:dyDescent="0.4">
      <c r="A548" s="5">
        <v>44929</v>
      </c>
      <c r="B548" s="9">
        <v>380.82</v>
      </c>
    </row>
    <row r="549" spans="1:2" x14ac:dyDescent="0.4">
      <c r="A549" s="4">
        <v>44930</v>
      </c>
      <c r="B549" s="8">
        <v>383.76</v>
      </c>
    </row>
    <row r="550" spans="1:2" x14ac:dyDescent="0.4">
      <c r="A550" s="5">
        <v>44931</v>
      </c>
      <c r="B550" s="9">
        <v>379.38</v>
      </c>
    </row>
    <row r="551" spans="1:2" x14ac:dyDescent="0.4">
      <c r="A551" s="4">
        <v>44932</v>
      </c>
      <c r="B551" s="8">
        <v>388.08</v>
      </c>
    </row>
    <row r="552" spans="1:2" x14ac:dyDescent="0.4">
      <c r="A552" s="5">
        <v>44935</v>
      </c>
      <c r="B552" s="9">
        <v>387.86</v>
      </c>
    </row>
    <row r="553" spans="1:2" x14ac:dyDescent="0.4">
      <c r="A553" s="4">
        <v>44936</v>
      </c>
      <c r="B553" s="8">
        <v>390.58</v>
      </c>
    </row>
    <row r="554" spans="1:2" x14ac:dyDescent="0.4">
      <c r="A554" s="5">
        <v>44937</v>
      </c>
      <c r="B554" s="9">
        <v>395.52</v>
      </c>
    </row>
    <row r="555" spans="1:2" x14ac:dyDescent="0.4">
      <c r="A555" s="4">
        <v>44938</v>
      </c>
      <c r="B555" s="8">
        <v>396.96</v>
      </c>
    </row>
    <row r="556" spans="1:2" x14ac:dyDescent="0.4">
      <c r="A556" s="5">
        <v>44939</v>
      </c>
      <c r="B556" s="9">
        <v>398.5</v>
      </c>
    </row>
    <row r="557" spans="1:2" x14ac:dyDescent="0.4">
      <c r="A557" s="4">
        <v>44943</v>
      </c>
      <c r="B557" s="8">
        <v>397.77</v>
      </c>
    </row>
    <row r="558" spans="1:2" x14ac:dyDescent="0.4">
      <c r="A558" s="5">
        <v>44944</v>
      </c>
      <c r="B558" s="9">
        <v>391.49</v>
      </c>
    </row>
    <row r="559" spans="1:2" x14ac:dyDescent="0.4">
      <c r="A559" s="4">
        <v>44945</v>
      </c>
      <c r="B559" s="8">
        <v>388.64</v>
      </c>
    </row>
    <row r="560" spans="1:2" x14ac:dyDescent="0.4">
      <c r="A560" s="5">
        <v>44946</v>
      </c>
      <c r="B560" s="9">
        <v>395.88</v>
      </c>
    </row>
    <row r="561" spans="1:2" x14ac:dyDescent="0.4">
      <c r="A561" s="4">
        <v>44949</v>
      </c>
      <c r="B561" s="8">
        <v>400.63</v>
      </c>
    </row>
    <row r="562" spans="1:2" x14ac:dyDescent="0.4">
      <c r="A562" s="5">
        <v>44950</v>
      </c>
      <c r="B562" s="9">
        <v>400.2</v>
      </c>
    </row>
    <row r="563" spans="1:2" x14ac:dyDescent="0.4">
      <c r="A563" s="4">
        <v>44951</v>
      </c>
      <c r="B563" s="8">
        <v>400.35</v>
      </c>
    </row>
    <row r="564" spans="1:2" x14ac:dyDescent="0.4">
      <c r="A564" s="5">
        <v>44952</v>
      </c>
      <c r="B564" s="9">
        <v>404.75</v>
      </c>
    </row>
    <row r="565" spans="1:2" x14ac:dyDescent="0.4">
      <c r="A565" s="4">
        <v>44953</v>
      </c>
      <c r="B565" s="8">
        <v>405.68</v>
      </c>
    </row>
    <row r="566" spans="1:2" x14ac:dyDescent="0.4">
      <c r="A566" s="5">
        <v>44956</v>
      </c>
      <c r="B566" s="9">
        <v>400.59</v>
      </c>
    </row>
    <row r="567" spans="1:2" x14ac:dyDescent="0.4">
      <c r="A567" s="4">
        <v>44957</v>
      </c>
      <c r="B567" s="8">
        <v>406.48</v>
      </c>
    </row>
    <row r="568" spans="1:2" x14ac:dyDescent="0.4">
      <c r="A568" s="5">
        <v>44958</v>
      </c>
      <c r="B568" s="9">
        <v>410.8</v>
      </c>
    </row>
    <row r="569" spans="1:2" x14ac:dyDescent="0.4">
      <c r="A569" s="4">
        <v>44959</v>
      </c>
      <c r="B569" s="8">
        <v>416.78</v>
      </c>
    </row>
    <row r="570" spans="1:2" x14ac:dyDescent="0.4">
      <c r="A570" s="5">
        <v>44960</v>
      </c>
      <c r="B570" s="9">
        <v>412.35</v>
      </c>
    </row>
    <row r="571" spans="1:2" x14ac:dyDescent="0.4">
      <c r="A571" s="4">
        <v>44963</v>
      </c>
      <c r="B571" s="8">
        <v>409.83</v>
      </c>
    </row>
    <row r="572" spans="1:2" x14ac:dyDescent="0.4">
      <c r="A572" s="5">
        <v>44964</v>
      </c>
      <c r="B572" s="9">
        <v>415.19</v>
      </c>
    </row>
    <row r="573" spans="1:2" x14ac:dyDescent="0.4">
      <c r="A573" s="4">
        <v>44965</v>
      </c>
      <c r="B573" s="8">
        <v>410.65</v>
      </c>
    </row>
    <row r="574" spans="1:2" x14ac:dyDescent="0.4">
      <c r="A574" s="5">
        <v>44966</v>
      </c>
      <c r="B574" s="9">
        <v>407.09</v>
      </c>
    </row>
    <row r="575" spans="1:2" x14ac:dyDescent="0.4">
      <c r="A575" s="4">
        <v>44967</v>
      </c>
      <c r="B575" s="8">
        <v>408.04</v>
      </c>
    </row>
    <row r="576" spans="1:2" x14ac:dyDescent="0.4">
      <c r="A576" s="5">
        <v>44970</v>
      </c>
      <c r="B576" s="9">
        <v>412.83</v>
      </c>
    </row>
    <row r="577" spans="1:2" x14ac:dyDescent="0.4">
      <c r="A577" s="4">
        <v>44971</v>
      </c>
      <c r="B577" s="8">
        <v>412.64</v>
      </c>
    </row>
    <row r="578" spans="1:2" x14ac:dyDescent="0.4">
      <c r="A578" s="5">
        <v>44972</v>
      </c>
      <c r="B578" s="9">
        <v>413.98</v>
      </c>
    </row>
    <row r="579" spans="1:2" x14ac:dyDescent="0.4">
      <c r="A579" s="4">
        <v>44973</v>
      </c>
      <c r="B579" s="8">
        <v>408.28</v>
      </c>
    </row>
    <row r="580" spans="1:2" x14ac:dyDescent="0.4">
      <c r="A580" s="5">
        <v>44974</v>
      </c>
      <c r="B580" s="9">
        <v>407.26</v>
      </c>
    </row>
    <row r="581" spans="1:2" x14ac:dyDescent="0.4">
      <c r="A581" s="4">
        <v>44978</v>
      </c>
      <c r="B581" s="8">
        <v>399.09</v>
      </c>
    </row>
    <row r="582" spans="1:2" x14ac:dyDescent="0.4">
      <c r="A582" s="5">
        <v>44979</v>
      </c>
      <c r="B582" s="9">
        <v>398.54</v>
      </c>
    </row>
    <row r="583" spans="1:2" x14ac:dyDescent="0.4">
      <c r="A583" s="4">
        <v>44980</v>
      </c>
      <c r="B583" s="8">
        <v>400.66</v>
      </c>
    </row>
    <row r="584" spans="1:2" x14ac:dyDescent="0.4">
      <c r="A584" s="5">
        <v>44981</v>
      </c>
      <c r="B584" s="9">
        <v>396.38</v>
      </c>
    </row>
    <row r="585" spans="1:2" x14ac:dyDescent="0.4">
      <c r="A585" s="4">
        <v>44984</v>
      </c>
      <c r="B585" s="8">
        <v>397.73</v>
      </c>
    </row>
    <row r="586" spans="1:2" x14ac:dyDescent="0.4">
      <c r="A586" s="5">
        <v>44985</v>
      </c>
      <c r="B586" s="9">
        <v>396.26</v>
      </c>
    </row>
    <row r="587" spans="1:2" x14ac:dyDescent="0.4">
      <c r="A587" s="4">
        <v>44986</v>
      </c>
      <c r="B587" s="8">
        <v>394.74</v>
      </c>
    </row>
    <row r="588" spans="1:2" x14ac:dyDescent="0.4">
      <c r="A588" s="5">
        <v>44987</v>
      </c>
      <c r="B588" s="9">
        <v>397.81</v>
      </c>
    </row>
    <row r="589" spans="1:2" x14ac:dyDescent="0.4">
      <c r="A589" s="4">
        <v>44988</v>
      </c>
      <c r="B589" s="8">
        <v>404.19</v>
      </c>
    </row>
    <row r="590" spans="1:2" x14ac:dyDescent="0.4">
      <c r="A590" s="5">
        <v>44991</v>
      </c>
      <c r="B590" s="9">
        <v>404.47</v>
      </c>
    </row>
    <row r="591" spans="1:2" x14ac:dyDescent="0.4">
      <c r="A591" s="4">
        <v>44992</v>
      </c>
      <c r="B591" s="8">
        <v>398.27</v>
      </c>
    </row>
    <row r="592" spans="1:2" x14ac:dyDescent="0.4">
      <c r="A592" s="5">
        <v>44993</v>
      </c>
      <c r="B592" s="9">
        <v>398.92</v>
      </c>
    </row>
    <row r="593" spans="1:2" x14ac:dyDescent="0.4">
      <c r="A593" s="4">
        <v>44994</v>
      </c>
      <c r="B593" s="8">
        <v>391.56</v>
      </c>
    </row>
    <row r="594" spans="1:2" x14ac:dyDescent="0.4">
      <c r="A594" s="5">
        <v>44995</v>
      </c>
      <c r="B594" s="9">
        <v>385.91</v>
      </c>
    </row>
    <row r="595" spans="1:2" x14ac:dyDescent="0.4">
      <c r="A595" s="4">
        <v>44998</v>
      </c>
      <c r="B595" s="8">
        <v>385.36</v>
      </c>
    </row>
    <row r="596" spans="1:2" x14ac:dyDescent="0.4">
      <c r="A596" s="5">
        <v>44999</v>
      </c>
      <c r="B596" s="9">
        <v>391.73</v>
      </c>
    </row>
    <row r="597" spans="1:2" x14ac:dyDescent="0.4">
      <c r="A597" s="4">
        <v>45000</v>
      </c>
      <c r="B597" s="8">
        <v>389.28</v>
      </c>
    </row>
    <row r="598" spans="1:2" x14ac:dyDescent="0.4">
      <c r="A598" s="5">
        <v>45001</v>
      </c>
      <c r="B598" s="9">
        <v>396.11</v>
      </c>
    </row>
    <row r="599" spans="1:2" x14ac:dyDescent="0.4">
      <c r="A599" s="4">
        <v>45002</v>
      </c>
      <c r="B599" s="8">
        <v>389.99</v>
      </c>
    </row>
    <row r="600" spans="1:2" x14ac:dyDescent="0.4">
      <c r="A600" s="5">
        <v>45005</v>
      </c>
      <c r="B600" s="9">
        <v>393.74</v>
      </c>
    </row>
    <row r="601" spans="1:2" x14ac:dyDescent="0.4">
      <c r="A601" s="4">
        <v>45006</v>
      </c>
      <c r="B601" s="8">
        <v>398.91</v>
      </c>
    </row>
    <row r="602" spans="1:2" x14ac:dyDescent="0.4">
      <c r="A602" s="5">
        <v>45007</v>
      </c>
      <c r="B602" s="9">
        <v>392.11</v>
      </c>
    </row>
    <row r="603" spans="1:2" x14ac:dyDescent="0.4">
      <c r="A603" s="4">
        <v>45008</v>
      </c>
      <c r="B603" s="8">
        <v>393.17</v>
      </c>
    </row>
    <row r="604" spans="1:2" x14ac:dyDescent="0.4">
      <c r="A604" s="5">
        <v>45009</v>
      </c>
      <c r="B604" s="9">
        <v>395.75</v>
      </c>
    </row>
    <row r="605" spans="1:2" x14ac:dyDescent="0.4">
      <c r="A605" s="4">
        <v>45012</v>
      </c>
      <c r="B605" s="8">
        <v>396.49</v>
      </c>
    </row>
    <row r="606" spans="1:2" x14ac:dyDescent="0.4">
      <c r="A606" s="5">
        <v>45013</v>
      </c>
      <c r="B606" s="9">
        <v>395.6</v>
      </c>
    </row>
    <row r="607" spans="1:2" x14ac:dyDescent="0.4">
      <c r="A607" s="4">
        <v>45014</v>
      </c>
      <c r="B607" s="8">
        <v>401.35</v>
      </c>
    </row>
    <row r="608" spans="1:2" x14ac:dyDescent="0.4">
      <c r="A608" s="5">
        <v>45015</v>
      </c>
      <c r="B608" s="9">
        <v>403.7</v>
      </c>
    </row>
    <row r="609" spans="1:2" x14ac:dyDescent="0.4">
      <c r="A609" s="4">
        <v>45016</v>
      </c>
      <c r="B609" s="8">
        <v>409.39</v>
      </c>
    </row>
    <row r="610" spans="1:2" x14ac:dyDescent="0.4">
      <c r="A610" s="5">
        <v>45019</v>
      </c>
      <c r="B610" s="9">
        <v>410.95</v>
      </c>
    </row>
    <row r="611" spans="1:2" x14ac:dyDescent="0.4">
      <c r="A611" s="4">
        <v>45020</v>
      </c>
      <c r="B611" s="8">
        <v>408.67</v>
      </c>
    </row>
    <row r="612" spans="1:2" x14ac:dyDescent="0.4">
      <c r="A612" s="5">
        <v>45021</v>
      </c>
      <c r="B612" s="9">
        <v>407.6</v>
      </c>
    </row>
    <row r="613" spans="1:2" x14ac:dyDescent="0.4">
      <c r="A613" s="4">
        <v>45022</v>
      </c>
      <c r="B613" s="8">
        <v>409.19</v>
      </c>
    </row>
    <row r="614" spans="1:2" x14ac:dyDescent="0.4">
      <c r="A614" s="5">
        <v>45026</v>
      </c>
      <c r="B614" s="9">
        <v>409.61</v>
      </c>
    </row>
    <row r="615" spans="1:2" x14ac:dyDescent="0.4">
      <c r="A615" s="4">
        <v>45027</v>
      </c>
      <c r="B615" s="8">
        <v>409.72</v>
      </c>
    </row>
    <row r="616" spans="1:2" x14ac:dyDescent="0.4">
      <c r="A616" s="5">
        <v>45028</v>
      </c>
      <c r="B616" s="9">
        <v>408.05</v>
      </c>
    </row>
    <row r="617" spans="1:2" x14ac:dyDescent="0.4">
      <c r="A617" s="4">
        <v>45029</v>
      </c>
      <c r="B617" s="8">
        <v>413.47</v>
      </c>
    </row>
    <row r="618" spans="1:2" x14ac:dyDescent="0.4">
      <c r="A618" s="5">
        <v>45030</v>
      </c>
      <c r="B618" s="9">
        <v>412.46</v>
      </c>
    </row>
    <row r="619" spans="1:2" x14ac:dyDescent="0.4">
      <c r="A619" s="4">
        <v>45033</v>
      </c>
      <c r="B619" s="8">
        <v>413.94</v>
      </c>
    </row>
    <row r="620" spans="1:2" x14ac:dyDescent="0.4">
      <c r="A620" s="5">
        <v>45034</v>
      </c>
      <c r="B620" s="9">
        <v>414.21</v>
      </c>
    </row>
    <row r="621" spans="1:2" x14ac:dyDescent="0.4">
      <c r="A621" s="4">
        <v>45035</v>
      </c>
      <c r="B621" s="8">
        <v>414.14</v>
      </c>
    </row>
    <row r="622" spans="1:2" x14ac:dyDescent="0.4">
      <c r="A622" s="5">
        <v>45036</v>
      </c>
      <c r="B622" s="9">
        <v>411.88</v>
      </c>
    </row>
    <row r="623" spans="1:2" x14ac:dyDescent="0.4">
      <c r="A623" s="4">
        <v>45037</v>
      </c>
      <c r="B623" s="8">
        <v>412.2</v>
      </c>
    </row>
    <row r="624" spans="1:2" x14ac:dyDescent="0.4">
      <c r="A624" s="5">
        <v>45040</v>
      </c>
      <c r="B624" s="9">
        <v>412.63</v>
      </c>
    </row>
    <row r="625" spans="1:2" x14ac:dyDescent="0.4">
      <c r="A625" s="4">
        <v>45041</v>
      </c>
      <c r="B625" s="8">
        <v>406.08</v>
      </c>
    </row>
    <row r="626" spans="1:2" x14ac:dyDescent="0.4">
      <c r="A626" s="5">
        <v>45042</v>
      </c>
      <c r="B626" s="9">
        <v>404.36</v>
      </c>
    </row>
    <row r="627" spans="1:2" x14ac:dyDescent="0.4">
      <c r="A627" s="4">
        <v>45043</v>
      </c>
      <c r="B627" s="8">
        <v>412.41</v>
      </c>
    </row>
    <row r="628" spans="1:2" x14ac:dyDescent="0.4">
      <c r="A628" s="5">
        <v>45044</v>
      </c>
      <c r="B628" s="9">
        <v>415.93</v>
      </c>
    </row>
    <row r="629" spans="1:2" x14ac:dyDescent="0.4">
      <c r="A629" s="4">
        <v>45047</v>
      </c>
      <c r="B629" s="8">
        <v>415.51</v>
      </c>
    </row>
    <row r="630" spans="1:2" x14ac:dyDescent="0.4">
      <c r="A630" s="5">
        <v>45048</v>
      </c>
      <c r="B630" s="9">
        <v>410.84</v>
      </c>
    </row>
    <row r="631" spans="1:2" x14ac:dyDescent="0.4">
      <c r="A631" s="4">
        <v>45049</v>
      </c>
      <c r="B631" s="8">
        <v>408.02</v>
      </c>
    </row>
    <row r="632" spans="1:2" x14ac:dyDescent="0.4">
      <c r="A632" s="5">
        <v>45050</v>
      </c>
      <c r="B632" s="9">
        <v>405.13</v>
      </c>
    </row>
    <row r="633" spans="1:2" x14ac:dyDescent="0.4">
      <c r="A633" s="4">
        <v>45051</v>
      </c>
      <c r="B633" s="8">
        <v>412.63</v>
      </c>
    </row>
    <row r="634" spans="1:2" x14ac:dyDescent="0.4">
      <c r="A634" s="5">
        <v>45054</v>
      </c>
      <c r="B634" s="9">
        <v>412.74</v>
      </c>
    </row>
    <row r="635" spans="1:2" x14ac:dyDescent="0.4">
      <c r="A635" s="4">
        <v>45055</v>
      </c>
      <c r="B635" s="8">
        <v>410.93</v>
      </c>
    </row>
    <row r="636" spans="1:2" x14ac:dyDescent="0.4">
      <c r="A636" s="5">
        <v>45056</v>
      </c>
      <c r="B636" s="9">
        <v>412.85</v>
      </c>
    </row>
    <row r="637" spans="1:2" x14ac:dyDescent="0.4">
      <c r="A637" s="4">
        <v>45057</v>
      </c>
      <c r="B637" s="8">
        <v>412.13</v>
      </c>
    </row>
    <row r="638" spans="1:2" x14ac:dyDescent="0.4">
      <c r="A638" s="5">
        <v>45058</v>
      </c>
      <c r="B638" s="9">
        <v>411.59</v>
      </c>
    </row>
    <row r="639" spans="1:2" x14ac:dyDescent="0.4">
      <c r="A639" s="4">
        <v>45061</v>
      </c>
      <c r="B639" s="8">
        <v>413.01</v>
      </c>
    </row>
    <row r="640" spans="1:2" x14ac:dyDescent="0.4">
      <c r="A640" s="5">
        <v>45062</v>
      </c>
      <c r="B640" s="9">
        <v>410.25</v>
      </c>
    </row>
    <row r="641" spans="1:2" x14ac:dyDescent="0.4">
      <c r="A641" s="4">
        <v>45063</v>
      </c>
      <c r="B641" s="8">
        <v>415.23</v>
      </c>
    </row>
    <row r="642" spans="1:2" x14ac:dyDescent="0.4">
      <c r="A642" s="5">
        <v>45064</v>
      </c>
      <c r="B642" s="9">
        <v>419.23</v>
      </c>
    </row>
    <row r="643" spans="1:2" x14ac:dyDescent="0.4">
      <c r="A643" s="4">
        <v>45065</v>
      </c>
      <c r="B643" s="8">
        <v>418.62</v>
      </c>
    </row>
    <row r="644" spans="1:2" x14ac:dyDescent="0.4">
      <c r="A644" s="5">
        <v>45068</v>
      </c>
      <c r="B644" s="9">
        <v>418.79</v>
      </c>
    </row>
    <row r="645" spans="1:2" x14ac:dyDescent="0.4">
      <c r="A645" s="4">
        <v>45069</v>
      </c>
      <c r="B645" s="8">
        <v>414.09</v>
      </c>
    </row>
    <row r="646" spans="1:2" x14ac:dyDescent="0.4">
      <c r="A646" s="5">
        <v>45070</v>
      </c>
      <c r="B646" s="9">
        <v>411.09</v>
      </c>
    </row>
    <row r="647" spans="1:2" x14ac:dyDescent="0.4">
      <c r="A647" s="4">
        <v>45071</v>
      </c>
      <c r="B647" s="8">
        <v>414.65</v>
      </c>
    </row>
    <row r="648" spans="1:2" x14ac:dyDescent="0.4">
      <c r="A648" s="5">
        <v>45072</v>
      </c>
      <c r="B648" s="9">
        <v>420.02</v>
      </c>
    </row>
    <row r="649" spans="1:2" x14ac:dyDescent="0.4">
      <c r="A649" s="4">
        <v>45076</v>
      </c>
      <c r="B649" s="8">
        <v>420.18</v>
      </c>
    </row>
    <row r="650" spans="1:2" x14ac:dyDescent="0.4">
      <c r="A650" s="5">
        <v>45077</v>
      </c>
      <c r="B650" s="9">
        <v>417.85</v>
      </c>
    </row>
    <row r="651" spans="1:2" x14ac:dyDescent="0.4">
      <c r="A651" s="4">
        <v>45078</v>
      </c>
      <c r="B651" s="8">
        <v>421.82</v>
      </c>
    </row>
    <row r="652" spans="1:2" x14ac:dyDescent="0.4">
      <c r="A652" s="5">
        <v>45079</v>
      </c>
      <c r="B652" s="9">
        <v>427.92</v>
      </c>
    </row>
    <row r="653" spans="1:2" x14ac:dyDescent="0.4">
      <c r="A653" s="4">
        <v>45082</v>
      </c>
      <c r="B653" s="8">
        <v>427.1</v>
      </c>
    </row>
    <row r="654" spans="1:2" x14ac:dyDescent="0.4">
      <c r="A654" s="5">
        <v>45083</v>
      </c>
      <c r="B654" s="9">
        <v>428.03</v>
      </c>
    </row>
    <row r="655" spans="1:2" x14ac:dyDescent="0.4">
      <c r="A655" s="4">
        <v>45084</v>
      </c>
      <c r="B655" s="8">
        <v>426.55</v>
      </c>
    </row>
    <row r="656" spans="1:2" x14ac:dyDescent="0.4">
      <c r="A656" s="5">
        <v>45085</v>
      </c>
      <c r="B656" s="9">
        <v>429.13</v>
      </c>
    </row>
    <row r="657" spans="1:2" x14ac:dyDescent="0.4">
      <c r="A657" s="4">
        <v>45086</v>
      </c>
      <c r="B657" s="8">
        <v>429.9</v>
      </c>
    </row>
    <row r="658" spans="1:2" x14ac:dyDescent="0.4">
      <c r="A658" s="5">
        <v>45089</v>
      </c>
      <c r="B658" s="9">
        <v>433.8</v>
      </c>
    </row>
    <row r="659" spans="1:2" x14ac:dyDescent="0.4">
      <c r="A659" s="4">
        <v>45090</v>
      </c>
      <c r="B659" s="8">
        <v>436.66</v>
      </c>
    </row>
    <row r="660" spans="1:2" x14ac:dyDescent="0.4">
      <c r="A660" s="5">
        <v>45091</v>
      </c>
      <c r="B660" s="9">
        <v>437.18</v>
      </c>
    </row>
    <row r="661" spans="1:2" x14ac:dyDescent="0.4">
      <c r="A661" s="4">
        <v>45092</v>
      </c>
      <c r="B661" s="8">
        <v>442.6</v>
      </c>
    </row>
    <row r="662" spans="1:2" x14ac:dyDescent="0.4">
      <c r="A662" s="5">
        <v>45093</v>
      </c>
      <c r="B662" s="9">
        <v>439.46</v>
      </c>
    </row>
    <row r="663" spans="1:2" x14ac:dyDescent="0.4">
      <c r="A663" s="4">
        <v>45097</v>
      </c>
      <c r="B663" s="8">
        <v>437.18</v>
      </c>
    </row>
    <row r="664" spans="1:2" x14ac:dyDescent="0.4">
      <c r="A664" s="5">
        <v>45098</v>
      </c>
      <c r="B664" s="9">
        <v>434.94</v>
      </c>
    </row>
    <row r="665" spans="1:2" x14ac:dyDescent="0.4">
      <c r="A665" s="4">
        <v>45099</v>
      </c>
      <c r="B665" s="8">
        <v>436.51</v>
      </c>
    </row>
    <row r="666" spans="1:2" x14ac:dyDescent="0.4">
      <c r="A666" s="5">
        <v>45100</v>
      </c>
      <c r="B666" s="9">
        <v>433.21</v>
      </c>
    </row>
    <row r="667" spans="1:2" x14ac:dyDescent="0.4">
      <c r="A667" s="4">
        <v>45103</v>
      </c>
      <c r="B667" s="8">
        <v>431.44</v>
      </c>
    </row>
    <row r="668" spans="1:2" x14ac:dyDescent="0.4">
      <c r="A668" s="5">
        <v>45104</v>
      </c>
      <c r="B668" s="9">
        <v>436.17</v>
      </c>
    </row>
    <row r="669" spans="1:2" x14ac:dyDescent="0.4">
      <c r="A669" s="4">
        <v>45105</v>
      </c>
      <c r="B669" s="8">
        <v>436.39</v>
      </c>
    </row>
    <row r="670" spans="1:2" x14ac:dyDescent="0.4">
      <c r="A670" s="5">
        <v>45106</v>
      </c>
      <c r="B670" s="9">
        <v>438.11</v>
      </c>
    </row>
    <row r="671" spans="1:2" x14ac:dyDescent="0.4">
      <c r="A671" s="4">
        <v>45107</v>
      </c>
      <c r="B671" s="8">
        <v>443.28</v>
      </c>
    </row>
    <row r="672" spans="1:2" x14ac:dyDescent="0.4">
      <c r="A672" s="5">
        <v>45110</v>
      </c>
      <c r="B672" s="9">
        <v>443.79</v>
      </c>
    </row>
    <row r="673" spans="1:2" x14ac:dyDescent="0.4">
      <c r="A673" s="4">
        <v>45112</v>
      </c>
      <c r="B673" s="8">
        <v>443.13</v>
      </c>
    </row>
    <row r="674" spans="1:2" x14ac:dyDescent="0.4">
      <c r="A674" s="5">
        <v>45113</v>
      </c>
      <c r="B674" s="9">
        <v>439.66</v>
      </c>
    </row>
    <row r="675" spans="1:2" x14ac:dyDescent="0.4">
      <c r="A675" s="4">
        <v>45114</v>
      </c>
      <c r="B675" s="8">
        <v>438.55</v>
      </c>
    </row>
    <row r="676" spans="1:2" x14ac:dyDescent="0.4">
      <c r="A676" s="5">
        <v>45117</v>
      </c>
      <c r="B676" s="9">
        <v>439.66</v>
      </c>
    </row>
    <row r="677" spans="1:2" x14ac:dyDescent="0.4">
      <c r="A677" s="4">
        <v>45118</v>
      </c>
      <c r="B677" s="8">
        <v>442.46</v>
      </c>
    </row>
    <row r="678" spans="1:2" x14ac:dyDescent="0.4">
      <c r="A678" s="5">
        <v>45119</v>
      </c>
      <c r="B678" s="9">
        <v>446.02</v>
      </c>
    </row>
    <row r="679" spans="1:2" x14ac:dyDescent="0.4">
      <c r="A679" s="4">
        <v>45120</v>
      </c>
      <c r="B679" s="8">
        <v>449.56</v>
      </c>
    </row>
    <row r="680" spans="1:2" x14ac:dyDescent="0.4">
      <c r="A680" s="5">
        <v>45121</v>
      </c>
      <c r="B680" s="9">
        <v>449.28</v>
      </c>
    </row>
    <row r="681" spans="1:2" x14ac:dyDescent="0.4">
      <c r="A681" s="4">
        <v>45124</v>
      </c>
      <c r="B681" s="8">
        <v>450.84</v>
      </c>
    </row>
    <row r="682" spans="1:2" x14ac:dyDescent="0.4">
      <c r="A682" s="5">
        <v>45125</v>
      </c>
      <c r="B682" s="9">
        <v>454.19</v>
      </c>
    </row>
    <row r="683" spans="1:2" x14ac:dyDescent="0.4">
      <c r="A683" s="4">
        <v>45126</v>
      </c>
      <c r="B683" s="8">
        <v>455.2</v>
      </c>
    </row>
    <row r="684" spans="1:2" x14ac:dyDescent="0.4">
      <c r="A684" s="5">
        <v>45127</v>
      </c>
      <c r="B684" s="9">
        <v>452.18</v>
      </c>
    </row>
    <row r="685" spans="1:2" x14ac:dyDescent="0.4">
      <c r="A685" s="4">
        <v>45128</v>
      </c>
      <c r="B685" s="8">
        <v>452.18</v>
      </c>
    </row>
    <row r="686" spans="1:2" x14ac:dyDescent="0.4">
      <c r="A686" s="5">
        <v>45131</v>
      </c>
      <c r="B686" s="9">
        <v>454.2</v>
      </c>
    </row>
    <row r="687" spans="1:2" x14ac:dyDescent="0.4">
      <c r="A687" s="4">
        <v>45132</v>
      </c>
      <c r="B687" s="8">
        <v>455.44</v>
      </c>
    </row>
    <row r="688" spans="1:2" x14ac:dyDescent="0.4">
      <c r="A688" s="5">
        <v>45133</v>
      </c>
      <c r="B688" s="9">
        <v>455.51</v>
      </c>
    </row>
    <row r="689" spans="1:2" x14ac:dyDescent="0.4">
      <c r="A689" s="4">
        <v>45134</v>
      </c>
      <c r="B689" s="8">
        <v>452.49</v>
      </c>
    </row>
    <row r="690" spans="1:2" x14ac:dyDescent="0.4">
      <c r="A690" s="5">
        <v>45135</v>
      </c>
      <c r="B690" s="9">
        <v>456.92</v>
      </c>
    </row>
    <row r="691" spans="1:2" x14ac:dyDescent="0.4">
      <c r="A691" s="4">
        <v>45138</v>
      </c>
      <c r="B691" s="8">
        <v>457.79</v>
      </c>
    </row>
    <row r="692" spans="1:2" x14ac:dyDescent="0.4">
      <c r="A692" s="5">
        <v>45139</v>
      </c>
      <c r="B692" s="9">
        <v>456.48</v>
      </c>
    </row>
    <row r="693" spans="1:2" x14ac:dyDescent="0.4">
      <c r="A693" s="4">
        <v>45140</v>
      </c>
      <c r="B693" s="8">
        <v>450.13</v>
      </c>
    </row>
    <row r="694" spans="1:2" x14ac:dyDescent="0.4">
      <c r="A694" s="5">
        <v>45141</v>
      </c>
      <c r="B694" s="9">
        <v>448.84</v>
      </c>
    </row>
    <row r="695" spans="1:2" x14ac:dyDescent="0.4">
      <c r="A695" s="4">
        <v>45142</v>
      </c>
      <c r="B695" s="8">
        <v>446.81</v>
      </c>
    </row>
    <row r="696" spans="1:2" x14ac:dyDescent="0.4">
      <c r="A696" s="5">
        <v>45145</v>
      </c>
      <c r="B696" s="9">
        <v>450.71</v>
      </c>
    </row>
    <row r="697" spans="1:2" x14ac:dyDescent="0.4">
      <c r="A697" s="4">
        <v>45146</v>
      </c>
      <c r="B697" s="8">
        <v>448.75</v>
      </c>
    </row>
    <row r="698" spans="1:2" x14ac:dyDescent="0.4">
      <c r="A698" s="5">
        <v>45147</v>
      </c>
      <c r="B698" s="9">
        <v>445.75</v>
      </c>
    </row>
    <row r="699" spans="1:2" x14ac:dyDescent="0.4">
      <c r="A699" s="4">
        <v>45148</v>
      </c>
      <c r="B699" s="8">
        <v>445.91</v>
      </c>
    </row>
    <row r="700" spans="1:2" x14ac:dyDescent="0.4">
      <c r="A700" s="5">
        <v>45149</v>
      </c>
      <c r="B700" s="9">
        <v>445.65</v>
      </c>
    </row>
    <row r="701" spans="1:2" x14ac:dyDescent="0.4">
      <c r="A701" s="4">
        <v>45152</v>
      </c>
      <c r="B701" s="8">
        <v>448.11</v>
      </c>
    </row>
    <row r="702" spans="1:2" x14ac:dyDescent="0.4">
      <c r="A702" s="5">
        <v>45153</v>
      </c>
      <c r="B702" s="9">
        <v>442.89</v>
      </c>
    </row>
    <row r="703" spans="1:2" x14ac:dyDescent="0.4">
      <c r="A703" s="4">
        <v>45154</v>
      </c>
      <c r="B703" s="8">
        <v>439.64</v>
      </c>
    </row>
    <row r="704" spans="1:2" x14ac:dyDescent="0.4">
      <c r="A704" s="5">
        <v>45155</v>
      </c>
      <c r="B704" s="9">
        <v>436.29</v>
      </c>
    </row>
    <row r="705" spans="1:2" x14ac:dyDescent="0.4">
      <c r="A705" s="4">
        <v>45156</v>
      </c>
      <c r="B705" s="8">
        <v>436.5</v>
      </c>
    </row>
    <row r="706" spans="1:2" x14ac:dyDescent="0.4">
      <c r="A706" s="5">
        <v>45159</v>
      </c>
      <c r="B706" s="9">
        <v>439.34</v>
      </c>
    </row>
    <row r="707" spans="1:2" x14ac:dyDescent="0.4">
      <c r="A707" s="4">
        <v>45160</v>
      </c>
      <c r="B707" s="8">
        <v>438.15</v>
      </c>
    </row>
    <row r="708" spans="1:2" x14ac:dyDescent="0.4">
      <c r="A708" s="5">
        <v>45161</v>
      </c>
      <c r="B708" s="9">
        <v>443.03</v>
      </c>
    </row>
    <row r="709" spans="1:2" x14ac:dyDescent="0.4">
      <c r="A709" s="4">
        <v>45162</v>
      </c>
      <c r="B709" s="8">
        <v>436.89</v>
      </c>
    </row>
    <row r="710" spans="1:2" x14ac:dyDescent="0.4">
      <c r="A710" s="5">
        <v>45163</v>
      </c>
      <c r="B710" s="9">
        <v>439.97</v>
      </c>
    </row>
    <row r="711" spans="1:2" x14ac:dyDescent="0.4">
      <c r="A711" s="4">
        <v>45166</v>
      </c>
      <c r="B711" s="8">
        <v>442.76</v>
      </c>
    </row>
    <row r="712" spans="1:2" x14ac:dyDescent="0.4">
      <c r="A712" s="5">
        <v>45167</v>
      </c>
      <c r="B712" s="9">
        <v>449.16</v>
      </c>
    </row>
    <row r="713" spans="1:2" x14ac:dyDescent="0.4">
      <c r="A713" s="4">
        <v>45168</v>
      </c>
      <c r="B713" s="8">
        <v>451.01</v>
      </c>
    </row>
    <row r="714" spans="1:2" x14ac:dyDescent="0.4">
      <c r="A714" s="5">
        <v>45169</v>
      </c>
      <c r="B714" s="9">
        <v>450.35</v>
      </c>
    </row>
    <row r="715" spans="1:2" x14ac:dyDescent="0.4">
      <c r="A715" s="4">
        <v>45170</v>
      </c>
      <c r="B715" s="8">
        <v>451.19</v>
      </c>
    </row>
    <row r="716" spans="1:2" x14ac:dyDescent="0.4">
      <c r="A716" s="5">
        <v>45174</v>
      </c>
      <c r="B716" s="9">
        <v>449.24</v>
      </c>
    </row>
    <row r="717" spans="1:2" x14ac:dyDescent="0.4">
      <c r="A717" s="4">
        <v>45175</v>
      </c>
      <c r="B717" s="8">
        <v>446.22</v>
      </c>
    </row>
    <row r="718" spans="1:2" x14ac:dyDescent="0.4">
      <c r="A718" s="5">
        <v>45176</v>
      </c>
      <c r="B718" s="9">
        <v>444.85</v>
      </c>
    </row>
    <row r="719" spans="1:2" x14ac:dyDescent="0.4">
      <c r="A719" s="4">
        <v>45177</v>
      </c>
      <c r="B719" s="8">
        <v>445.52</v>
      </c>
    </row>
    <row r="720" spans="1:2" x14ac:dyDescent="0.4">
      <c r="A720" s="5">
        <v>45180</v>
      </c>
      <c r="B720" s="9">
        <v>448.45</v>
      </c>
    </row>
    <row r="721" spans="1:2" x14ac:dyDescent="0.4">
      <c r="A721" s="4">
        <v>45181</v>
      </c>
      <c r="B721" s="8">
        <v>445.99</v>
      </c>
    </row>
    <row r="722" spans="1:2" x14ac:dyDescent="0.4">
      <c r="A722" s="5">
        <v>45182</v>
      </c>
      <c r="B722" s="9">
        <v>446.51</v>
      </c>
    </row>
    <row r="723" spans="1:2" x14ac:dyDescent="0.4">
      <c r="A723" s="4">
        <v>45183</v>
      </c>
      <c r="B723" s="8">
        <v>450.36</v>
      </c>
    </row>
    <row r="724" spans="1:2" x14ac:dyDescent="0.4">
      <c r="A724" s="5">
        <v>45184</v>
      </c>
      <c r="B724" s="9">
        <v>443.37</v>
      </c>
    </row>
    <row r="725" spans="1:2" x14ac:dyDescent="0.4">
      <c r="A725" s="4">
        <v>45187</v>
      </c>
      <c r="B725" s="8">
        <v>443.63</v>
      </c>
    </row>
    <row r="726" spans="1:2" x14ac:dyDescent="0.4">
      <c r="A726" s="5">
        <v>45188</v>
      </c>
      <c r="B726" s="9">
        <v>442.71</v>
      </c>
    </row>
    <row r="727" spans="1:2" x14ac:dyDescent="0.4">
      <c r="A727" s="4">
        <v>45189</v>
      </c>
      <c r="B727" s="8">
        <v>438.64</v>
      </c>
    </row>
    <row r="728" spans="1:2" x14ac:dyDescent="0.4">
      <c r="A728" s="5">
        <v>45190</v>
      </c>
      <c r="B728" s="9">
        <v>431.39</v>
      </c>
    </row>
    <row r="729" spans="1:2" x14ac:dyDescent="0.4">
      <c r="A729" s="4">
        <v>45191</v>
      </c>
      <c r="B729" s="8">
        <v>430.42</v>
      </c>
    </row>
    <row r="730" spans="1:2" x14ac:dyDescent="0.4">
      <c r="A730" s="5">
        <v>45194</v>
      </c>
      <c r="B730" s="9">
        <v>432.23</v>
      </c>
    </row>
    <row r="731" spans="1:2" x14ac:dyDescent="0.4">
      <c r="A731" s="4">
        <v>45195</v>
      </c>
      <c r="B731" s="8">
        <v>425.88</v>
      </c>
    </row>
    <row r="732" spans="1:2" x14ac:dyDescent="0.4">
      <c r="A732" s="5">
        <v>45196</v>
      </c>
      <c r="B732" s="9">
        <v>426.05</v>
      </c>
    </row>
    <row r="733" spans="1:2" x14ac:dyDescent="0.4">
      <c r="A733" s="4">
        <v>45197</v>
      </c>
      <c r="B733" s="8">
        <v>428.52</v>
      </c>
    </row>
    <row r="734" spans="1:2" x14ac:dyDescent="0.4">
      <c r="A734" s="5">
        <v>45198</v>
      </c>
      <c r="B734" s="9">
        <v>427.48</v>
      </c>
    </row>
    <row r="735" spans="1:2" x14ac:dyDescent="0.4">
      <c r="A735" s="4">
        <v>45201</v>
      </c>
      <c r="B735" s="8">
        <v>427.31</v>
      </c>
    </row>
    <row r="736" spans="1:2" x14ac:dyDescent="0.4">
      <c r="A736" s="5">
        <v>45202</v>
      </c>
      <c r="B736" s="9">
        <v>421.59</v>
      </c>
    </row>
    <row r="737" spans="1:2" x14ac:dyDescent="0.4">
      <c r="A737" s="4">
        <v>45203</v>
      </c>
      <c r="B737" s="8">
        <v>424.66</v>
      </c>
    </row>
    <row r="738" spans="1:2" x14ac:dyDescent="0.4">
      <c r="A738" s="5">
        <v>45204</v>
      </c>
      <c r="B738" s="9">
        <v>424.5</v>
      </c>
    </row>
    <row r="739" spans="1:2" x14ac:dyDescent="0.4">
      <c r="A739" s="4">
        <v>45205</v>
      </c>
      <c r="B739" s="8">
        <v>429.54</v>
      </c>
    </row>
    <row r="740" spans="1:2" x14ac:dyDescent="0.4">
      <c r="A740" s="5">
        <v>45208</v>
      </c>
      <c r="B740" s="9">
        <v>432.29</v>
      </c>
    </row>
    <row r="741" spans="1:2" x14ac:dyDescent="0.4">
      <c r="A741" s="4">
        <v>45209</v>
      </c>
      <c r="B741" s="8">
        <v>434.54</v>
      </c>
    </row>
    <row r="742" spans="1:2" x14ac:dyDescent="0.4">
      <c r="A742" s="5">
        <v>45210</v>
      </c>
      <c r="B742" s="9">
        <v>436.32</v>
      </c>
    </row>
    <row r="743" spans="1:2" x14ac:dyDescent="0.4">
      <c r="A743" s="4">
        <v>45211</v>
      </c>
      <c r="B743" s="8">
        <v>433.66</v>
      </c>
    </row>
    <row r="744" spans="1:2" x14ac:dyDescent="0.4">
      <c r="A744" s="5">
        <v>45212</v>
      </c>
      <c r="B744" s="9">
        <v>431.5</v>
      </c>
    </row>
    <row r="745" spans="1:2" x14ac:dyDescent="0.4">
      <c r="A745" s="4">
        <v>45215</v>
      </c>
      <c r="B745" s="8">
        <v>436.04</v>
      </c>
    </row>
    <row r="746" spans="1:2" x14ac:dyDescent="0.4">
      <c r="A746" s="5">
        <v>45216</v>
      </c>
      <c r="B746" s="9">
        <v>436.02</v>
      </c>
    </row>
    <row r="747" spans="1:2" x14ac:dyDescent="0.4">
      <c r="A747" s="4">
        <v>45217</v>
      </c>
      <c r="B747" s="8">
        <v>430.21</v>
      </c>
    </row>
    <row r="748" spans="1:2" x14ac:dyDescent="0.4">
      <c r="A748" s="5">
        <v>45218</v>
      </c>
      <c r="B748" s="9">
        <v>426.43</v>
      </c>
    </row>
    <row r="749" spans="1:2" x14ac:dyDescent="0.4">
      <c r="A749" s="4">
        <v>45219</v>
      </c>
      <c r="B749" s="8">
        <v>421.19</v>
      </c>
    </row>
    <row r="750" spans="1:2" x14ac:dyDescent="0.4">
      <c r="A750" s="5">
        <v>45222</v>
      </c>
      <c r="B750" s="9">
        <v>420.46</v>
      </c>
    </row>
    <row r="751" spans="1:2" x14ac:dyDescent="0.4">
      <c r="A751" s="4">
        <v>45223</v>
      </c>
      <c r="B751" s="8">
        <v>423.63</v>
      </c>
    </row>
    <row r="752" spans="1:2" x14ac:dyDescent="0.4">
      <c r="A752" s="5">
        <v>45224</v>
      </c>
      <c r="B752" s="9">
        <v>417.55</v>
      </c>
    </row>
    <row r="753" spans="1:2" x14ac:dyDescent="0.4">
      <c r="A753" s="4">
        <v>45225</v>
      </c>
      <c r="B753" s="8">
        <v>412.55</v>
      </c>
    </row>
    <row r="754" spans="1:2" x14ac:dyDescent="0.4">
      <c r="A754" s="5">
        <v>45226</v>
      </c>
      <c r="B754" s="9">
        <v>410.68</v>
      </c>
    </row>
    <row r="755" spans="1:2" x14ac:dyDescent="0.4">
      <c r="A755" s="4">
        <v>45229</v>
      </c>
      <c r="B755" s="8">
        <v>415.59</v>
      </c>
    </row>
    <row r="756" spans="1:2" x14ac:dyDescent="0.4">
      <c r="A756" s="5">
        <v>45230</v>
      </c>
      <c r="B756" s="9">
        <v>418.2</v>
      </c>
    </row>
    <row r="757" spans="1:2" x14ac:dyDescent="0.4">
      <c r="A757" s="4">
        <v>45231</v>
      </c>
      <c r="B757" s="8">
        <v>422.66</v>
      </c>
    </row>
    <row r="758" spans="1:2" x14ac:dyDescent="0.4">
      <c r="A758" s="5">
        <v>45232</v>
      </c>
      <c r="B758" s="9">
        <v>430.76</v>
      </c>
    </row>
    <row r="759" spans="1:2" x14ac:dyDescent="0.4">
      <c r="A759" s="4">
        <v>45233</v>
      </c>
      <c r="B759" s="8">
        <v>434.69</v>
      </c>
    </row>
    <row r="760" spans="1:2" x14ac:dyDescent="0.4">
      <c r="A760" s="5">
        <v>45236</v>
      </c>
      <c r="B760" s="9">
        <v>435.69</v>
      </c>
    </row>
    <row r="761" spans="1:2" x14ac:dyDescent="0.4">
      <c r="A761" s="4">
        <v>45237</v>
      </c>
      <c r="B761" s="8">
        <v>436.93</v>
      </c>
    </row>
    <row r="762" spans="1:2" x14ac:dyDescent="0.4">
      <c r="A762" s="5">
        <v>45238</v>
      </c>
      <c r="B762" s="9">
        <v>437.25</v>
      </c>
    </row>
    <row r="763" spans="1:2" x14ac:dyDescent="0.4">
      <c r="A763" s="4">
        <v>45239</v>
      </c>
      <c r="B763" s="8">
        <v>433.84</v>
      </c>
    </row>
    <row r="764" spans="1:2" x14ac:dyDescent="0.4">
      <c r="A764" s="5">
        <v>45240</v>
      </c>
      <c r="B764" s="9">
        <v>440.61</v>
      </c>
    </row>
    <row r="765" spans="1:2" x14ac:dyDescent="0.4">
      <c r="A765" s="4">
        <v>45243</v>
      </c>
      <c r="B765" s="8">
        <v>440.19</v>
      </c>
    </row>
    <row r="766" spans="1:2" x14ac:dyDescent="0.4">
      <c r="A766" s="5">
        <v>45244</v>
      </c>
      <c r="B766" s="9">
        <v>448.73</v>
      </c>
    </row>
    <row r="767" spans="1:2" x14ac:dyDescent="0.4">
      <c r="A767" s="4">
        <v>45245</v>
      </c>
      <c r="B767" s="8">
        <v>449.68</v>
      </c>
    </row>
    <row r="768" spans="1:2" x14ac:dyDescent="0.4">
      <c r="A768" s="5">
        <v>45246</v>
      </c>
      <c r="B768" s="9">
        <v>450.23</v>
      </c>
    </row>
    <row r="769" spans="1:2" x14ac:dyDescent="0.4">
      <c r="A769" s="4">
        <v>45247</v>
      </c>
      <c r="B769" s="8">
        <v>450.79</v>
      </c>
    </row>
    <row r="770" spans="1:2" x14ac:dyDescent="0.4">
      <c r="A770" s="5">
        <v>45250</v>
      </c>
      <c r="B770" s="9">
        <v>454.26</v>
      </c>
    </row>
    <row r="771" spans="1:2" x14ac:dyDescent="0.4">
      <c r="A771" s="4">
        <v>45251</v>
      </c>
      <c r="B771" s="8">
        <v>453.27</v>
      </c>
    </row>
    <row r="772" spans="1:2" x14ac:dyDescent="0.4">
      <c r="A772" s="5">
        <v>45252</v>
      </c>
      <c r="B772" s="9">
        <v>455.02</v>
      </c>
    </row>
    <row r="773" spans="1:2" x14ac:dyDescent="0.4">
      <c r="A773" s="4">
        <v>45254</v>
      </c>
      <c r="B773" s="8">
        <v>455.3</v>
      </c>
    </row>
    <row r="774" spans="1:2" x14ac:dyDescent="0.4">
      <c r="A774" s="5">
        <v>45257</v>
      </c>
      <c r="B774" s="9">
        <v>454.48</v>
      </c>
    </row>
    <row r="775" spans="1:2" x14ac:dyDescent="0.4">
      <c r="A775" s="4">
        <v>45258</v>
      </c>
      <c r="B775" s="8">
        <v>454.93</v>
      </c>
    </row>
    <row r="776" spans="1:2" x14ac:dyDescent="0.4">
      <c r="A776" s="5">
        <v>45259</v>
      </c>
      <c r="B776" s="9">
        <v>454.61</v>
      </c>
    </row>
    <row r="777" spans="1:2" x14ac:dyDescent="0.4">
      <c r="A777" s="4">
        <v>45260</v>
      </c>
      <c r="B777" s="8">
        <v>456.4</v>
      </c>
    </row>
    <row r="778" spans="1:2" x14ac:dyDescent="0.4">
      <c r="A778" s="5">
        <v>45261</v>
      </c>
      <c r="B778" s="9">
        <v>459.1</v>
      </c>
    </row>
    <row r="779" spans="1:2" x14ac:dyDescent="0.4">
      <c r="A779" s="4">
        <v>45264</v>
      </c>
      <c r="B779" s="8">
        <v>456.69</v>
      </c>
    </row>
    <row r="780" spans="1:2" x14ac:dyDescent="0.4">
      <c r="A780" s="5">
        <v>45265</v>
      </c>
      <c r="B780" s="9">
        <v>456.6</v>
      </c>
    </row>
    <row r="781" spans="1:2" x14ac:dyDescent="0.4">
      <c r="A781" s="4">
        <v>45266</v>
      </c>
      <c r="B781" s="8">
        <v>454.76</v>
      </c>
    </row>
    <row r="782" spans="1:2" x14ac:dyDescent="0.4">
      <c r="A782" s="5">
        <v>45267</v>
      </c>
      <c r="B782" s="9">
        <v>458.23</v>
      </c>
    </row>
    <row r="783" spans="1:2" x14ac:dyDescent="0.4">
      <c r="A783" s="4">
        <v>45268</v>
      </c>
      <c r="B783" s="8">
        <v>460.2</v>
      </c>
    </row>
    <row r="784" spans="1:2" x14ac:dyDescent="0.4">
      <c r="A784" s="5">
        <v>45271</v>
      </c>
      <c r="B784" s="9">
        <v>461.99</v>
      </c>
    </row>
    <row r="785" spans="1:2" x14ac:dyDescent="0.4">
      <c r="A785" s="4">
        <v>45272</v>
      </c>
      <c r="B785" s="8">
        <v>464.1</v>
      </c>
    </row>
    <row r="786" spans="1:2" x14ac:dyDescent="0.4">
      <c r="A786" s="5">
        <v>45273</v>
      </c>
      <c r="B786" s="9">
        <v>470.5</v>
      </c>
    </row>
    <row r="787" spans="1:2" x14ac:dyDescent="0.4">
      <c r="A787" s="4">
        <v>45274</v>
      </c>
      <c r="B787" s="8">
        <v>472.01</v>
      </c>
    </row>
    <row r="788" spans="1:2" x14ac:dyDescent="0.4">
      <c r="A788" s="5">
        <v>45275</v>
      </c>
      <c r="B788" s="9">
        <v>469.33</v>
      </c>
    </row>
    <row r="789" spans="1:2" x14ac:dyDescent="0.4">
      <c r="A789" s="4">
        <v>45278</v>
      </c>
      <c r="B789" s="8">
        <v>471.97</v>
      </c>
    </row>
    <row r="790" spans="1:2" x14ac:dyDescent="0.4">
      <c r="A790" s="5">
        <v>45279</v>
      </c>
      <c r="B790" s="9">
        <v>474.84</v>
      </c>
    </row>
    <row r="791" spans="1:2" x14ac:dyDescent="0.4">
      <c r="A791" s="4">
        <v>45280</v>
      </c>
      <c r="B791" s="8">
        <v>468.26</v>
      </c>
    </row>
    <row r="792" spans="1:2" x14ac:dyDescent="0.4">
      <c r="A792" s="5">
        <v>45281</v>
      </c>
      <c r="B792" s="9">
        <v>472.7</v>
      </c>
    </row>
    <row r="793" spans="1:2" x14ac:dyDescent="0.4">
      <c r="A793" s="4">
        <v>45282</v>
      </c>
      <c r="B793" s="8">
        <v>473.65</v>
      </c>
    </row>
    <row r="794" spans="1:2" x14ac:dyDescent="0.4">
      <c r="A794" s="5">
        <v>45286</v>
      </c>
      <c r="B794" s="9">
        <v>475.65</v>
      </c>
    </row>
    <row r="795" spans="1:2" x14ac:dyDescent="0.4">
      <c r="A795" s="4">
        <v>45287</v>
      </c>
      <c r="B795" s="8">
        <v>476.51</v>
      </c>
    </row>
    <row r="796" spans="1:2" x14ac:dyDescent="0.4">
      <c r="A796" s="5">
        <v>45288</v>
      </c>
      <c r="B796" s="9">
        <v>476.69</v>
      </c>
    </row>
    <row r="797" spans="1:2" x14ac:dyDescent="0.4">
      <c r="A797" s="4">
        <v>45289</v>
      </c>
      <c r="B797" s="8">
        <v>475.31</v>
      </c>
    </row>
    <row r="798" spans="1:2" x14ac:dyDescent="0.4">
      <c r="A798" s="5">
        <v>45293</v>
      </c>
      <c r="B798" s="9">
        <v>472.65</v>
      </c>
    </row>
    <row r="799" spans="1:2" x14ac:dyDescent="0.4">
      <c r="A799" s="4">
        <v>45294</v>
      </c>
      <c r="B799" s="8">
        <v>468.79</v>
      </c>
    </row>
    <row r="800" spans="1:2" x14ac:dyDescent="0.4">
      <c r="A800" s="5">
        <v>45295</v>
      </c>
      <c r="B800" s="9">
        <v>467.28</v>
      </c>
    </row>
    <row r="801" spans="1:2" x14ac:dyDescent="0.4">
      <c r="A801" s="4">
        <v>45296</v>
      </c>
      <c r="B801" s="8">
        <v>467.92</v>
      </c>
    </row>
    <row r="802" spans="1:2" x14ac:dyDescent="0.4">
      <c r="A802" s="5">
        <v>45299</v>
      </c>
      <c r="B802" s="9">
        <v>474.6</v>
      </c>
    </row>
    <row r="803" spans="1:2" x14ac:dyDescent="0.4">
      <c r="A803" s="4">
        <v>45300</v>
      </c>
      <c r="B803" s="8">
        <v>473.88</v>
      </c>
    </row>
    <row r="804" spans="1:2" x14ac:dyDescent="0.4">
      <c r="A804" s="5">
        <v>45301</v>
      </c>
      <c r="B804" s="9">
        <v>476.56</v>
      </c>
    </row>
    <row r="805" spans="1:2" x14ac:dyDescent="0.4">
      <c r="A805" s="4">
        <v>45302</v>
      </c>
      <c r="B805" s="8">
        <v>476.35</v>
      </c>
    </row>
    <row r="806" spans="1:2" x14ac:dyDescent="0.4">
      <c r="A806" s="5">
        <v>45303</v>
      </c>
      <c r="B806" s="9">
        <v>476.68</v>
      </c>
    </row>
    <row r="807" spans="1:2" x14ac:dyDescent="0.4">
      <c r="A807" s="4">
        <v>45307</v>
      </c>
      <c r="B807" s="8">
        <v>474.93</v>
      </c>
    </row>
    <row r="808" spans="1:2" x14ac:dyDescent="0.4">
      <c r="A808" s="5">
        <v>45308</v>
      </c>
      <c r="B808" s="9">
        <v>472.29</v>
      </c>
    </row>
    <row r="809" spans="1:2" x14ac:dyDescent="0.4">
      <c r="A809" s="4">
        <v>45309</v>
      </c>
      <c r="B809" s="8">
        <v>476.49</v>
      </c>
    </row>
    <row r="810" spans="1:2" x14ac:dyDescent="0.4">
      <c r="A810" s="5">
        <v>45310</v>
      </c>
      <c r="B810" s="9">
        <v>482.43</v>
      </c>
    </row>
    <row r="811" spans="1:2" x14ac:dyDescent="0.4">
      <c r="A811" s="4">
        <v>45313</v>
      </c>
      <c r="B811" s="8">
        <v>483.45</v>
      </c>
    </row>
    <row r="812" spans="1:2" x14ac:dyDescent="0.4">
      <c r="A812" s="5">
        <v>45314</v>
      </c>
      <c r="B812" s="9">
        <v>484.86</v>
      </c>
    </row>
    <row r="813" spans="1:2" x14ac:dyDescent="0.4">
      <c r="A813" s="4">
        <v>45315</v>
      </c>
      <c r="B813" s="8">
        <v>485.39</v>
      </c>
    </row>
    <row r="814" spans="1:2" x14ac:dyDescent="0.4">
      <c r="A814" s="5">
        <v>45316</v>
      </c>
      <c r="B814" s="9">
        <v>488.03</v>
      </c>
    </row>
    <row r="815" spans="1:2" x14ac:dyDescent="0.4">
      <c r="A815" s="4">
        <v>45317</v>
      </c>
      <c r="B815" s="8">
        <v>487.41</v>
      </c>
    </row>
    <row r="816" spans="1:2" x14ac:dyDescent="0.4">
      <c r="A816" s="5">
        <v>45320</v>
      </c>
      <c r="B816" s="9">
        <v>491.27</v>
      </c>
    </row>
    <row r="817" spans="1:2" x14ac:dyDescent="0.4">
      <c r="A817" s="4">
        <v>45321</v>
      </c>
      <c r="B817" s="8">
        <v>490.89</v>
      </c>
    </row>
    <row r="818" spans="1:2" x14ac:dyDescent="0.4">
      <c r="A818" s="5">
        <v>45322</v>
      </c>
      <c r="B818" s="9">
        <v>482.88</v>
      </c>
    </row>
    <row r="819" spans="1:2" x14ac:dyDescent="0.4">
      <c r="A819" s="4">
        <v>45323</v>
      </c>
      <c r="B819" s="8">
        <v>489.2</v>
      </c>
    </row>
    <row r="820" spans="1:2" x14ac:dyDescent="0.4">
      <c r="A820" s="5">
        <v>45324</v>
      </c>
      <c r="B820" s="9">
        <v>494.35</v>
      </c>
    </row>
    <row r="821" spans="1:2" x14ac:dyDescent="0.4">
      <c r="A821" s="4">
        <v>45327</v>
      </c>
      <c r="B821" s="8">
        <v>492.55</v>
      </c>
    </row>
    <row r="822" spans="1:2" x14ac:dyDescent="0.4">
      <c r="A822" s="5">
        <v>45328</v>
      </c>
      <c r="B822" s="9">
        <v>493.98</v>
      </c>
    </row>
    <row r="823" spans="1:2" x14ac:dyDescent="0.4">
      <c r="A823" s="4">
        <v>45329</v>
      </c>
      <c r="B823" s="8">
        <v>498.1</v>
      </c>
    </row>
    <row r="824" spans="1:2" x14ac:dyDescent="0.4">
      <c r="A824" s="5">
        <v>45330</v>
      </c>
      <c r="B824" s="9">
        <v>498.32</v>
      </c>
    </row>
    <row r="825" spans="1:2" x14ac:dyDescent="0.4">
      <c r="A825" s="4">
        <v>45331</v>
      </c>
      <c r="B825" s="8">
        <v>501.2</v>
      </c>
    </row>
    <row r="826" spans="1:2" x14ac:dyDescent="0.4">
      <c r="A826" s="5">
        <v>45334</v>
      </c>
      <c r="B826" s="9">
        <v>500.98</v>
      </c>
    </row>
    <row r="827" spans="1:2" x14ac:dyDescent="0.4">
      <c r="A827" s="4">
        <v>45335</v>
      </c>
      <c r="B827" s="8">
        <v>494.08</v>
      </c>
    </row>
    <row r="828" spans="1:2" x14ac:dyDescent="0.4">
      <c r="A828" s="5">
        <v>45336</v>
      </c>
      <c r="B828" s="9">
        <v>498.57</v>
      </c>
    </row>
    <row r="829" spans="1:2" x14ac:dyDescent="0.4">
      <c r="A829" s="4">
        <v>45337</v>
      </c>
      <c r="B829" s="8">
        <v>502.01</v>
      </c>
    </row>
    <row r="830" spans="1:2" x14ac:dyDescent="0.4">
      <c r="A830" s="5">
        <v>45338</v>
      </c>
      <c r="B830" s="9">
        <v>499.51</v>
      </c>
    </row>
    <row r="831" spans="1:2" x14ac:dyDescent="0.4">
      <c r="A831" s="4">
        <v>45342</v>
      </c>
      <c r="B831" s="8">
        <v>496.76</v>
      </c>
    </row>
    <row r="832" spans="1:2" x14ac:dyDescent="0.4">
      <c r="A832" s="5">
        <v>45343</v>
      </c>
      <c r="B832" s="9">
        <v>497.21</v>
      </c>
    </row>
    <row r="833" spans="1:2" x14ac:dyDescent="0.4">
      <c r="A833" s="4">
        <v>45344</v>
      </c>
      <c r="B833" s="8">
        <v>507.5</v>
      </c>
    </row>
    <row r="834" spans="1:2" x14ac:dyDescent="0.4">
      <c r="A834" s="5">
        <v>45345</v>
      </c>
      <c r="B834" s="9">
        <v>507.85</v>
      </c>
    </row>
    <row r="835" spans="1:2" x14ac:dyDescent="0.4">
      <c r="A835" s="4">
        <v>45348</v>
      </c>
      <c r="B835" s="8">
        <v>505.99</v>
      </c>
    </row>
    <row r="836" spans="1:2" x14ac:dyDescent="0.4">
      <c r="A836" s="5">
        <v>45349</v>
      </c>
      <c r="B836" s="9">
        <v>506.93</v>
      </c>
    </row>
    <row r="837" spans="1:2" x14ac:dyDescent="0.4">
      <c r="A837" s="4">
        <v>45350</v>
      </c>
      <c r="B837" s="8">
        <v>506.26</v>
      </c>
    </row>
    <row r="838" spans="1:2" x14ac:dyDescent="0.4">
      <c r="A838" s="5">
        <v>45351</v>
      </c>
      <c r="B838" s="9">
        <v>508.08</v>
      </c>
    </row>
    <row r="839" spans="1:2" x14ac:dyDescent="0.4">
      <c r="A839" s="4">
        <v>45352</v>
      </c>
      <c r="B839" s="8">
        <v>512.85</v>
      </c>
    </row>
    <row r="840" spans="1:2" x14ac:dyDescent="0.4">
      <c r="A840" s="5">
        <v>45355</v>
      </c>
      <c r="B840" s="9">
        <v>512.29999999999995</v>
      </c>
    </row>
    <row r="841" spans="1:2" x14ac:dyDescent="0.4">
      <c r="A841" s="4">
        <v>45356</v>
      </c>
      <c r="B841" s="8">
        <v>507.18</v>
      </c>
    </row>
    <row r="842" spans="1:2" x14ac:dyDescent="0.4">
      <c r="A842" s="5">
        <v>45357</v>
      </c>
      <c r="B842" s="9">
        <v>509.75</v>
      </c>
    </row>
    <row r="843" spans="1:2" x14ac:dyDescent="0.4">
      <c r="A843" s="4">
        <v>45358</v>
      </c>
      <c r="B843" s="8">
        <v>514.80999999999995</v>
      </c>
    </row>
    <row r="844" spans="1:2" x14ac:dyDescent="0.4">
      <c r="A844" s="5">
        <v>45359</v>
      </c>
      <c r="B844" s="9">
        <v>511.72</v>
      </c>
    </row>
    <row r="845" spans="1:2" x14ac:dyDescent="0.4">
      <c r="A845" s="4">
        <v>45362</v>
      </c>
      <c r="B845" s="8">
        <v>511.28</v>
      </c>
    </row>
    <row r="846" spans="1:2" x14ac:dyDescent="0.4">
      <c r="A846" s="5">
        <v>45363</v>
      </c>
      <c r="B846" s="9">
        <v>516.78</v>
      </c>
    </row>
    <row r="847" spans="1:2" x14ac:dyDescent="0.4">
      <c r="A847" s="4">
        <v>45364</v>
      </c>
      <c r="B847" s="8">
        <v>515.97</v>
      </c>
    </row>
    <row r="848" spans="1:2" x14ac:dyDescent="0.4">
      <c r="A848" s="5">
        <v>45365</v>
      </c>
      <c r="B848" s="9">
        <v>514.95000000000005</v>
      </c>
    </row>
    <row r="849" spans="1:2" x14ac:dyDescent="0.4">
      <c r="A849" s="4">
        <v>45366</v>
      </c>
      <c r="B849" s="8">
        <v>509.83</v>
      </c>
    </row>
    <row r="850" spans="1:2" x14ac:dyDescent="0.4">
      <c r="A850" s="5">
        <v>45369</v>
      </c>
      <c r="B850" s="9">
        <v>512.86</v>
      </c>
    </row>
    <row r="851" spans="1:2" x14ac:dyDescent="0.4">
      <c r="A851" s="4">
        <v>45370</v>
      </c>
      <c r="B851" s="8">
        <v>515.71</v>
      </c>
    </row>
    <row r="852" spans="1:2" x14ac:dyDescent="0.4">
      <c r="A852" s="5">
        <v>45371</v>
      </c>
      <c r="B852" s="9">
        <v>520.48</v>
      </c>
    </row>
    <row r="853" spans="1:2" x14ac:dyDescent="0.4">
      <c r="A853" s="4">
        <v>45372</v>
      </c>
      <c r="B853" s="8">
        <v>522.20000000000005</v>
      </c>
    </row>
    <row r="854" spans="1:2" x14ac:dyDescent="0.4">
      <c r="A854" s="5">
        <v>45373</v>
      </c>
      <c r="B854" s="9">
        <v>521.21</v>
      </c>
    </row>
    <row r="855" spans="1:2" x14ac:dyDescent="0.4">
      <c r="A855" s="4">
        <v>45376</v>
      </c>
      <c r="B855" s="8">
        <v>519.77</v>
      </c>
    </row>
    <row r="856" spans="1:2" x14ac:dyDescent="0.4">
      <c r="A856" s="5">
        <v>45377</v>
      </c>
      <c r="B856" s="9">
        <v>518.80999999999995</v>
      </c>
    </row>
    <row r="857" spans="1:2" x14ac:dyDescent="0.4">
      <c r="A857" s="4">
        <v>45378</v>
      </c>
      <c r="B857" s="8">
        <v>523.16999999999996</v>
      </c>
    </row>
    <row r="858" spans="1:2" x14ac:dyDescent="0.4">
      <c r="A858" s="5">
        <v>45379</v>
      </c>
      <c r="B858" s="9">
        <v>523.07000000000005</v>
      </c>
    </row>
    <row r="859" spans="1:2" x14ac:dyDescent="0.4">
      <c r="A859" s="4">
        <v>45383</v>
      </c>
      <c r="B859" s="8">
        <v>522.16</v>
      </c>
    </row>
    <row r="860" spans="1:2" x14ac:dyDescent="0.4">
      <c r="A860" s="5">
        <v>45384</v>
      </c>
      <c r="B860" s="9">
        <v>518.84</v>
      </c>
    </row>
    <row r="861" spans="1:2" x14ac:dyDescent="0.4">
      <c r="A861" s="4">
        <v>45385</v>
      </c>
      <c r="B861" s="8">
        <v>519.41</v>
      </c>
    </row>
    <row r="862" spans="1:2" x14ac:dyDescent="0.4">
      <c r="A862" s="5">
        <v>45386</v>
      </c>
      <c r="B862" s="9">
        <v>513.07000000000005</v>
      </c>
    </row>
    <row r="863" spans="1:2" x14ac:dyDescent="0.4">
      <c r="A863" s="4">
        <v>45387</v>
      </c>
      <c r="B863" s="8">
        <v>518.42999999999995</v>
      </c>
    </row>
    <row r="864" spans="1:2" x14ac:dyDescent="0.4">
      <c r="A864" s="5">
        <v>45390</v>
      </c>
      <c r="B864" s="9">
        <v>518.72</v>
      </c>
    </row>
    <row r="865" spans="1:2" x14ac:dyDescent="0.4">
      <c r="A865" s="4">
        <v>45391</v>
      </c>
      <c r="B865" s="8">
        <v>519.32000000000005</v>
      </c>
    </row>
    <row r="866" spans="1:2" x14ac:dyDescent="0.4">
      <c r="A866" s="5">
        <v>45392</v>
      </c>
      <c r="B866" s="9">
        <v>514.12</v>
      </c>
    </row>
    <row r="867" spans="1:2" x14ac:dyDescent="0.4">
      <c r="A867" s="4">
        <v>45393</v>
      </c>
      <c r="B867" s="8">
        <v>518</v>
      </c>
    </row>
    <row r="868" spans="1:2" x14ac:dyDescent="0.4">
      <c r="A868" s="5">
        <v>45394</v>
      </c>
      <c r="B868" s="9">
        <v>510.85</v>
      </c>
    </row>
    <row r="869" spans="1:2" x14ac:dyDescent="0.4">
      <c r="A869" s="4">
        <v>45397</v>
      </c>
      <c r="B869" s="8">
        <v>504.45</v>
      </c>
    </row>
    <row r="870" spans="1:2" x14ac:dyDescent="0.4">
      <c r="A870" s="5">
        <v>45398</v>
      </c>
      <c r="B870" s="9">
        <v>503.53</v>
      </c>
    </row>
    <row r="871" spans="1:2" x14ac:dyDescent="0.4">
      <c r="A871" s="4">
        <v>45399</v>
      </c>
      <c r="B871" s="8">
        <v>500.55</v>
      </c>
    </row>
    <row r="872" spans="1:2" x14ac:dyDescent="0.4">
      <c r="A872" s="5">
        <v>45400</v>
      </c>
      <c r="B872" s="9">
        <v>499.52</v>
      </c>
    </row>
    <row r="873" spans="1:2" x14ac:dyDescent="0.4">
      <c r="A873" s="4">
        <v>45401</v>
      </c>
      <c r="B873" s="8">
        <v>495.16</v>
      </c>
    </row>
    <row r="874" spans="1:2" x14ac:dyDescent="0.4">
      <c r="A874" s="5">
        <v>45404</v>
      </c>
      <c r="B874" s="9">
        <v>499.72</v>
      </c>
    </row>
    <row r="875" spans="1:2" x14ac:dyDescent="0.4">
      <c r="A875" s="4">
        <v>45405</v>
      </c>
      <c r="B875" s="8">
        <v>505.65</v>
      </c>
    </row>
    <row r="876" spans="1:2" x14ac:dyDescent="0.4">
      <c r="A876" s="5">
        <v>45406</v>
      </c>
      <c r="B876" s="9">
        <v>505.41</v>
      </c>
    </row>
    <row r="877" spans="1:2" x14ac:dyDescent="0.4">
      <c r="A877" s="4">
        <v>45407</v>
      </c>
      <c r="B877" s="8">
        <v>503.49</v>
      </c>
    </row>
    <row r="878" spans="1:2" x14ac:dyDescent="0.4">
      <c r="A878" s="5">
        <v>45408</v>
      </c>
      <c r="B878" s="9">
        <v>508.26</v>
      </c>
    </row>
    <row r="879" spans="1:2" x14ac:dyDescent="0.4">
      <c r="A879" s="4">
        <v>45411</v>
      </c>
      <c r="B879" s="8">
        <v>510.06</v>
      </c>
    </row>
    <row r="880" spans="1:2" x14ac:dyDescent="0.4">
      <c r="A880" s="5">
        <v>45412</v>
      </c>
      <c r="B880" s="9">
        <v>501.98</v>
      </c>
    </row>
    <row r="881" spans="1:2" x14ac:dyDescent="0.4">
      <c r="A881" s="4">
        <v>45413</v>
      </c>
      <c r="B881" s="8">
        <v>500.35</v>
      </c>
    </row>
    <row r="882" spans="1:2" x14ac:dyDescent="0.4">
      <c r="A882" s="5">
        <v>45414</v>
      </c>
      <c r="B882" s="9">
        <v>505.03</v>
      </c>
    </row>
    <row r="883" spans="1:2" x14ac:dyDescent="0.4">
      <c r="A883" s="4">
        <v>45415</v>
      </c>
      <c r="B883" s="8">
        <v>511.29</v>
      </c>
    </row>
    <row r="884" spans="1:2" x14ac:dyDescent="0.4">
      <c r="A884" s="5">
        <v>45418</v>
      </c>
      <c r="B884" s="9">
        <v>516.57000000000005</v>
      </c>
    </row>
    <row r="885" spans="1:2" x14ac:dyDescent="0.4">
      <c r="A885" s="4">
        <v>45419</v>
      </c>
      <c r="B885" s="8">
        <v>517.14</v>
      </c>
    </row>
    <row r="886" spans="1:2" x14ac:dyDescent="0.4">
      <c r="A886" s="5">
        <v>45420</v>
      </c>
      <c r="B886" s="9">
        <v>517.19000000000005</v>
      </c>
    </row>
    <row r="887" spans="1:2" x14ac:dyDescent="0.4">
      <c r="A887" s="4">
        <v>45421</v>
      </c>
      <c r="B887" s="8">
        <v>520.16999999999996</v>
      </c>
    </row>
    <row r="888" spans="1:2" x14ac:dyDescent="0.4">
      <c r="A888" s="5">
        <v>45422</v>
      </c>
      <c r="B888" s="9">
        <v>520.84</v>
      </c>
    </row>
    <row r="889" spans="1:2" x14ac:dyDescent="0.4">
      <c r="A889" s="4">
        <v>45425</v>
      </c>
      <c r="B889" s="8">
        <v>520.91</v>
      </c>
    </row>
    <row r="890" spans="1:2" x14ac:dyDescent="0.4">
      <c r="A890" s="5">
        <v>45426</v>
      </c>
      <c r="B890" s="9">
        <v>523.29999999999995</v>
      </c>
    </row>
    <row r="891" spans="1:2" x14ac:dyDescent="0.4">
      <c r="A891" s="4">
        <v>45427</v>
      </c>
      <c r="B891" s="8">
        <v>529.78</v>
      </c>
    </row>
    <row r="892" spans="1:2" x14ac:dyDescent="0.4">
      <c r="A892" s="5">
        <v>45428</v>
      </c>
      <c r="B892" s="9">
        <v>528.69000000000005</v>
      </c>
    </row>
    <row r="893" spans="1:2" x14ac:dyDescent="0.4">
      <c r="A893" s="4">
        <v>45429</v>
      </c>
      <c r="B893" s="8">
        <v>529.45000000000005</v>
      </c>
    </row>
    <row r="894" spans="1:2" x14ac:dyDescent="0.4">
      <c r="A894" s="5">
        <v>45432</v>
      </c>
      <c r="B894" s="9">
        <v>530.05999999999995</v>
      </c>
    </row>
    <row r="895" spans="1:2" x14ac:dyDescent="0.4">
      <c r="A895" s="4">
        <v>45433</v>
      </c>
      <c r="B895" s="8">
        <v>531.36</v>
      </c>
    </row>
    <row r="896" spans="1:2" x14ac:dyDescent="0.4">
      <c r="A896" s="5">
        <v>45434</v>
      </c>
      <c r="B896" s="9">
        <v>529.83000000000004</v>
      </c>
    </row>
    <row r="897" spans="1:2" x14ac:dyDescent="0.4">
      <c r="A897" s="4">
        <v>45435</v>
      </c>
      <c r="B897" s="8">
        <v>525.96</v>
      </c>
    </row>
    <row r="898" spans="1:2" x14ac:dyDescent="0.4">
      <c r="A898" s="5">
        <v>45436</v>
      </c>
      <c r="B898" s="9">
        <v>529.44000000000005</v>
      </c>
    </row>
    <row r="899" spans="1:2" x14ac:dyDescent="0.4">
      <c r="A899" s="4">
        <v>45440</v>
      </c>
      <c r="B899" s="8">
        <v>529.80999999999995</v>
      </c>
    </row>
    <row r="900" spans="1:2" x14ac:dyDescent="0.4">
      <c r="A900" s="5">
        <v>45441</v>
      </c>
      <c r="B900" s="9">
        <v>526.1</v>
      </c>
    </row>
    <row r="901" spans="1:2" x14ac:dyDescent="0.4">
      <c r="A901" s="4">
        <v>45442</v>
      </c>
      <c r="B901" s="8">
        <v>522.61</v>
      </c>
    </row>
    <row r="902" spans="1:2" x14ac:dyDescent="0.4">
      <c r="A902" s="5">
        <v>45443</v>
      </c>
      <c r="B902" s="9">
        <v>527.37</v>
      </c>
    </row>
    <row r="903" spans="1:2" x14ac:dyDescent="0.4">
      <c r="A903" s="4">
        <v>45446</v>
      </c>
      <c r="B903" s="8">
        <v>527.79999999999995</v>
      </c>
    </row>
    <row r="904" spans="1:2" x14ac:dyDescent="0.4">
      <c r="A904" s="5">
        <v>45447</v>
      </c>
      <c r="B904" s="9">
        <v>528.39</v>
      </c>
    </row>
    <row r="905" spans="1:2" x14ac:dyDescent="0.4">
      <c r="A905" s="4">
        <v>45448</v>
      </c>
      <c r="B905" s="8">
        <v>534.66999999999996</v>
      </c>
    </row>
    <row r="906" spans="1:2" x14ac:dyDescent="0.4">
      <c r="A906" s="5">
        <v>45449</v>
      </c>
      <c r="B906" s="9">
        <v>534.66</v>
      </c>
    </row>
    <row r="907" spans="1:2" x14ac:dyDescent="0.4">
      <c r="A907" s="4">
        <v>45450</v>
      </c>
      <c r="B907" s="8">
        <v>534.01</v>
      </c>
    </row>
    <row r="908" spans="1:2" x14ac:dyDescent="0.4">
      <c r="A908" s="5">
        <v>45453</v>
      </c>
      <c r="B908" s="9">
        <v>535.66</v>
      </c>
    </row>
    <row r="909" spans="1:2" x14ac:dyDescent="0.4">
      <c r="A909" s="4">
        <v>45454</v>
      </c>
      <c r="B909" s="8">
        <v>536.95000000000005</v>
      </c>
    </row>
    <row r="910" spans="1:2" x14ac:dyDescent="0.4">
      <c r="A910" s="5">
        <v>45455</v>
      </c>
      <c r="B910" s="9">
        <v>541.36</v>
      </c>
    </row>
    <row r="911" spans="1:2" x14ac:dyDescent="0.4">
      <c r="A911" s="4">
        <v>45456</v>
      </c>
      <c r="B911" s="8">
        <v>542.45000000000005</v>
      </c>
    </row>
    <row r="912" spans="1:2" x14ac:dyDescent="0.4">
      <c r="A912" s="5">
        <v>45457</v>
      </c>
      <c r="B912" s="9">
        <v>542.78</v>
      </c>
    </row>
    <row r="913" spans="1:2" x14ac:dyDescent="0.4">
      <c r="A913" s="4">
        <v>45460</v>
      </c>
      <c r="B913" s="8">
        <v>547.1</v>
      </c>
    </row>
    <row r="914" spans="1:2" x14ac:dyDescent="0.4">
      <c r="A914" s="5">
        <v>45461</v>
      </c>
      <c r="B914" s="9">
        <v>548.49</v>
      </c>
    </row>
    <row r="915" spans="1:2" x14ac:dyDescent="0.4">
      <c r="A915" s="4">
        <v>45463</v>
      </c>
      <c r="B915" s="8">
        <v>547</v>
      </c>
    </row>
    <row r="916" spans="1:2" x14ac:dyDescent="0.4">
      <c r="A916" s="5">
        <v>45464</v>
      </c>
      <c r="B916" s="9">
        <v>544.51</v>
      </c>
    </row>
    <row r="917" spans="1:2" x14ac:dyDescent="0.4">
      <c r="A917" s="4">
        <v>45467</v>
      </c>
      <c r="B917" s="8">
        <v>542.74</v>
      </c>
    </row>
    <row r="918" spans="1:2" x14ac:dyDescent="0.4">
      <c r="A918" s="5">
        <v>45468</v>
      </c>
      <c r="B918" s="9">
        <v>544.83000000000004</v>
      </c>
    </row>
    <row r="919" spans="1:2" x14ac:dyDescent="0.4">
      <c r="A919" s="4">
        <v>45469</v>
      </c>
      <c r="B919" s="8">
        <v>545.51</v>
      </c>
    </row>
    <row r="920" spans="1:2" x14ac:dyDescent="0.4">
      <c r="A920" s="5">
        <v>45470</v>
      </c>
      <c r="B920" s="9">
        <v>546.37</v>
      </c>
    </row>
    <row r="921" spans="1:2" x14ac:dyDescent="0.4">
      <c r="A921" s="4">
        <v>45471</v>
      </c>
      <c r="B921" s="8">
        <v>544.22</v>
      </c>
    </row>
    <row r="922" spans="1:2" x14ac:dyDescent="0.4">
      <c r="A922" s="5">
        <v>45474</v>
      </c>
      <c r="B922" s="9">
        <v>545.34</v>
      </c>
    </row>
    <row r="923" spans="1:2" x14ac:dyDescent="0.4">
      <c r="A923" s="4">
        <v>45475</v>
      </c>
      <c r="B923" s="8">
        <v>549.01</v>
      </c>
    </row>
    <row r="924" spans="1:2" x14ac:dyDescent="0.4">
      <c r="A924" s="5">
        <v>45476</v>
      </c>
      <c r="B924" s="9">
        <v>551.46</v>
      </c>
    </row>
    <row r="925" spans="1:2" x14ac:dyDescent="0.4">
      <c r="A925" s="4">
        <v>45478</v>
      </c>
      <c r="B925" s="8">
        <v>554.64</v>
      </c>
    </row>
    <row r="926" spans="1:2" x14ac:dyDescent="0.4">
      <c r="A926" s="5">
        <v>45481</v>
      </c>
      <c r="B926" s="9">
        <v>555.28</v>
      </c>
    </row>
    <row r="927" spans="1:2" x14ac:dyDescent="0.4">
      <c r="A927" s="4">
        <v>45482</v>
      </c>
      <c r="B927" s="8">
        <v>555.82000000000005</v>
      </c>
    </row>
    <row r="928" spans="1:2" x14ac:dyDescent="0.4">
      <c r="A928" s="5">
        <v>45483</v>
      </c>
      <c r="B928" s="9">
        <v>561.32000000000005</v>
      </c>
    </row>
    <row r="929" spans="1:2" x14ac:dyDescent="0.4">
      <c r="A929" s="4">
        <v>45484</v>
      </c>
      <c r="B929" s="8">
        <v>556.48</v>
      </c>
    </row>
    <row r="930" spans="1:2" x14ac:dyDescent="0.4">
      <c r="A930" s="5">
        <v>45485</v>
      </c>
      <c r="B930" s="9">
        <v>559.99</v>
      </c>
    </row>
    <row r="931" spans="1:2" x14ac:dyDescent="0.4">
      <c r="A931" s="4">
        <v>45488</v>
      </c>
      <c r="B931" s="8">
        <v>561.53</v>
      </c>
    </row>
    <row r="932" spans="1:2" x14ac:dyDescent="0.4">
      <c r="A932" s="5">
        <v>45489</v>
      </c>
      <c r="B932" s="9">
        <v>564.86</v>
      </c>
    </row>
    <row r="933" spans="1:2" x14ac:dyDescent="0.4">
      <c r="A933" s="4">
        <v>45490</v>
      </c>
      <c r="B933" s="8">
        <v>556.94000000000005</v>
      </c>
    </row>
    <row r="934" spans="1:2" x14ac:dyDescent="0.4">
      <c r="A934" s="5">
        <v>45491</v>
      </c>
      <c r="B934" s="9">
        <v>552.66</v>
      </c>
    </row>
    <row r="935" spans="1:2" x14ac:dyDescent="0.4">
      <c r="A935" s="4">
        <v>45492</v>
      </c>
      <c r="B935" s="8">
        <v>548.99</v>
      </c>
    </row>
    <row r="936" spans="1:2" x14ac:dyDescent="0.4">
      <c r="A936" s="5">
        <v>45495</v>
      </c>
      <c r="B936" s="9">
        <v>554.65</v>
      </c>
    </row>
    <row r="937" spans="1:2" x14ac:dyDescent="0.4">
      <c r="A937" s="4">
        <v>45496</v>
      </c>
      <c r="B937" s="8">
        <v>553.78</v>
      </c>
    </row>
    <row r="938" spans="1:2" x14ac:dyDescent="0.4">
      <c r="A938" s="5">
        <v>45497</v>
      </c>
      <c r="B938" s="9">
        <v>541.23</v>
      </c>
    </row>
    <row r="939" spans="1:2" x14ac:dyDescent="0.4">
      <c r="A939" s="4">
        <v>45498</v>
      </c>
      <c r="B939" s="8">
        <v>538.41</v>
      </c>
    </row>
    <row r="940" spans="1:2" x14ac:dyDescent="0.4">
      <c r="A940" s="5">
        <v>45499</v>
      </c>
      <c r="B940" s="9">
        <v>544.44000000000005</v>
      </c>
    </row>
    <row r="941" spans="1:2" x14ac:dyDescent="0.4">
      <c r="A941" s="4">
        <v>45502</v>
      </c>
      <c r="B941" s="8">
        <v>544.76</v>
      </c>
    </row>
    <row r="942" spans="1:2" x14ac:dyDescent="0.4">
      <c r="A942" s="5">
        <v>45503</v>
      </c>
      <c r="B942" s="9">
        <v>542</v>
      </c>
    </row>
    <row r="943" spans="1:2" x14ac:dyDescent="0.4">
      <c r="A943" s="4">
        <v>45504</v>
      </c>
      <c r="B943" s="8">
        <v>550.80999999999995</v>
      </c>
    </row>
    <row r="944" spans="1:2" x14ac:dyDescent="0.4">
      <c r="A944" s="5">
        <v>45505</v>
      </c>
      <c r="B944" s="9">
        <v>543.01</v>
      </c>
    </row>
    <row r="945" spans="1:2" x14ac:dyDescent="0.4">
      <c r="A945" s="4">
        <v>45506</v>
      </c>
      <c r="B945" s="8">
        <v>532.9</v>
      </c>
    </row>
    <row r="946" spans="1:2" x14ac:dyDescent="0.4">
      <c r="A946" s="5">
        <v>45509</v>
      </c>
      <c r="B946" s="9">
        <v>517.38</v>
      </c>
    </row>
    <row r="947" spans="1:2" x14ac:dyDescent="0.4">
      <c r="A947" s="4">
        <v>45510</v>
      </c>
      <c r="B947" s="8">
        <v>522.15</v>
      </c>
    </row>
    <row r="948" spans="1:2" x14ac:dyDescent="0.4">
      <c r="A948" s="5">
        <v>45511</v>
      </c>
      <c r="B948" s="9">
        <v>518.66</v>
      </c>
    </row>
    <row r="949" spans="1:2" x14ac:dyDescent="0.4">
      <c r="A949" s="4">
        <v>45512</v>
      </c>
      <c r="B949" s="8">
        <v>530.65</v>
      </c>
    </row>
    <row r="950" spans="1:2" x14ac:dyDescent="0.4">
      <c r="A950" s="5">
        <v>45513</v>
      </c>
      <c r="B950" s="9">
        <v>532.99</v>
      </c>
    </row>
    <row r="951" spans="1:2" x14ac:dyDescent="0.4">
      <c r="A951" s="4">
        <v>45516</v>
      </c>
      <c r="B951" s="8">
        <v>533.27</v>
      </c>
    </row>
    <row r="952" spans="1:2" x14ac:dyDescent="0.4">
      <c r="A952" s="5">
        <v>45517</v>
      </c>
      <c r="B952" s="9">
        <v>542.04</v>
      </c>
    </row>
    <row r="953" spans="1:2" x14ac:dyDescent="0.4">
      <c r="A953" s="4">
        <v>45518</v>
      </c>
      <c r="B953" s="8">
        <v>543.75</v>
      </c>
    </row>
    <row r="954" spans="1:2" x14ac:dyDescent="0.4">
      <c r="A954" s="5">
        <v>45519</v>
      </c>
      <c r="B954" s="9">
        <v>553.07000000000005</v>
      </c>
    </row>
    <row r="955" spans="1:2" x14ac:dyDescent="0.4">
      <c r="A955" s="4">
        <v>45520</v>
      </c>
      <c r="B955" s="8">
        <v>554.30999999999995</v>
      </c>
    </row>
    <row r="956" spans="1:2" x14ac:dyDescent="0.4">
      <c r="A956" s="5">
        <v>45523</v>
      </c>
      <c r="B956" s="9">
        <v>559.61</v>
      </c>
    </row>
    <row r="957" spans="1:2" x14ac:dyDescent="0.4">
      <c r="A957" s="4">
        <v>45524</v>
      </c>
      <c r="B957" s="8">
        <v>558.70000000000005</v>
      </c>
    </row>
    <row r="958" spans="1:2" x14ac:dyDescent="0.4">
      <c r="A958" s="5">
        <v>45525</v>
      </c>
      <c r="B958" s="9">
        <v>560.62</v>
      </c>
    </row>
    <row r="959" spans="1:2" x14ac:dyDescent="0.4">
      <c r="A959" s="4">
        <v>45526</v>
      </c>
      <c r="B959" s="8">
        <v>556.22</v>
      </c>
    </row>
    <row r="960" spans="1:2" x14ac:dyDescent="0.4">
      <c r="A960" s="5">
        <v>45527</v>
      </c>
      <c r="B960" s="9">
        <v>562.13</v>
      </c>
    </row>
    <row r="961" spans="1:2" x14ac:dyDescent="0.4">
      <c r="A961" s="4">
        <v>45530</v>
      </c>
      <c r="B961" s="8">
        <v>560.79</v>
      </c>
    </row>
    <row r="962" spans="1:2" x14ac:dyDescent="0.4">
      <c r="A962" s="5">
        <v>45531</v>
      </c>
      <c r="B962" s="9">
        <v>561.55999999999995</v>
      </c>
    </row>
    <row r="963" spans="1:2" x14ac:dyDescent="0.4">
      <c r="A963" s="4">
        <v>45532</v>
      </c>
      <c r="B963" s="8">
        <v>558.29999999999995</v>
      </c>
    </row>
    <row r="964" spans="1:2" x14ac:dyDescent="0.4">
      <c r="A964" s="5">
        <v>45533</v>
      </c>
      <c r="B964" s="9">
        <v>558.35</v>
      </c>
    </row>
    <row r="965" spans="1:2" x14ac:dyDescent="0.4">
      <c r="A965" s="4">
        <v>45534</v>
      </c>
      <c r="B965" s="8">
        <v>563.67999999999995</v>
      </c>
    </row>
    <row r="966" spans="1:2" x14ac:dyDescent="0.4">
      <c r="A966" s="5">
        <v>45538</v>
      </c>
      <c r="B966" s="9">
        <v>552.08000000000004</v>
      </c>
    </row>
    <row r="967" spans="1:2" x14ac:dyDescent="0.4">
      <c r="A967" s="4">
        <v>45539</v>
      </c>
      <c r="B967" s="8">
        <v>550.95000000000005</v>
      </c>
    </row>
    <row r="968" spans="1:2" x14ac:dyDescent="0.4">
      <c r="A968" s="5">
        <v>45540</v>
      </c>
      <c r="B968" s="9">
        <v>549.61</v>
      </c>
    </row>
    <row r="969" spans="1:2" x14ac:dyDescent="0.4">
      <c r="A969" s="4">
        <v>45541</v>
      </c>
      <c r="B969" s="8">
        <v>540.36</v>
      </c>
    </row>
    <row r="970" spans="1:2" x14ac:dyDescent="0.4">
      <c r="A970" s="5">
        <v>45544</v>
      </c>
      <c r="B970" s="9">
        <v>546.41</v>
      </c>
    </row>
    <row r="971" spans="1:2" x14ac:dyDescent="0.4">
      <c r="A971" s="4">
        <v>45545</v>
      </c>
      <c r="B971" s="8">
        <v>548.79</v>
      </c>
    </row>
    <row r="972" spans="1:2" x14ac:dyDescent="0.4">
      <c r="A972" s="5">
        <v>45546</v>
      </c>
      <c r="B972" s="9">
        <v>554.41999999999996</v>
      </c>
    </row>
    <row r="973" spans="1:2" x14ac:dyDescent="0.4">
      <c r="A973" s="4">
        <v>45547</v>
      </c>
      <c r="B973" s="8">
        <v>559.09</v>
      </c>
    </row>
    <row r="974" spans="1:2" x14ac:dyDescent="0.4">
      <c r="A974" s="5">
        <v>45548</v>
      </c>
      <c r="B974" s="9">
        <v>562.01</v>
      </c>
    </row>
    <row r="975" spans="1:2" x14ac:dyDescent="0.4">
      <c r="A975" s="4">
        <v>45551</v>
      </c>
      <c r="B975" s="8">
        <v>562.84</v>
      </c>
    </row>
    <row r="976" spans="1:2" x14ac:dyDescent="0.4">
      <c r="A976" s="5">
        <v>45552</v>
      </c>
      <c r="B976" s="9">
        <v>563.07000000000005</v>
      </c>
    </row>
    <row r="977" spans="1:2" x14ac:dyDescent="0.4">
      <c r="A977" s="4">
        <v>45553</v>
      </c>
      <c r="B977" s="8">
        <v>561.4</v>
      </c>
    </row>
    <row r="978" spans="1:2" x14ac:dyDescent="0.4">
      <c r="A978" s="5">
        <v>45554</v>
      </c>
      <c r="B978" s="9">
        <v>570.98</v>
      </c>
    </row>
    <row r="979" spans="1:2" x14ac:dyDescent="0.4">
      <c r="A979" s="4">
        <v>45555</v>
      </c>
      <c r="B979" s="8">
        <v>568.25</v>
      </c>
    </row>
    <row r="980" spans="1:2" x14ac:dyDescent="0.4">
      <c r="A980" s="5">
        <v>45558</v>
      </c>
      <c r="B980" s="9">
        <v>569.66999999999996</v>
      </c>
    </row>
    <row r="981" spans="1:2" x14ac:dyDescent="0.4">
      <c r="A981" s="4">
        <v>45559</v>
      </c>
      <c r="B981" s="8">
        <v>571.29999999999995</v>
      </c>
    </row>
    <row r="982" spans="1:2" x14ac:dyDescent="0.4">
      <c r="A982" s="5">
        <v>45560</v>
      </c>
      <c r="B982" s="9">
        <v>570.04</v>
      </c>
    </row>
    <row r="983" spans="1:2" x14ac:dyDescent="0.4">
      <c r="A983" s="4">
        <v>45561</v>
      </c>
      <c r="B983" s="8">
        <v>572.29999999999995</v>
      </c>
    </row>
    <row r="984" spans="1:2" x14ac:dyDescent="0.4">
      <c r="A984" s="5">
        <v>45562</v>
      </c>
      <c r="B984" s="9">
        <v>571.47</v>
      </c>
    </row>
    <row r="985" spans="1:2" x14ac:dyDescent="0.4">
      <c r="A985" s="4">
        <v>45565</v>
      </c>
      <c r="B985" s="8">
        <v>573.76</v>
      </c>
    </row>
    <row r="986" spans="1:2" x14ac:dyDescent="0.4">
      <c r="A986" s="5">
        <v>45566</v>
      </c>
      <c r="B986" s="9">
        <v>568.62</v>
      </c>
    </row>
    <row r="987" spans="1:2" x14ac:dyDescent="0.4">
      <c r="A987" s="4">
        <v>45567</v>
      </c>
      <c r="B987" s="8">
        <v>568.86</v>
      </c>
    </row>
    <row r="988" spans="1:2" x14ac:dyDescent="0.4">
      <c r="A988" s="5">
        <v>45568</v>
      </c>
      <c r="B988" s="9">
        <v>567.82000000000005</v>
      </c>
    </row>
    <row r="989" spans="1:2" x14ac:dyDescent="0.4">
      <c r="A989" s="4">
        <v>45569</v>
      </c>
      <c r="B989" s="8">
        <v>572.98</v>
      </c>
    </row>
    <row r="990" spans="1:2" x14ac:dyDescent="0.4">
      <c r="A990" s="5">
        <v>45572</v>
      </c>
      <c r="B990" s="9">
        <v>567.79999999999995</v>
      </c>
    </row>
    <row r="991" spans="1:2" x14ac:dyDescent="0.4">
      <c r="A991" s="4">
        <v>45573</v>
      </c>
      <c r="B991" s="8">
        <v>573.16999999999996</v>
      </c>
    </row>
    <row r="992" spans="1:2" x14ac:dyDescent="0.4">
      <c r="A992" s="5">
        <v>45574</v>
      </c>
      <c r="B992" s="9">
        <v>577.14</v>
      </c>
    </row>
    <row r="993" spans="1:2" x14ac:dyDescent="0.4">
      <c r="A993" s="4">
        <v>45575</v>
      </c>
      <c r="B993" s="8">
        <v>576.13</v>
      </c>
    </row>
    <row r="994" spans="1:2" x14ac:dyDescent="0.4">
      <c r="A994" s="5">
        <v>45576</v>
      </c>
      <c r="B994" s="9">
        <v>579.58000000000004</v>
      </c>
    </row>
    <row r="995" spans="1:2" x14ac:dyDescent="0.4">
      <c r="A995" s="4">
        <v>45579</v>
      </c>
      <c r="B995" s="8">
        <v>584.32000000000005</v>
      </c>
    </row>
    <row r="996" spans="1:2" x14ac:dyDescent="0.4">
      <c r="A996" s="5">
        <v>45580</v>
      </c>
      <c r="B996" s="9">
        <v>579.78</v>
      </c>
    </row>
    <row r="997" spans="1:2" x14ac:dyDescent="0.4">
      <c r="A997" s="4">
        <v>45581</v>
      </c>
      <c r="B997" s="8">
        <v>582.29999999999995</v>
      </c>
    </row>
    <row r="998" spans="1:2" x14ac:dyDescent="0.4">
      <c r="A998" s="5">
        <v>45582</v>
      </c>
      <c r="B998" s="9">
        <v>582.35</v>
      </c>
    </row>
    <row r="999" spans="1:2" x14ac:dyDescent="0.4">
      <c r="A999" s="4">
        <v>45583</v>
      </c>
      <c r="B999" s="8">
        <v>584.59</v>
      </c>
    </row>
    <row r="1000" spans="1:2" x14ac:dyDescent="0.4">
      <c r="A1000" s="5">
        <v>45586</v>
      </c>
      <c r="B1000" s="9">
        <v>583.63</v>
      </c>
    </row>
    <row r="1001" spans="1:2" x14ac:dyDescent="0.4">
      <c r="A1001" s="4">
        <v>45587</v>
      </c>
      <c r="B1001" s="8">
        <v>583.32000000000005</v>
      </c>
    </row>
    <row r="1002" spans="1:2" x14ac:dyDescent="0.4">
      <c r="A1002" s="5">
        <v>45588</v>
      </c>
      <c r="B1002" s="9">
        <v>577.99</v>
      </c>
    </row>
    <row r="1003" spans="1:2" x14ac:dyDescent="0.4">
      <c r="A1003" s="4">
        <v>45589</v>
      </c>
      <c r="B1003" s="8">
        <v>579.24</v>
      </c>
    </row>
    <row r="1004" spans="1:2" x14ac:dyDescent="0.4">
      <c r="A1004" s="5">
        <v>45590</v>
      </c>
      <c r="B1004" s="9">
        <v>579.04</v>
      </c>
    </row>
    <row r="1005" spans="1:2" x14ac:dyDescent="0.4">
      <c r="A1005" s="4">
        <v>45593</v>
      </c>
      <c r="B1005" s="8">
        <v>580.83000000000004</v>
      </c>
    </row>
    <row r="1006" spans="1:2" x14ac:dyDescent="0.4">
      <c r="A1006" s="5">
        <v>45594</v>
      </c>
      <c r="B1006" s="9">
        <v>581.77</v>
      </c>
    </row>
    <row r="1007" spans="1:2" x14ac:dyDescent="0.4">
      <c r="A1007" s="4">
        <v>45595</v>
      </c>
      <c r="B1007" s="8">
        <v>580.01</v>
      </c>
    </row>
    <row r="1008" spans="1:2" x14ac:dyDescent="0.4">
      <c r="A1008" s="5">
        <v>45596</v>
      </c>
      <c r="B1008" s="9">
        <v>568.64</v>
      </c>
    </row>
    <row r="1009" spans="1:2" x14ac:dyDescent="0.4">
      <c r="A1009" s="4">
        <v>45597</v>
      </c>
      <c r="B1009" s="8">
        <v>571.04</v>
      </c>
    </row>
    <row r="1010" spans="1:2" x14ac:dyDescent="0.4">
      <c r="A1010" s="5">
        <v>45600</v>
      </c>
      <c r="B1010" s="9">
        <v>569.80999999999995</v>
      </c>
    </row>
    <row r="1011" spans="1:2" x14ac:dyDescent="0.4">
      <c r="A1011" s="4">
        <v>45601</v>
      </c>
      <c r="B1011" s="8">
        <v>576.70000000000005</v>
      </c>
    </row>
    <row r="1012" spans="1:2" x14ac:dyDescent="0.4">
      <c r="A1012" s="5">
        <v>45602</v>
      </c>
      <c r="B1012" s="9">
        <v>591.04</v>
      </c>
    </row>
    <row r="1013" spans="1:2" x14ac:dyDescent="0.4">
      <c r="A1013" s="4">
        <v>45603</v>
      </c>
      <c r="B1013" s="8">
        <v>595.61</v>
      </c>
    </row>
    <row r="1014" spans="1:2" x14ac:dyDescent="0.4">
      <c r="A1014" s="5">
        <v>45604</v>
      </c>
      <c r="B1014" s="9">
        <v>598.19000000000005</v>
      </c>
    </row>
    <row r="1015" spans="1:2" x14ac:dyDescent="0.4">
      <c r="A1015" s="4">
        <v>45607</v>
      </c>
      <c r="B1015" s="8">
        <v>598.76</v>
      </c>
    </row>
    <row r="1016" spans="1:2" x14ac:dyDescent="0.4">
      <c r="A1016" s="5">
        <v>45608</v>
      </c>
      <c r="B1016" s="9">
        <v>596.9</v>
      </c>
    </row>
    <row r="1017" spans="1:2" x14ac:dyDescent="0.4">
      <c r="A1017" s="4">
        <v>45609</v>
      </c>
      <c r="B1017" s="8">
        <v>597.19000000000005</v>
      </c>
    </row>
    <row r="1018" spans="1:2" x14ac:dyDescent="0.4">
      <c r="A1018" s="5">
        <v>45610</v>
      </c>
      <c r="B1018" s="9">
        <v>593.35</v>
      </c>
    </row>
    <row r="1019" spans="1:2" x14ac:dyDescent="0.4">
      <c r="A1019" s="4">
        <v>45611</v>
      </c>
      <c r="B1019" s="8">
        <v>585.75</v>
      </c>
    </row>
    <row r="1020" spans="1:2" x14ac:dyDescent="0.4">
      <c r="A1020" s="5">
        <v>45614</v>
      </c>
      <c r="B1020" s="9">
        <v>588.15</v>
      </c>
    </row>
    <row r="1021" spans="1:2" x14ac:dyDescent="0.4">
      <c r="A1021" s="4">
        <v>45615</v>
      </c>
      <c r="B1021" s="8">
        <v>590.29999999999995</v>
      </c>
    </row>
    <row r="1022" spans="1:2" x14ac:dyDescent="0.4">
      <c r="A1022" s="5">
        <v>45616</v>
      </c>
      <c r="B1022" s="9">
        <v>590.5</v>
      </c>
    </row>
    <row r="1023" spans="1:2" x14ac:dyDescent="0.4">
      <c r="A1023" s="4">
        <v>45617</v>
      </c>
      <c r="B1023" s="8">
        <v>593.66999999999996</v>
      </c>
    </row>
    <row r="1024" spans="1:2" x14ac:dyDescent="0.4">
      <c r="A1024" s="5">
        <v>45618</v>
      </c>
      <c r="B1024" s="9">
        <v>595.51</v>
      </c>
    </row>
    <row r="1025" spans="1:2" x14ac:dyDescent="0.4">
      <c r="A1025" s="4">
        <v>45621</v>
      </c>
      <c r="B1025" s="8">
        <v>597.53</v>
      </c>
    </row>
    <row r="1026" spans="1:2" x14ac:dyDescent="0.4">
      <c r="A1026" s="5">
        <v>45622</v>
      </c>
      <c r="B1026" s="9">
        <v>600.65</v>
      </c>
    </row>
    <row r="1027" spans="1:2" x14ac:dyDescent="0.4">
      <c r="A1027" s="4">
        <v>45623</v>
      </c>
      <c r="B1027" s="8">
        <v>598.83000000000004</v>
      </c>
    </row>
    <row r="1028" spans="1:2" x14ac:dyDescent="0.4">
      <c r="A1028" s="5">
        <v>45625</v>
      </c>
      <c r="B1028" s="9">
        <v>602.54999999999995</v>
      </c>
    </row>
    <row r="1029" spans="1:2" x14ac:dyDescent="0.4">
      <c r="A1029" s="4">
        <v>45628</v>
      </c>
      <c r="B1029" s="8">
        <v>603.63</v>
      </c>
    </row>
    <row r="1030" spans="1:2" x14ac:dyDescent="0.4">
      <c r="A1030" s="5">
        <v>45629</v>
      </c>
      <c r="B1030" s="9">
        <v>603.91</v>
      </c>
    </row>
    <row r="1031" spans="1:2" x14ac:dyDescent="0.4">
      <c r="A1031" s="4">
        <v>45630</v>
      </c>
      <c r="B1031" s="8">
        <v>607.66</v>
      </c>
    </row>
    <row r="1032" spans="1:2" x14ac:dyDescent="0.4">
      <c r="A1032" s="5">
        <v>45631</v>
      </c>
      <c r="B1032" s="9">
        <v>606.66</v>
      </c>
    </row>
    <row r="1033" spans="1:2" x14ac:dyDescent="0.4">
      <c r="A1033" s="4">
        <v>45632</v>
      </c>
      <c r="B1033" s="8">
        <v>607.80999999999995</v>
      </c>
    </row>
    <row r="1034" spans="1:2" x14ac:dyDescent="0.4">
      <c r="A1034" s="5">
        <v>45635</v>
      </c>
      <c r="B1034" s="9">
        <v>604.67999999999995</v>
      </c>
    </row>
    <row r="1035" spans="1:2" x14ac:dyDescent="0.4">
      <c r="A1035" s="4">
        <v>45636</v>
      </c>
      <c r="B1035" s="8">
        <v>602.79999999999995</v>
      </c>
    </row>
    <row r="1036" spans="1:2" x14ac:dyDescent="0.4">
      <c r="A1036" s="5">
        <v>45637</v>
      </c>
      <c r="B1036" s="9">
        <v>607.46</v>
      </c>
    </row>
    <row r="1037" spans="1:2" x14ac:dyDescent="0.4">
      <c r="A1037" s="4">
        <v>45638</v>
      </c>
      <c r="B1037" s="8">
        <v>604.33000000000004</v>
      </c>
    </row>
    <row r="1038" spans="1:2" x14ac:dyDescent="0.4">
      <c r="A1038" s="5">
        <v>45639</v>
      </c>
      <c r="B1038" s="9">
        <v>604.21</v>
      </c>
    </row>
    <row r="1039" spans="1:2" x14ac:dyDescent="0.4">
      <c r="A1039" s="4">
        <v>45642</v>
      </c>
      <c r="B1039" s="8">
        <v>606.79</v>
      </c>
    </row>
    <row r="1040" spans="1:2" x14ac:dyDescent="0.4">
      <c r="A1040" s="5">
        <v>45643</v>
      </c>
      <c r="B1040" s="9">
        <v>604.29</v>
      </c>
    </row>
    <row r="1041" spans="1:2" x14ac:dyDescent="0.4">
      <c r="A1041" s="4">
        <v>45644</v>
      </c>
      <c r="B1041" s="8">
        <v>586.28</v>
      </c>
    </row>
    <row r="1042" spans="1:2" x14ac:dyDescent="0.4">
      <c r="A1042" s="5">
        <v>45645</v>
      </c>
      <c r="B1042" s="9">
        <v>586.1</v>
      </c>
    </row>
    <row r="1043" spans="1:2" x14ac:dyDescent="0.4">
      <c r="A1043" s="4">
        <v>45646</v>
      </c>
      <c r="B1043" s="8">
        <v>591.15</v>
      </c>
    </row>
    <row r="1044" spans="1:2" x14ac:dyDescent="0.4">
      <c r="A1044" s="5">
        <v>45649</v>
      </c>
      <c r="B1044" s="9">
        <v>594.69000000000005</v>
      </c>
    </row>
    <row r="1045" spans="1:2" x14ac:dyDescent="0.4">
      <c r="A1045" s="4">
        <v>45650</v>
      </c>
      <c r="B1045" s="8">
        <v>601.29999999999995</v>
      </c>
    </row>
    <row r="1046" spans="1:2" x14ac:dyDescent="0.4">
      <c r="A1046" s="5">
        <v>45652</v>
      </c>
      <c r="B1046" s="9">
        <v>601.34</v>
      </c>
    </row>
    <row r="1047" spans="1:2" x14ac:dyDescent="0.4">
      <c r="A1047" s="4">
        <v>45653</v>
      </c>
      <c r="B1047" s="8">
        <v>595.01</v>
      </c>
    </row>
    <row r="1048" spans="1:2" x14ac:dyDescent="0.4">
      <c r="A1048" s="5">
        <v>45656</v>
      </c>
      <c r="B1048" s="9">
        <v>588.22</v>
      </c>
    </row>
    <row r="1049" spans="1:2" x14ac:dyDescent="0.4">
      <c r="A1049" s="4">
        <v>45657</v>
      </c>
      <c r="B1049" s="8">
        <v>586.08000000000004</v>
      </c>
    </row>
    <row r="1050" spans="1:2" x14ac:dyDescent="0.4">
      <c r="A1050" s="5">
        <v>45659</v>
      </c>
      <c r="B1050" s="9">
        <v>584.64</v>
      </c>
    </row>
    <row r="1051" spans="1:2" x14ac:dyDescent="0.4">
      <c r="A1051" s="4">
        <v>45660</v>
      </c>
      <c r="B1051" s="8">
        <v>591.95000000000005</v>
      </c>
    </row>
    <row r="1052" spans="1:2" x14ac:dyDescent="0.4">
      <c r="A1052" s="5">
        <v>45663</v>
      </c>
      <c r="B1052" s="9">
        <v>595.36</v>
      </c>
    </row>
    <row r="1053" spans="1:2" x14ac:dyDescent="0.4">
      <c r="A1053" s="4">
        <v>45664</v>
      </c>
      <c r="B1053" s="8">
        <v>588.63</v>
      </c>
    </row>
    <row r="1054" spans="1:2" x14ac:dyDescent="0.4">
      <c r="A1054" s="5">
        <v>45665</v>
      </c>
      <c r="B1054" s="9">
        <v>589.49</v>
      </c>
    </row>
    <row r="1055" spans="1:2" x14ac:dyDescent="0.4">
      <c r="A1055" s="4">
        <v>45667</v>
      </c>
      <c r="B1055" s="8">
        <v>580.49</v>
      </c>
    </row>
    <row r="1056" spans="1:2" x14ac:dyDescent="0.4">
      <c r="A1056" s="5">
        <v>45670</v>
      </c>
      <c r="B1056" s="9">
        <v>581.39</v>
      </c>
    </row>
    <row r="1057" spans="1:2" x14ac:dyDescent="0.4">
      <c r="A1057" s="4">
        <v>45671</v>
      </c>
      <c r="B1057" s="8">
        <v>582.19000000000005</v>
      </c>
    </row>
    <row r="1058" spans="1:2" x14ac:dyDescent="0.4">
      <c r="A1058" s="5">
        <v>45672</v>
      </c>
      <c r="B1058" s="9">
        <v>592.78</v>
      </c>
    </row>
    <row r="1059" spans="1:2" x14ac:dyDescent="0.4">
      <c r="A1059" s="4">
        <v>45673</v>
      </c>
      <c r="B1059" s="8">
        <v>591.64</v>
      </c>
    </row>
    <row r="1060" spans="1:2" x14ac:dyDescent="0.4">
      <c r="A1060" s="5">
        <v>45674</v>
      </c>
      <c r="B1060" s="9">
        <v>597.58000000000004</v>
      </c>
    </row>
    <row r="1061" spans="1:2" x14ac:dyDescent="0.4">
      <c r="A1061" s="4">
        <v>45678</v>
      </c>
      <c r="B1061" s="8">
        <v>603.04999999999995</v>
      </c>
    </row>
    <row r="1062" spans="1:2" x14ac:dyDescent="0.4">
      <c r="A1062" s="5">
        <v>45679</v>
      </c>
      <c r="B1062" s="9">
        <v>606.44000000000005</v>
      </c>
    </row>
    <row r="1063" spans="1:2" x14ac:dyDescent="0.4">
      <c r="A1063" s="4">
        <v>45680</v>
      </c>
      <c r="B1063" s="8">
        <v>609.75</v>
      </c>
    </row>
    <row r="1064" spans="1:2" x14ac:dyDescent="0.4">
      <c r="A1064" s="5">
        <v>45681</v>
      </c>
      <c r="B1064" s="9">
        <v>607.97</v>
      </c>
    </row>
    <row r="1065" spans="1:2" x14ac:dyDescent="0.4">
      <c r="A1065" s="4">
        <v>45684</v>
      </c>
      <c r="B1065" s="8">
        <v>599.37</v>
      </c>
    </row>
    <row r="1066" spans="1:2" x14ac:dyDescent="0.4">
      <c r="A1066" s="5">
        <v>45685</v>
      </c>
      <c r="B1066" s="9">
        <v>604.52</v>
      </c>
    </row>
    <row r="1067" spans="1:2" x14ac:dyDescent="0.4">
      <c r="A1067" s="4">
        <v>45686</v>
      </c>
      <c r="B1067" s="8">
        <v>601.80999999999995</v>
      </c>
    </row>
    <row r="1068" spans="1:2" x14ac:dyDescent="0.4">
      <c r="A1068" s="5">
        <v>45687</v>
      </c>
      <c r="B1068" s="9">
        <v>605.04</v>
      </c>
    </row>
    <row r="1069" spans="1:2" x14ac:dyDescent="0.4">
      <c r="A1069" s="4">
        <v>45688</v>
      </c>
      <c r="B1069" s="8">
        <v>601.82000000000005</v>
      </c>
    </row>
    <row r="1070" spans="1:2" x14ac:dyDescent="0.4">
      <c r="A1070" s="5">
        <v>45691</v>
      </c>
      <c r="B1070" s="9">
        <v>597.77</v>
      </c>
    </row>
    <row r="1071" spans="1:2" x14ac:dyDescent="0.4">
      <c r="A1071" s="4">
        <v>45692</v>
      </c>
      <c r="B1071" s="8">
        <v>601.78</v>
      </c>
    </row>
    <row r="1072" spans="1:2" x14ac:dyDescent="0.4">
      <c r="A1072" s="5">
        <v>45693</v>
      </c>
      <c r="B1072" s="9">
        <v>604.22</v>
      </c>
    </row>
    <row r="1073" spans="1:2" x14ac:dyDescent="0.4">
      <c r="A1073" s="4">
        <v>45694</v>
      </c>
      <c r="B1073" s="8">
        <v>606.32000000000005</v>
      </c>
    </row>
    <row r="1074" spans="1:2" x14ac:dyDescent="0.4">
      <c r="A1074" s="5">
        <v>45695</v>
      </c>
      <c r="B1074" s="9">
        <v>600.77</v>
      </c>
    </row>
    <row r="1075" spans="1:2" x14ac:dyDescent="0.4">
      <c r="A1075" s="4">
        <v>45698</v>
      </c>
      <c r="B1075" s="8">
        <v>604.85</v>
      </c>
    </row>
    <row r="1076" spans="1:2" x14ac:dyDescent="0.4">
      <c r="A1076" s="5">
        <v>45699</v>
      </c>
      <c r="B1076" s="9">
        <v>605.30999999999995</v>
      </c>
    </row>
    <row r="1077" spans="1:2" x14ac:dyDescent="0.4">
      <c r="A1077" s="4">
        <v>45700</v>
      </c>
      <c r="B1077" s="8">
        <v>603.36</v>
      </c>
    </row>
    <row r="1078" spans="1:2" x14ac:dyDescent="0.4">
      <c r="A1078" s="5">
        <v>45701</v>
      </c>
      <c r="B1078" s="9">
        <v>609.73</v>
      </c>
    </row>
    <row r="1079" spans="1:2" x14ac:dyDescent="0.4">
      <c r="A1079" s="4">
        <v>45702</v>
      </c>
      <c r="B1079" s="8">
        <v>609.70000000000005</v>
      </c>
    </row>
    <row r="1080" spans="1:2" x14ac:dyDescent="0.4">
      <c r="A1080" s="5">
        <v>45706</v>
      </c>
      <c r="B1080" s="9">
        <v>611.49</v>
      </c>
    </row>
    <row r="1081" spans="1:2" x14ac:dyDescent="0.4">
      <c r="A1081" s="4">
        <v>45707</v>
      </c>
      <c r="B1081" s="8">
        <v>612.92999999999995</v>
      </c>
    </row>
    <row r="1082" spans="1:2" x14ac:dyDescent="0.4">
      <c r="A1082" s="5">
        <v>45708</v>
      </c>
      <c r="B1082" s="9">
        <v>610.38</v>
      </c>
    </row>
    <row r="1083" spans="1:2" x14ac:dyDescent="0.4">
      <c r="A1083" s="4">
        <v>45709</v>
      </c>
      <c r="B1083" s="8">
        <v>599.94000000000005</v>
      </c>
    </row>
    <row r="1084" spans="1:2" x14ac:dyDescent="0.4">
      <c r="A1084" s="5">
        <v>45712</v>
      </c>
      <c r="B1084" s="9">
        <v>597.21</v>
      </c>
    </row>
    <row r="1085" spans="1:2" x14ac:dyDescent="0.4">
      <c r="A1085" s="4">
        <v>45713</v>
      </c>
      <c r="B1085" s="8">
        <v>594.24</v>
      </c>
    </row>
    <row r="1086" spans="1:2" x14ac:dyDescent="0.4">
      <c r="A1086" s="5">
        <v>45714</v>
      </c>
      <c r="B1086" s="9">
        <v>594.54</v>
      </c>
    </row>
    <row r="1087" spans="1:2" x14ac:dyDescent="0.4">
      <c r="A1087" s="4">
        <v>45715</v>
      </c>
      <c r="B1087" s="8">
        <v>585.04999999999995</v>
      </c>
    </row>
    <row r="1088" spans="1:2" x14ac:dyDescent="0.4">
      <c r="A1088" s="5">
        <v>45716</v>
      </c>
      <c r="B1088" s="9">
        <v>594.17999999999995</v>
      </c>
    </row>
    <row r="1089" spans="1:2" x14ac:dyDescent="0.4">
      <c r="A1089" s="4">
        <v>45719</v>
      </c>
      <c r="B1089" s="8">
        <v>583.77</v>
      </c>
    </row>
    <row r="1090" spans="1:2" x14ac:dyDescent="0.4">
      <c r="A1090" s="5">
        <v>45720</v>
      </c>
      <c r="B1090" s="9">
        <v>576.86</v>
      </c>
    </row>
    <row r="1091" spans="1:2" x14ac:dyDescent="0.4">
      <c r="A1091" s="4">
        <v>45721</v>
      </c>
      <c r="B1091" s="8">
        <v>583.05999999999995</v>
      </c>
    </row>
    <row r="1092" spans="1:2" x14ac:dyDescent="0.4">
      <c r="A1092" s="5">
        <v>45722</v>
      </c>
      <c r="B1092" s="9">
        <v>572.71</v>
      </c>
    </row>
    <row r="1093" spans="1:2" x14ac:dyDescent="0.4">
      <c r="A1093" s="4">
        <v>45723</v>
      </c>
      <c r="B1093" s="8">
        <v>575.91999999999996</v>
      </c>
    </row>
    <row r="1094" spans="1:2" x14ac:dyDescent="0.4">
      <c r="A1094" s="5">
        <v>45726</v>
      </c>
      <c r="B1094" s="9">
        <v>560.58000000000004</v>
      </c>
    </row>
    <row r="1095" spans="1:2" x14ac:dyDescent="0.4">
      <c r="A1095" s="4">
        <v>45727</v>
      </c>
      <c r="B1095" s="8">
        <v>555.91999999999996</v>
      </c>
    </row>
    <row r="1096" spans="1:2" x14ac:dyDescent="0.4">
      <c r="A1096" s="5">
        <v>45728</v>
      </c>
      <c r="B1096" s="9">
        <v>558.87</v>
      </c>
    </row>
    <row r="1097" spans="1:2" x14ac:dyDescent="0.4">
      <c r="A1097" s="4">
        <v>45729</v>
      </c>
      <c r="B1097" s="8">
        <v>551.41999999999996</v>
      </c>
    </row>
    <row r="1098" spans="1:2" x14ac:dyDescent="0.4">
      <c r="A1098" s="5">
        <v>45730</v>
      </c>
      <c r="B1098" s="9">
        <v>562.80999999999995</v>
      </c>
    </row>
    <row r="1099" spans="1:2" x14ac:dyDescent="0.4">
      <c r="A1099" s="4">
        <v>45733</v>
      </c>
      <c r="B1099" s="8">
        <v>567.15</v>
      </c>
    </row>
    <row r="1100" spans="1:2" x14ac:dyDescent="0.4">
      <c r="A1100" s="5">
        <v>45734</v>
      </c>
      <c r="B1100" s="9">
        <v>561.02</v>
      </c>
    </row>
    <row r="1101" spans="1:2" x14ac:dyDescent="0.4">
      <c r="A1101" s="4">
        <v>45735</v>
      </c>
      <c r="B1101" s="8">
        <v>567.13</v>
      </c>
    </row>
    <row r="1102" spans="1:2" x14ac:dyDescent="0.4">
      <c r="A1102" s="5">
        <v>45736</v>
      </c>
      <c r="B1102" s="9">
        <v>565.49</v>
      </c>
    </row>
    <row r="1103" spans="1:2" x14ac:dyDescent="0.4">
      <c r="A1103" s="4">
        <v>45737</v>
      </c>
      <c r="B1103" s="8">
        <v>563.98</v>
      </c>
    </row>
    <row r="1104" spans="1:2" x14ac:dyDescent="0.4">
      <c r="A1104" s="5">
        <v>45740</v>
      </c>
      <c r="B1104" s="9">
        <v>574.08000000000004</v>
      </c>
    </row>
    <row r="1105" spans="1:2" x14ac:dyDescent="0.4">
      <c r="A1105" s="4">
        <v>45741</v>
      </c>
      <c r="B1105" s="8">
        <v>575.46</v>
      </c>
    </row>
    <row r="1106" spans="1:2" x14ac:dyDescent="0.4">
      <c r="A1106" s="5">
        <v>45742</v>
      </c>
      <c r="B1106" s="9">
        <v>568.59</v>
      </c>
    </row>
    <row r="1107" spans="1:2" x14ac:dyDescent="0.4">
      <c r="A1107" s="4">
        <v>45743</v>
      </c>
      <c r="B1107" s="8">
        <v>567.08000000000004</v>
      </c>
    </row>
    <row r="1108" spans="1:2" x14ac:dyDescent="0.4">
      <c r="A1108" s="5">
        <v>45744</v>
      </c>
      <c r="B1108" s="9">
        <v>555.66</v>
      </c>
    </row>
    <row r="1109" spans="1:2" x14ac:dyDescent="0.4">
      <c r="A1109" s="4">
        <v>45747</v>
      </c>
      <c r="B1109" s="8">
        <v>559.39</v>
      </c>
    </row>
    <row r="1110" spans="1:2" x14ac:dyDescent="0.4">
      <c r="A1110" s="5">
        <v>45748</v>
      </c>
      <c r="B1110" s="9">
        <v>560.97</v>
      </c>
    </row>
    <row r="1111" spans="1:2" x14ac:dyDescent="0.4">
      <c r="A1111" s="4">
        <v>45749</v>
      </c>
      <c r="B1111" s="8">
        <v>564.52</v>
      </c>
    </row>
    <row r="1112" spans="1:2" x14ac:dyDescent="0.4">
      <c r="A1112" s="5">
        <v>45750</v>
      </c>
      <c r="B1112" s="9">
        <v>536.70000000000005</v>
      </c>
    </row>
    <row r="1113" spans="1:2" x14ac:dyDescent="0.4">
      <c r="A1113" s="4">
        <v>45751</v>
      </c>
      <c r="B1113" s="8">
        <v>505.28</v>
      </c>
    </row>
    <row r="1114" spans="1:2" x14ac:dyDescent="0.4">
      <c r="A1114" s="5">
        <v>45754</v>
      </c>
      <c r="B1114" s="9">
        <v>504.38</v>
      </c>
    </row>
    <row r="1115" spans="1:2" x14ac:dyDescent="0.4">
      <c r="A1115" s="4">
        <v>45755</v>
      </c>
      <c r="B1115" s="8">
        <v>496.48</v>
      </c>
    </row>
    <row r="1116" spans="1:2" x14ac:dyDescent="0.4">
      <c r="A1116" s="5">
        <v>45756</v>
      </c>
      <c r="B1116" s="9">
        <v>548.62</v>
      </c>
    </row>
    <row r="1117" spans="1:2" x14ac:dyDescent="0.4">
      <c r="A1117" s="4">
        <v>45757</v>
      </c>
      <c r="B1117" s="8">
        <v>524.58000000000004</v>
      </c>
    </row>
    <row r="1118" spans="1:2" x14ac:dyDescent="0.4">
      <c r="A1118" s="5">
        <v>45758</v>
      </c>
      <c r="B1118" s="9">
        <v>533.94000000000005</v>
      </c>
    </row>
    <row r="1119" spans="1:2" x14ac:dyDescent="0.4">
      <c r="A1119" s="4">
        <v>45761</v>
      </c>
      <c r="B1119" s="8">
        <v>539.12</v>
      </c>
    </row>
    <row r="1120" spans="1:2" x14ac:dyDescent="0.4">
      <c r="A1120" s="5">
        <v>45762</v>
      </c>
      <c r="B1120" s="9">
        <v>537.61</v>
      </c>
    </row>
    <row r="1121" spans="1:2" x14ac:dyDescent="0.4">
      <c r="A1121" s="4">
        <v>45763</v>
      </c>
      <c r="B1121" s="8">
        <v>525.66</v>
      </c>
    </row>
    <row r="1122" spans="1:2" x14ac:dyDescent="0.4">
      <c r="A1122" s="5">
        <v>45764</v>
      </c>
      <c r="B1122" s="9">
        <v>526.41</v>
      </c>
    </row>
    <row r="1123" spans="1:2" x14ac:dyDescent="0.4">
      <c r="A1123" s="4">
        <v>45768</v>
      </c>
      <c r="B1123" s="8">
        <v>513.88</v>
      </c>
    </row>
    <row r="1124" spans="1:2" x14ac:dyDescent="0.4">
      <c r="A1124" s="5">
        <v>45769</v>
      </c>
      <c r="B1124" s="9">
        <v>527.25</v>
      </c>
    </row>
    <row r="1125" spans="1:2" x14ac:dyDescent="0.4">
      <c r="A1125" s="4">
        <v>45770</v>
      </c>
      <c r="B1125" s="8">
        <v>535.41999999999996</v>
      </c>
    </row>
    <row r="1126" spans="1:2" x14ac:dyDescent="0.4">
      <c r="A1126" s="5">
        <v>45771</v>
      </c>
      <c r="B1126" s="9">
        <v>546.69000000000005</v>
      </c>
    </row>
    <row r="1127" spans="1:2" x14ac:dyDescent="0.4">
      <c r="A1127" s="4">
        <v>45772</v>
      </c>
      <c r="B1127" s="8">
        <v>550.64</v>
      </c>
    </row>
    <row r="1128" spans="1:2" x14ac:dyDescent="0.4">
      <c r="A1128" s="5">
        <v>45775</v>
      </c>
      <c r="B1128" s="9">
        <v>550.85</v>
      </c>
    </row>
    <row r="1129" spans="1:2" x14ac:dyDescent="0.4">
      <c r="A1129" s="4">
        <v>45776</v>
      </c>
      <c r="B1129" s="8">
        <v>554.32000000000005</v>
      </c>
    </row>
    <row r="1130" spans="1:2" x14ac:dyDescent="0.4">
      <c r="A1130" s="5">
        <v>45777</v>
      </c>
      <c r="B1130" s="9">
        <v>554.54</v>
      </c>
    </row>
    <row r="1131" spans="1:2" x14ac:dyDescent="0.4">
      <c r="A1131" s="4">
        <v>45778</v>
      </c>
      <c r="B1131" s="8">
        <v>558.47</v>
      </c>
    </row>
    <row r="1132" spans="1:2" x14ac:dyDescent="0.4">
      <c r="A1132" s="5">
        <v>45779</v>
      </c>
      <c r="B1132" s="9">
        <v>566.76</v>
      </c>
    </row>
    <row r="1133" spans="1:2" x14ac:dyDescent="0.4">
      <c r="A1133" s="4">
        <v>45782</v>
      </c>
      <c r="B1133" s="8">
        <v>563.51</v>
      </c>
    </row>
    <row r="1134" spans="1:2" x14ac:dyDescent="0.4">
      <c r="A1134" s="5">
        <v>45783</v>
      </c>
      <c r="B1134" s="9">
        <v>558.79999999999995</v>
      </c>
    </row>
    <row r="1135" spans="1:2" x14ac:dyDescent="0.4">
      <c r="A1135" s="4">
        <v>45784</v>
      </c>
      <c r="B1135" s="8">
        <v>561.15</v>
      </c>
    </row>
    <row r="1136" spans="1:2" x14ac:dyDescent="0.4">
      <c r="A1136" s="5">
        <v>45785</v>
      </c>
      <c r="B1136" s="9">
        <v>565.05999999999995</v>
      </c>
    </row>
    <row r="1137" spans="1:2" x14ac:dyDescent="0.4">
      <c r="A1137" s="4">
        <v>45786</v>
      </c>
      <c r="B1137" s="8">
        <v>564.34</v>
      </c>
    </row>
    <row r="1138" spans="1:2" x14ac:dyDescent="0.4">
      <c r="A1138" s="5">
        <v>45789</v>
      </c>
      <c r="B1138" s="9">
        <v>582.99</v>
      </c>
    </row>
    <row r="1139" spans="1:2" x14ac:dyDescent="0.4">
      <c r="A1139" s="4">
        <v>45790</v>
      </c>
      <c r="B1139" s="8">
        <v>586.84</v>
      </c>
    </row>
    <row r="1140" spans="1:2" x14ac:dyDescent="0.4">
      <c r="A1140" s="5">
        <v>45791</v>
      </c>
      <c r="B1140" s="9">
        <v>587.59</v>
      </c>
    </row>
    <row r="1141" spans="1:2" x14ac:dyDescent="0.4">
      <c r="A1141" s="4">
        <v>45792</v>
      </c>
      <c r="B1141" s="8">
        <v>590.46</v>
      </c>
    </row>
    <row r="1142" spans="1:2" x14ac:dyDescent="0.4">
      <c r="A1142" s="5">
        <v>45793</v>
      </c>
      <c r="B1142" s="9">
        <v>594.20000000000005</v>
      </c>
    </row>
    <row r="1143" spans="1:2" x14ac:dyDescent="0.4">
      <c r="A1143" s="4">
        <v>45796</v>
      </c>
      <c r="B1143" s="8">
        <v>594.85</v>
      </c>
    </row>
    <row r="1144" spans="1:2" x14ac:dyDescent="0.4">
      <c r="A1144" s="5">
        <v>45797</v>
      </c>
      <c r="B1144" s="9">
        <v>592.85</v>
      </c>
    </row>
    <row r="1145" spans="1:2" x14ac:dyDescent="0.4">
      <c r="A1145" s="4">
        <v>45798</v>
      </c>
      <c r="B1145" s="8">
        <v>582.86</v>
      </c>
    </row>
    <row r="1146" spans="1:2" x14ac:dyDescent="0.4">
      <c r="A1146" s="5">
        <v>45799</v>
      </c>
      <c r="B1146" s="9">
        <v>583.09</v>
      </c>
    </row>
    <row r="1147" spans="1:2" x14ac:dyDescent="0.4">
      <c r="A1147" s="4">
        <v>45800</v>
      </c>
      <c r="B1147" s="8">
        <v>579.11</v>
      </c>
    </row>
    <row r="1148" spans="1:2" x14ac:dyDescent="0.4">
      <c r="A1148" s="5">
        <v>45804</v>
      </c>
      <c r="B1148" s="9">
        <v>591.15</v>
      </c>
    </row>
    <row r="1149" spans="1:2" x14ac:dyDescent="0.4">
      <c r="A1149" s="4">
        <v>45805</v>
      </c>
      <c r="B1149" s="8">
        <v>587.73</v>
      </c>
    </row>
    <row r="1150" spans="1:2" x14ac:dyDescent="0.4">
      <c r="A1150" s="5">
        <v>45806</v>
      </c>
      <c r="B1150" s="9">
        <v>590.04999999999995</v>
      </c>
    </row>
    <row r="1151" spans="1:2" x14ac:dyDescent="0.4">
      <c r="A1151" s="4">
        <v>45807</v>
      </c>
      <c r="B1151" s="8">
        <v>589.39</v>
      </c>
    </row>
    <row r="1152" spans="1:2" x14ac:dyDescent="0.4">
      <c r="A1152" s="5">
        <v>45810</v>
      </c>
      <c r="B1152" s="9">
        <v>592.71</v>
      </c>
    </row>
    <row r="1153" spans="1:2" x14ac:dyDescent="0.4">
      <c r="A1153" s="4">
        <v>45811</v>
      </c>
      <c r="B1153" s="8">
        <v>596.09</v>
      </c>
    </row>
    <row r="1154" spans="1:2" x14ac:dyDescent="0.4">
      <c r="A1154" s="5">
        <v>45812</v>
      </c>
      <c r="B1154" s="9">
        <v>595.92999999999995</v>
      </c>
    </row>
    <row r="1155" spans="1:2" x14ac:dyDescent="0.4">
      <c r="A1155" s="4">
        <v>45813</v>
      </c>
      <c r="B1155" s="8">
        <v>593.04999999999995</v>
      </c>
    </row>
    <row r="1156" spans="1:2" x14ac:dyDescent="0.4">
      <c r="A1156" s="5">
        <v>45814</v>
      </c>
      <c r="B1156" s="9">
        <v>599.14</v>
      </c>
    </row>
    <row r="1157" spans="1:2" x14ac:dyDescent="0.4">
      <c r="A1157" s="4">
        <v>45817</v>
      </c>
      <c r="B1157" s="8">
        <v>599.67999999999995</v>
      </c>
    </row>
    <row r="1158" spans="1:2" x14ac:dyDescent="0.4">
      <c r="A1158" s="5">
        <v>45818</v>
      </c>
      <c r="B1158" s="9">
        <v>603.08000000000004</v>
      </c>
    </row>
    <row r="1159" spans="1:2" x14ac:dyDescent="0.4">
      <c r="A1159" s="4">
        <v>45819</v>
      </c>
      <c r="B1159" s="8">
        <v>601.36</v>
      </c>
    </row>
    <row r="1160" spans="1:2" x14ac:dyDescent="0.4">
      <c r="A1160" s="5">
        <v>45820</v>
      </c>
      <c r="B1160" s="9">
        <v>603.75</v>
      </c>
    </row>
    <row r="1161" spans="1:2" x14ac:dyDescent="0.4">
      <c r="A1161" s="4">
        <v>45821</v>
      </c>
      <c r="B1161" s="8">
        <v>597</v>
      </c>
    </row>
    <row r="1162" spans="1:2" x14ac:dyDescent="0.4">
      <c r="A1162" s="5">
        <v>45824</v>
      </c>
      <c r="B1162" s="9">
        <v>602.67999999999995</v>
      </c>
    </row>
    <row r="1163" spans="1:2" x14ac:dyDescent="0.4">
      <c r="A1163" s="4">
        <v>45825</v>
      </c>
      <c r="B1163" s="8">
        <v>597.53</v>
      </c>
    </row>
    <row r="1164" spans="1:2" x14ac:dyDescent="0.4">
      <c r="A1164" s="5">
        <v>45826</v>
      </c>
      <c r="B1164" s="9">
        <v>597.44000000000005</v>
      </c>
    </row>
    <row r="1165" spans="1:2" x14ac:dyDescent="0.4">
      <c r="A1165" s="4">
        <v>45828</v>
      </c>
      <c r="B1165" s="8">
        <v>594.28</v>
      </c>
    </row>
    <row r="1166" spans="1:2" x14ac:dyDescent="0.4">
      <c r="A1166" s="5">
        <v>45831</v>
      </c>
      <c r="B1166" s="9">
        <v>600.15</v>
      </c>
    </row>
    <row r="1167" spans="1:2" x14ac:dyDescent="0.4">
      <c r="A1167" s="4">
        <v>45832</v>
      </c>
      <c r="B1167" s="8">
        <v>606.78</v>
      </c>
    </row>
    <row r="1168" spans="1:2" x14ac:dyDescent="0.4">
      <c r="A1168" s="5">
        <v>45833</v>
      </c>
      <c r="B1168" s="9">
        <v>607.12</v>
      </c>
    </row>
    <row r="1169" spans="1:2" x14ac:dyDescent="0.4">
      <c r="A1169" s="4">
        <v>45834</v>
      </c>
      <c r="B1169" s="8">
        <v>611.87</v>
      </c>
    </row>
    <row r="1170" spans="1:2" x14ac:dyDescent="0.4">
      <c r="A1170" s="5">
        <v>45835</v>
      </c>
      <c r="B1170" s="9">
        <v>614.91</v>
      </c>
    </row>
    <row r="1171" spans="1:2" x14ac:dyDescent="0.4">
      <c r="A1171" s="4">
        <v>45838</v>
      </c>
      <c r="B1171" s="8">
        <v>617.85</v>
      </c>
    </row>
    <row r="1172" spans="1:2" x14ac:dyDescent="0.4">
      <c r="A1172" s="5">
        <v>45839</v>
      </c>
      <c r="B1172" s="9">
        <v>617.65</v>
      </c>
    </row>
    <row r="1173" spans="1:2" x14ac:dyDescent="0.4">
      <c r="A1173" s="4">
        <v>45840</v>
      </c>
      <c r="B1173" s="8">
        <v>620.45000000000005</v>
      </c>
    </row>
    <row r="1174" spans="1:2" x14ac:dyDescent="0.4">
      <c r="A1174" s="5">
        <v>45841</v>
      </c>
      <c r="B1174" s="9">
        <v>625.34</v>
      </c>
    </row>
    <row r="1175" spans="1:2" x14ac:dyDescent="0.4">
      <c r="A1175" s="4">
        <v>45845</v>
      </c>
      <c r="B1175" s="8">
        <v>620.67999999999995</v>
      </c>
    </row>
    <row r="1176" spans="1:2" x14ac:dyDescent="0.4">
      <c r="A1176" s="5">
        <v>45846</v>
      </c>
      <c r="B1176" s="9">
        <v>620.34</v>
      </c>
    </row>
    <row r="1177" spans="1:2" x14ac:dyDescent="0.4">
      <c r="A1177" s="4">
        <v>45847</v>
      </c>
      <c r="B1177" s="8">
        <v>624.05999999999995</v>
      </c>
    </row>
    <row r="1178" spans="1:2" x14ac:dyDescent="0.4">
      <c r="A1178" s="5">
        <v>45848</v>
      </c>
      <c r="B1178" s="9">
        <v>625.82000000000005</v>
      </c>
    </row>
    <row r="1179" spans="1:2" x14ac:dyDescent="0.4">
      <c r="A1179" s="4">
        <v>45849</v>
      </c>
      <c r="B1179" s="8">
        <v>623.62</v>
      </c>
    </row>
    <row r="1180" spans="1:2" x14ac:dyDescent="0.4">
      <c r="A1180" s="5">
        <v>45852</v>
      </c>
      <c r="B1180" s="9">
        <v>624.80999999999995</v>
      </c>
    </row>
    <row r="1181" spans="1:2" x14ac:dyDescent="0.4">
      <c r="A1181" s="4">
        <v>45853</v>
      </c>
      <c r="B1181" s="8">
        <v>622.14</v>
      </c>
    </row>
    <row r="1182" spans="1:2" x14ac:dyDescent="0.4">
      <c r="A1182" s="5">
        <v>45854</v>
      </c>
      <c r="B1182" s="9">
        <v>624.22</v>
      </c>
    </row>
    <row r="1183" spans="1:2" x14ac:dyDescent="0.4">
      <c r="A1183" s="4">
        <v>45855</v>
      </c>
      <c r="B1183" s="8">
        <v>628.04</v>
      </c>
    </row>
    <row r="1184" spans="1:2" x14ac:dyDescent="0.4">
      <c r="A1184" s="5">
        <v>45856</v>
      </c>
      <c r="B1184" s="9">
        <v>627.58000000000004</v>
      </c>
    </row>
    <row r="1185" spans="1:2" x14ac:dyDescent="0.4">
      <c r="A1185" s="4">
        <v>45859</v>
      </c>
      <c r="B1185" s="8">
        <v>628.77</v>
      </c>
    </row>
    <row r="1186" spans="1:2" x14ac:dyDescent="0.4">
      <c r="A1186" s="5">
        <v>45860</v>
      </c>
      <c r="B1186" s="9">
        <v>628.86</v>
      </c>
    </row>
    <row r="1187" spans="1:2" x14ac:dyDescent="0.4">
      <c r="A1187" s="4">
        <v>45861</v>
      </c>
      <c r="B1187" s="8">
        <v>634.21</v>
      </c>
    </row>
    <row r="1188" spans="1:2" x14ac:dyDescent="0.4">
      <c r="A1188" s="5">
        <v>45862</v>
      </c>
      <c r="B1188" s="9">
        <v>634.41999999999996</v>
      </c>
    </row>
    <row r="1189" spans="1:2" x14ac:dyDescent="0.4">
      <c r="A1189" s="4">
        <v>45863</v>
      </c>
      <c r="B1189" s="8">
        <v>637.1</v>
      </c>
    </row>
    <row r="1190" spans="1:2" x14ac:dyDescent="0.4">
      <c r="A1190" s="5">
        <v>45866</v>
      </c>
      <c r="B1190" s="9">
        <v>636.94000000000005</v>
      </c>
    </row>
    <row r="1191" spans="1:2" x14ac:dyDescent="0.4">
      <c r="A1191" s="4">
        <v>45867</v>
      </c>
      <c r="B1191" s="8">
        <v>635.26</v>
      </c>
    </row>
    <row r="1192" spans="1:2" x14ac:dyDescent="0.4">
      <c r="A1192" s="5">
        <v>45868</v>
      </c>
      <c r="B1192" s="9">
        <v>634.46</v>
      </c>
    </row>
    <row r="1193" spans="1:2" x14ac:dyDescent="0.4">
      <c r="A1193" s="4">
        <v>45869</v>
      </c>
      <c r="B1193" s="8">
        <v>632.08000000000004</v>
      </c>
    </row>
    <row r="1194" spans="1:2" x14ac:dyDescent="0.4">
      <c r="A1194" s="5">
        <v>45870</v>
      </c>
      <c r="B1194" s="9">
        <v>621.72</v>
      </c>
    </row>
    <row r="1195" spans="1:2" x14ac:dyDescent="0.4">
      <c r="A1195" s="4">
        <v>45873</v>
      </c>
      <c r="B1195" s="8">
        <v>631.16999999999996</v>
      </c>
    </row>
    <row r="1196" spans="1:2" x14ac:dyDescent="0.4">
      <c r="A1196" s="5">
        <v>45874</v>
      </c>
      <c r="B1196" s="9">
        <v>627.97</v>
      </c>
    </row>
    <row r="1197" spans="1:2" x14ac:dyDescent="0.4">
      <c r="A1197" s="4">
        <v>45875</v>
      </c>
      <c r="B1197" s="8">
        <v>632.78</v>
      </c>
    </row>
    <row r="1198" spans="1:2" x14ac:dyDescent="0.4">
      <c r="A1198" s="5">
        <v>45876</v>
      </c>
      <c r="B1198" s="9">
        <v>632.25</v>
      </c>
    </row>
    <row r="1199" spans="1:2" x14ac:dyDescent="0.4">
      <c r="A1199" s="4">
        <v>45877</v>
      </c>
      <c r="B1199" s="8">
        <v>637.17999999999995</v>
      </c>
    </row>
    <row r="1200" spans="1:2" x14ac:dyDescent="0.4">
      <c r="A1200" s="5">
        <v>45880</v>
      </c>
      <c r="B1200" s="9">
        <v>635.91999999999996</v>
      </c>
    </row>
    <row r="1201" spans="1:2" x14ac:dyDescent="0.4">
      <c r="A1201" s="4">
        <v>45881</v>
      </c>
      <c r="B1201" s="8">
        <v>642.69000000000005</v>
      </c>
    </row>
    <row r="1202" spans="1:2" x14ac:dyDescent="0.4">
      <c r="A1202" s="5">
        <v>45882</v>
      </c>
      <c r="B1202" s="9">
        <v>644.89</v>
      </c>
    </row>
    <row r="1203" spans="1:2" x14ac:dyDescent="0.4">
      <c r="A1203" s="4">
        <v>45883</v>
      </c>
      <c r="B1203" s="8">
        <v>644.95000000000005</v>
      </c>
    </row>
    <row r="1204" spans="1:2" x14ac:dyDescent="0.4">
      <c r="A1204" s="5">
        <v>45884</v>
      </c>
      <c r="B1204" s="9">
        <v>643.44000000000005</v>
      </c>
    </row>
    <row r="1205" spans="1:2" x14ac:dyDescent="0.4">
      <c r="A1205" s="4">
        <v>45887</v>
      </c>
      <c r="B1205" s="8">
        <v>643.29999999999995</v>
      </c>
    </row>
    <row r="1206" spans="1:2" x14ac:dyDescent="0.4">
      <c r="A1206" s="5">
        <v>45888</v>
      </c>
      <c r="B1206" s="9">
        <v>639.80999999999995</v>
      </c>
    </row>
    <row r="1207" spans="1:2" x14ac:dyDescent="0.4">
      <c r="A1207" s="4">
        <v>45889</v>
      </c>
      <c r="B1207" s="8">
        <v>638.11</v>
      </c>
    </row>
    <row r="1208" spans="1:2" x14ac:dyDescent="0.4">
      <c r="A1208" s="5">
        <v>45890</v>
      </c>
      <c r="B1208" s="9">
        <v>635.54999999999995</v>
      </c>
    </row>
    <row r="1209" spans="1:2" x14ac:dyDescent="0.4">
      <c r="A1209" s="4">
        <v>45891</v>
      </c>
      <c r="B1209" s="8">
        <v>645.30999999999995</v>
      </c>
    </row>
    <row r="1210" spans="1:2" x14ac:dyDescent="0.4">
      <c r="A1210" s="5">
        <v>45894</v>
      </c>
      <c r="B1210" s="9">
        <v>642.47</v>
      </c>
    </row>
    <row r="1211" spans="1:2" x14ac:dyDescent="0.4">
      <c r="A1211" s="4">
        <v>45895</v>
      </c>
      <c r="B1211" s="8">
        <v>645.16</v>
      </c>
    </row>
    <row r="1212" spans="1:2" x14ac:dyDescent="0.4">
      <c r="A1212" s="5">
        <v>45896</v>
      </c>
      <c r="B1212" s="9">
        <v>646.63</v>
      </c>
    </row>
    <row r="1213" spans="1:2" x14ac:dyDescent="0.4">
      <c r="A1213" s="4">
        <v>45897</v>
      </c>
      <c r="B1213" s="8">
        <v>648.91999999999996</v>
      </c>
    </row>
    <row r="1214" spans="1:2" x14ac:dyDescent="0.4">
      <c r="A1214" s="5">
        <v>45898</v>
      </c>
      <c r="B1214" s="9">
        <v>645.04999999999995</v>
      </c>
    </row>
    <row r="1215" spans="1:2" x14ac:dyDescent="0.4">
      <c r="A1215" s="4">
        <v>45902</v>
      </c>
      <c r="B1215" s="8">
        <v>640.27</v>
      </c>
    </row>
    <row r="1216" spans="1:2" x14ac:dyDescent="0.4">
      <c r="A1216" s="5">
        <v>45903</v>
      </c>
      <c r="B1216" s="9">
        <v>643.74</v>
      </c>
    </row>
    <row r="1217" spans="1:2" x14ac:dyDescent="0.4">
      <c r="A1217" s="4">
        <v>45904</v>
      </c>
      <c r="B1217" s="8">
        <v>649.12</v>
      </c>
    </row>
    <row r="1218" spans="1:2" x14ac:dyDescent="0.4">
      <c r="A1218" s="5">
        <v>45905</v>
      </c>
      <c r="B1218" s="9">
        <v>647.24</v>
      </c>
    </row>
    <row r="1219" spans="1:2" x14ac:dyDescent="0.4">
      <c r="A1219" s="4">
        <v>45908</v>
      </c>
      <c r="B1219" s="8">
        <v>648.83000000000004</v>
      </c>
    </row>
    <row r="1220" spans="1:2" x14ac:dyDescent="0.4">
      <c r="A1220" s="5">
        <v>45909</v>
      </c>
      <c r="B1220" s="9">
        <v>650.33000000000004</v>
      </c>
    </row>
    <row r="1221" spans="1:2" x14ac:dyDescent="0.4">
      <c r="A1221" s="4">
        <v>45910</v>
      </c>
      <c r="B1221" s="8">
        <v>652.21</v>
      </c>
    </row>
    <row r="1222" spans="1:2" x14ac:dyDescent="0.4">
      <c r="A1222" s="5">
        <v>45911</v>
      </c>
      <c r="B1222" s="9">
        <v>657.63</v>
      </c>
    </row>
    <row r="1223" spans="1:2" x14ac:dyDescent="0.4">
      <c r="A1223" s="4">
        <v>45912</v>
      </c>
      <c r="B1223" s="8">
        <v>657.41</v>
      </c>
    </row>
    <row r="1224" spans="1:2" x14ac:dyDescent="0.4">
      <c r="A1224" s="5">
        <v>45915</v>
      </c>
      <c r="B1224" s="9">
        <v>660.91</v>
      </c>
    </row>
    <row r="1225" spans="1:2" x14ac:dyDescent="0.4">
      <c r="A1225" s="4">
        <v>45916</v>
      </c>
      <c r="B1225" s="8">
        <v>660</v>
      </c>
    </row>
    <row r="1226" spans="1:2" x14ac:dyDescent="0.4">
      <c r="A1226" s="5">
        <v>45917</v>
      </c>
      <c r="B1226" s="9">
        <v>659.18</v>
      </c>
    </row>
    <row r="1227" spans="1:2" x14ac:dyDescent="0.4">
      <c r="A1227" s="4">
        <v>45918</v>
      </c>
      <c r="B1227" s="8">
        <v>662.26</v>
      </c>
    </row>
    <row r="1228" spans="1:2" x14ac:dyDescent="0.4">
      <c r="A1228" s="5">
        <v>45919</v>
      </c>
      <c r="B1228" s="9">
        <v>663.7</v>
      </c>
    </row>
    <row r="1229" spans="1:2" x14ac:dyDescent="0.4">
      <c r="A1229" s="4">
        <v>45922</v>
      </c>
      <c r="B1229" s="8">
        <v>666.84</v>
      </c>
    </row>
    <row r="1230" spans="1:2" x14ac:dyDescent="0.4">
      <c r="A1230" s="5">
        <v>45923</v>
      </c>
      <c r="B1230" s="9">
        <v>663.21</v>
      </c>
    </row>
    <row r="1231" spans="1:2" x14ac:dyDescent="0.4">
      <c r="A1231" s="4">
        <v>45924</v>
      </c>
      <c r="B1231" s="8">
        <v>661.1</v>
      </c>
    </row>
    <row r="1232" spans="1:2" x14ac:dyDescent="0.4">
      <c r="A1232" s="5">
        <v>45925</v>
      </c>
      <c r="B1232" s="9">
        <v>658.05</v>
      </c>
    </row>
    <row r="1233" spans="1:2" x14ac:dyDescent="0.4">
      <c r="A1233" s="4">
        <v>45926</v>
      </c>
      <c r="B1233" s="8">
        <v>661.82</v>
      </c>
    </row>
    <row r="1234" spans="1:2" x14ac:dyDescent="0.4">
      <c r="A1234" s="5">
        <v>45929</v>
      </c>
      <c r="B1234" s="9">
        <v>663.68</v>
      </c>
    </row>
    <row r="1235" spans="1:2" x14ac:dyDescent="0.4">
      <c r="A1235" s="4">
        <v>45930</v>
      </c>
      <c r="B1235" s="8">
        <v>666.18</v>
      </c>
    </row>
    <row r="1236" spans="1:2" x14ac:dyDescent="0.4">
      <c r="A1236" s="5">
        <v>45931</v>
      </c>
      <c r="B1236" s="9">
        <v>668.45</v>
      </c>
    </row>
    <row r="1237" spans="1:2" x14ac:dyDescent="0.4">
      <c r="A1237" s="4">
        <v>45932</v>
      </c>
      <c r="B1237" s="8">
        <v>669.22</v>
      </c>
    </row>
    <row r="1238" spans="1:2" x14ac:dyDescent="0.4">
      <c r="A1238" s="5">
        <v>45933</v>
      </c>
      <c r="B1238" s="9">
        <v>669.21</v>
      </c>
    </row>
    <row r="1239" spans="1:2" x14ac:dyDescent="0.4">
      <c r="A1239" s="4">
        <v>45936</v>
      </c>
      <c r="B1239" s="8">
        <v>671.61</v>
      </c>
    </row>
    <row r="1240" spans="1:2" x14ac:dyDescent="0.4">
      <c r="A1240" s="5">
        <v>45937</v>
      </c>
      <c r="B1240" s="9">
        <v>669.12</v>
      </c>
    </row>
    <row r="1241" spans="1:2" x14ac:dyDescent="0.4">
      <c r="A1241" s="4">
        <v>45938</v>
      </c>
      <c r="B1241" s="8">
        <v>673.11</v>
      </c>
    </row>
    <row r="1242" spans="1:2" x14ac:dyDescent="0.4">
      <c r="A1242" s="5">
        <v>45939</v>
      </c>
      <c r="B1242" s="9">
        <v>671.16</v>
      </c>
    </row>
    <row r="1243" spans="1:2" x14ac:dyDescent="0.4">
      <c r="A1243" s="4">
        <v>45940</v>
      </c>
      <c r="B1243" s="8">
        <v>653.02</v>
      </c>
    </row>
    <row r="1244" spans="1:2" x14ac:dyDescent="0.4">
      <c r="A1244" s="5">
        <v>45943</v>
      </c>
      <c r="B1244" s="9">
        <v>663.04</v>
      </c>
    </row>
    <row r="1245" spans="1:2" x14ac:dyDescent="0.4">
      <c r="A1245" s="4">
        <v>45944</v>
      </c>
      <c r="B1245" s="8">
        <v>662.23</v>
      </c>
    </row>
    <row r="1246" spans="1:2" x14ac:dyDescent="0.4">
      <c r="A1246" s="5">
        <v>45945</v>
      </c>
      <c r="B1246" s="9">
        <v>665.17</v>
      </c>
    </row>
    <row r="1247" spans="1:2" x14ac:dyDescent="0.4">
      <c r="A1247" s="4">
        <v>45946</v>
      </c>
      <c r="B1247" s="8">
        <v>660.64</v>
      </c>
    </row>
    <row r="1248" spans="1:2" x14ac:dyDescent="0.4">
      <c r="A1248" s="5">
        <v>45947</v>
      </c>
      <c r="B1248" s="9">
        <v>664.39</v>
      </c>
    </row>
    <row r="1249" spans="1:2" x14ac:dyDescent="0.4">
      <c r="A1249" s="4">
        <v>45950</v>
      </c>
      <c r="B1249" s="8">
        <v>671.3</v>
      </c>
    </row>
    <row r="1250" spans="1:2" x14ac:dyDescent="0.4">
      <c r="A1250" s="5">
        <v>45951</v>
      </c>
      <c r="B1250" s="9">
        <v>671.29</v>
      </c>
    </row>
    <row r="1251" spans="1:2" x14ac:dyDescent="0.4">
      <c r="A1251" s="4">
        <v>45952</v>
      </c>
      <c r="B1251" s="8">
        <v>667.8</v>
      </c>
    </row>
    <row r="1252" spans="1:2" x14ac:dyDescent="0.4">
      <c r="A1252" s="5">
        <v>45953</v>
      </c>
      <c r="B1252" s="9">
        <v>671.76</v>
      </c>
    </row>
    <row r="1253" spans="1:2" x14ac:dyDescent="0.4">
      <c r="A1253" s="4">
        <v>45954</v>
      </c>
      <c r="B1253" s="8">
        <v>677.25</v>
      </c>
    </row>
    <row r="1254" spans="1:2" x14ac:dyDescent="0.4">
      <c r="A1254" s="5">
        <v>45957</v>
      </c>
      <c r="B1254" s="9">
        <v>685.24</v>
      </c>
    </row>
    <row r="1255" spans="1:2" x14ac:dyDescent="0.4">
      <c r="A1255" s="4">
        <v>45958</v>
      </c>
      <c r="B1255" s="8">
        <v>687.06</v>
      </c>
    </row>
    <row r="1256" spans="1:2" x14ac:dyDescent="0.4">
      <c r="A1256" s="5">
        <v>45959</v>
      </c>
      <c r="B1256" s="9">
        <v>687.39</v>
      </c>
    </row>
    <row r="1257" spans="1:2" x14ac:dyDescent="0.4">
      <c r="A1257" s="4">
        <v>45960</v>
      </c>
      <c r="B1257" s="8">
        <v>679.83</v>
      </c>
    </row>
    <row r="1258" spans="1:2" x14ac:dyDescent="0.4">
      <c r="A1258" s="5">
        <v>45961</v>
      </c>
      <c r="B1258" s="9">
        <v>682.06</v>
      </c>
    </row>
  </sheetData>
  <phoneticPr fontId="20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68ED-C555-4AC9-B31E-5B56C7C19023}">
  <dimension ref="A1:E1258"/>
  <sheetViews>
    <sheetView workbookViewId="0"/>
  </sheetViews>
  <sheetFormatPr defaultRowHeight="21" x14ac:dyDescent="0.4"/>
  <cols>
    <col min="1" max="1" width="9.92578125" bestFit="1" customWidth="1"/>
    <col min="2" max="2" width="8.5703125" bestFit="1" customWidth="1"/>
  </cols>
  <sheetData>
    <row r="1" spans="1:5" x14ac:dyDescent="0.4">
      <c r="C1">
        <v>50</v>
      </c>
      <c r="D1">
        <v>200</v>
      </c>
    </row>
    <row r="2" spans="1:5" x14ac:dyDescent="0.4">
      <c r="A2" s="6" t="s">
        <v>0</v>
      </c>
      <c r="B2" s="6" t="s">
        <v>1</v>
      </c>
      <c r="C2" s="6" t="s">
        <v>18</v>
      </c>
      <c r="D2" s="6" t="s">
        <v>19</v>
      </c>
      <c r="E2" s="6" t="s">
        <v>4</v>
      </c>
    </row>
    <row r="3" spans="1:5" x14ac:dyDescent="0.4">
      <c r="A3" s="4">
        <v>44137</v>
      </c>
      <c r="B3" s="8">
        <v>330.2</v>
      </c>
      <c r="C3" s="27" t="e">
        <f ca="1">AVERAGE(OFFSET(SPY_Close_Price_PQ[[#This Row],[Close]], 0, 0, $C$1*-1))</f>
        <v>#REF!</v>
      </c>
      <c r="D3" s="27" t="e">
        <f ca="1">AVERAGE(OFFSET(SPY_Close_Price_PQ[[#This Row],[Close]], 0, 0, $D$1*-1))</f>
        <v>#REF!</v>
      </c>
      <c r="E3" s="28" t="e">
        <f ca="1">IF(AND(C2&lt;D2,C3&gt;D3),1,0)</f>
        <v>#REF!</v>
      </c>
    </row>
    <row r="4" spans="1:5" x14ac:dyDescent="0.4">
      <c r="A4" s="5">
        <v>44138</v>
      </c>
      <c r="B4" s="9">
        <v>336.03</v>
      </c>
      <c r="C4" s="27" t="e">
        <f ca="1">AVERAGE(OFFSET(SPY_Close_Price_PQ[[#This Row],[Close]], 0, 0, $C$1*-1))</f>
        <v>#REF!</v>
      </c>
      <c r="D4" s="27" t="e">
        <f ca="1">AVERAGE(OFFSET(SPY_Close_Price_PQ[[#This Row],[Close]], 0, 0, $D$1*-1))</f>
        <v>#REF!</v>
      </c>
      <c r="E4" s="28" t="e">
        <f t="shared" ref="E4:E67" ca="1" si="0">IF(AND(C3&lt;D3,C4&gt;D4),1,0)</f>
        <v>#REF!</v>
      </c>
    </row>
    <row r="5" spans="1:5" x14ac:dyDescent="0.4">
      <c r="A5" s="4">
        <v>44139</v>
      </c>
      <c r="B5" s="8">
        <v>343.54</v>
      </c>
      <c r="C5" s="27" t="e">
        <f ca="1">AVERAGE(OFFSET(SPY_Close_Price_PQ[[#This Row],[Close]], 0, 0, $C$1*-1))</f>
        <v>#REF!</v>
      </c>
      <c r="D5" s="27" t="e">
        <f ca="1">AVERAGE(OFFSET(SPY_Close_Price_PQ[[#This Row],[Close]], 0, 0, $D$1*-1))</f>
        <v>#REF!</v>
      </c>
      <c r="E5" s="28" t="e">
        <f t="shared" ca="1" si="0"/>
        <v>#REF!</v>
      </c>
    </row>
    <row r="6" spans="1:5" x14ac:dyDescent="0.4">
      <c r="A6" s="5">
        <v>44140</v>
      </c>
      <c r="B6" s="9">
        <v>350.24</v>
      </c>
      <c r="C6" s="27" t="e">
        <f ca="1">AVERAGE(OFFSET(SPY_Close_Price_PQ[[#This Row],[Close]], 0, 0, $C$1*-1))</f>
        <v>#REF!</v>
      </c>
      <c r="D6" s="27" t="e">
        <f ca="1">AVERAGE(OFFSET(SPY_Close_Price_PQ[[#This Row],[Close]], 0, 0, $D$1*-1))</f>
        <v>#REF!</v>
      </c>
      <c r="E6" s="28" t="e">
        <f t="shared" ca="1" si="0"/>
        <v>#REF!</v>
      </c>
    </row>
    <row r="7" spans="1:5" x14ac:dyDescent="0.4">
      <c r="A7" s="4">
        <v>44141</v>
      </c>
      <c r="B7" s="8">
        <v>350.16</v>
      </c>
      <c r="C7" s="27" t="e">
        <f ca="1">AVERAGE(OFFSET(SPY_Close_Price_PQ[[#This Row],[Close]], 0, 0, $C$1*-1))</f>
        <v>#REF!</v>
      </c>
      <c r="D7" s="27" t="e">
        <f ca="1">AVERAGE(OFFSET(SPY_Close_Price_PQ[[#This Row],[Close]], 0, 0, $D$1*-1))</f>
        <v>#REF!</v>
      </c>
      <c r="E7" s="28" t="e">
        <f t="shared" ca="1" si="0"/>
        <v>#REF!</v>
      </c>
    </row>
    <row r="8" spans="1:5" x14ac:dyDescent="0.4">
      <c r="A8" s="5">
        <v>44144</v>
      </c>
      <c r="B8" s="9">
        <v>354.56</v>
      </c>
      <c r="C8" s="27" t="e">
        <f ca="1">AVERAGE(OFFSET(SPY_Close_Price_PQ[[#This Row],[Close]], 0, 0, $C$1*-1))</f>
        <v>#REF!</v>
      </c>
      <c r="D8" s="27" t="e">
        <f ca="1">AVERAGE(OFFSET(SPY_Close_Price_PQ[[#This Row],[Close]], 0, 0, $D$1*-1))</f>
        <v>#REF!</v>
      </c>
      <c r="E8" s="28" t="e">
        <f t="shared" ca="1" si="0"/>
        <v>#REF!</v>
      </c>
    </row>
    <row r="9" spans="1:5" x14ac:dyDescent="0.4">
      <c r="A9" s="4">
        <v>44145</v>
      </c>
      <c r="B9" s="8">
        <v>354.04</v>
      </c>
      <c r="C9" s="27" t="e">
        <f ca="1">AVERAGE(OFFSET(SPY_Close_Price_PQ[[#This Row],[Close]], 0, 0, $C$1*-1))</f>
        <v>#REF!</v>
      </c>
      <c r="D9" s="27" t="e">
        <f ca="1">AVERAGE(OFFSET(SPY_Close_Price_PQ[[#This Row],[Close]], 0, 0, $D$1*-1))</f>
        <v>#REF!</v>
      </c>
      <c r="E9" s="28" t="e">
        <f t="shared" ca="1" si="0"/>
        <v>#REF!</v>
      </c>
    </row>
    <row r="10" spans="1:5" x14ac:dyDescent="0.4">
      <c r="A10" s="5">
        <v>44146</v>
      </c>
      <c r="B10" s="9">
        <v>356.67</v>
      </c>
      <c r="C10" s="27" t="e">
        <f ca="1">AVERAGE(OFFSET(SPY_Close_Price_PQ[[#This Row],[Close]], 0, 0, $C$1*-1))</f>
        <v>#REF!</v>
      </c>
      <c r="D10" s="27" t="e">
        <f ca="1">AVERAGE(OFFSET(SPY_Close_Price_PQ[[#This Row],[Close]], 0, 0, $D$1*-1))</f>
        <v>#REF!</v>
      </c>
      <c r="E10" s="28" t="e">
        <f t="shared" ca="1" si="0"/>
        <v>#REF!</v>
      </c>
    </row>
    <row r="11" spans="1:5" x14ac:dyDescent="0.4">
      <c r="A11" s="4">
        <v>44147</v>
      </c>
      <c r="B11" s="8">
        <v>353.21</v>
      </c>
      <c r="C11" s="27" t="e">
        <f ca="1">AVERAGE(OFFSET(SPY_Close_Price_PQ[[#This Row],[Close]], 0, 0, $C$1*-1))</f>
        <v>#REF!</v>
      </c>
      <c r="D11" s="27" t="e">
        <f ca="1">AVERAGE(OFFSET(SPY_Close_Price_PQ[[#This Row],[Close]], 0, 0, $D$1*-1))</f>
        <v>#REF!</v>
      </c>
      <c r="E11" s="28" t="e">
        <f t="shared" ca="1" si="0"/>
        <v>#REF!</v>
      </c>
    </row>
    <row r="12" spans="1:5" x14ac:dyDescent="0.4">
      <c r="A12" s="5">
        <v>44148</v>
      </c>
      <c r="B12" s="9">
        <v>358.1</v>
      </c>
      <c r="C12" s="27" t="e">
        <f ca="1">AVERAGE(OFFSET(SPY_Close_Price_PQ[[#This Row],[Close]], 0, 0, $C$1*-1))</f>
        <v>#REF!</v>
      </c>
      <c r="D12" s="27" t="e">
        <f ca="1">AVERAGE(OFFSET(SPY_Close_Price_PQ[[#This Row],[Close]], 0, 0, $D$1*-1))</f>
        <v>#REF!</v>
      </c>
      <c r="E12" s="28" t="e">
        <f t="shared" ca="1" si="0"/>
        <v>#REF!</v>
      </c>
    </row>
    <row r="13" spans="1:5" x14ac:dyDescent="0.4">
      <c r="A13" s="4">
        <v>44151</v>
      </c>
      <c r="B13" s="8">
        <v>362.57</v>
      </c>
      <c r="C13" s="27" t="e">
        <f ca="1">AVERAGE(OFFSET(SPY_Close_Price_PQ[[#This Row],[Close]], 0, 0, $C$1*-1))</f>
        <v>#REF!</v>
      </c>
      <c r="D13" s="27" t="e">
        <f ca="1">AVERAGE(OFFSET(SPY_Close_Price_PQ[[#This Row],[Close]], 0, 0, $D$1*-1))</f>
        <v>#REF!</v>
      </c>
      <c r="E13" s="28" t="e">
        <f t="shared" ca="1" si="0"/>
        <v>#REF!</v>
      </c>
    </row>
    <row r="14" spans="1:5" x14ac:dyDescent="0.4">
      <c r="A14" s="5">
        <v>44152</v>
      </c>
      <c r="B14" s="9">
        <v>360.62</v>
      </c>
      <c r="C14" s="27" t="e">
        <f ca="1">AVERAGE(OFFSET(SPY_Close_Price_PQ[[#This Row],[Close]], 0, 0, $C$1*-1))</f>
        <v>#REF!</v>
      </c>
      <c r="D14" s="27" t="e">
        <f ca="1">AVERAGE(OFFSET(SPY_Close_Price_PQ[[#This Row],[Close]], 0, 0, $D$1*-1))</f>
        <v>#REF!</v>
      </c>
      <c r="E14" s="28" t="e">
        <f t="shared" ca="1" si="0"/>
        <v>#REF!</v>
      </c>
    </row>
    <row r="15" spans="1:5" x14ac:dyDescent="0.4">
      <c r="A15" s="4">
        <v>44153</v>
      </c>
      <c r="B15" s="8">
        <v>356.28</v>
      </c>
      <c r="C15" s="27" t="e">
        <f ca="1">AVERAGE(OFFSET(SPY_Close_Price_PQ[[#This Row],[Close]], 0, 0, $C$1*-1))</f>
        <v>#REF!</v>
      </c>
      <c r="D15" s="27" t="e">
        <f ca="1">AVERAGE(OFFSET(SPY_Close_Price_PQ[[#This Row],[Close]], 0, 0, $D$1*-1))</f>
        <v>#REF!</v>
      </c>
      <c r="E15" s="28" t="e">
        <f t="shared" ca="1" si="0"/>
        <v>#REF!</v>
      </c>
    </row>
    <row r="16" spans="1:5" x14ac:dyDescent="0.4">
      <c r="A16" s="5">
        <v>44154</v>
      </c>
      <c r="B16" s="9">
        <v>357.78</v>
      </c>
      <c r="C16" s="27" t="e">
        <f ca="1">AVERAGE(OFFSET(SPY_Close_Price_PQ[[#This Row],[Close]], 0, 0, $C$1*-1))</f>
        <v>#REF!</v>
      </c>
      <c r="D16" s="27" t="e">
        <f ca="1">AVERAGE(OFFSET(SPY_Close_Price_PQ[[#This Row],[Close]], 0, 0, $D$1*-1))</f>
        <v>#REF!</v>
      </c>
      <c r="E16" s="28" t="e">
        <f t="shared" ca="1" si="0"/>
        <v>#REF!</v>
      </c>
    </row>
    <row r="17" spans="1:5" x14ac:dyDescent="0.4">
      <c r="A17" s="4">
        <v>44155</v>
      </c>
      <c r="B17" s="8">
        <v>355.33</v>
      </c>
      <c r="C17" s="27" t="e">
        <f ca="1">AVERAGE(OFFSET(SPY_Close_Price_PQ[[#This Row],[Close]], 0, 0, $C$1*-1))</f>
        <v>#REF!</v>
      </c>
      <c r="D17" s="27" t="e">
        <f ca="1">AVERAGE(OFFSET(SPY_Close_Price_PQ[[#This Row],[Close]], 0, 0, $D$1*-1))</f>
        <v>#REF!</v>
      </c>
      <c r="E17" s="28" t="e">
        <f t="shared" ca="1" si="0"/>
        <v>#REF!</v>
      </c>
    </row>
    <row r="18" spans="1:5" x14ac:dyDescent="0.4">
      <c r="A18" s="5">
        <v>44158</v>
      </c>
      <c r="B18" s="9">
        <v>357.46</v>
      </c>
      <c r="C18" s="27" t="e">
        <f ca="1">AVERAGE(OFFSET(SPY_Close_Price_PQ[[#This Row],[Close]], 0, 0, $C$1*-1))</f>
        <v>#REF!</v>
      </c>
      <c r="D18" s="27" t="e">
        <f ca="1">AVERAGE(OFFSET(SPY_Close_Price_PQ[[#This Row],[Close]], 0, 0, $D$1*-1))</f>
        <v>#REF!</v>
      </c>
      <c r="E18" s="28" t="e">
        <f t="shared" ca="1" si="0"/>
        <v>#REF!</v>
      </c>
    </row>
    <row r="19" spans="1:5" x14ac:dyDescent="0.4">
      <c r="A19" s="4">
        <v>44159</v>
      </c>
      <c r="B19" s="8">
        <v>363.22</v>
      </c>
      <c r="C19" s="27" t="e">
        <f ca="1">AVERAGE(OFFSET(SPY_Close_Price_PQ[[#This Row],[Close]], 0, 0, $C$1*-1))</f>
        <v>#REF!</v>
      </c>
      <c r="D19" s="27" t="e">
        <f ca="1">AVERAGE(OFFSET(SPY_Close_Price_PQ[[#This Row],[Close]], 0, 0, $D$1*-1))</f>
        <v>#REF!</v>
      </c>
      <c r="E19" s="28" t="e">
        <f t="shared" ca="1" si="0"/>
        <v>#REF!</v>
      </c>
    </row>
    <row r="20" spans="1:5" x14ac:dyDescent="0.4">
      <c r="A20" s="5">
        <v>44160</v>
      </c>
      <c r="B20" s="9">
        <v>362.66</v>
      </c>
      <c r="C20" s="27" t="e">
        <f ca="1">AVERAGE(OFFSET(SPY_Close_Price_PQ[[#This Row],[Close]], 0, 0, $C$1*-1))</f>
        <v>#REF!</v>
      </c>
      <c r="D20" s="27" t="e">
        <f ca="1">AVERAGE(OFFSET(SPY_Close_Price_PQ[[#This Row],[Close]], 0, 0, $D$1*-1))</f>
        <v>#REF!</v>
      </c>
      <c r="E20" s="28" t="e">
        <f t="shared" ca="1" si="0"/>
        <v>#REF!</v>
      </c>
    </row>
    <row r="21" spans="1:5" x14ac:dyDescent="0.4">
      <c r="A21" s="4">
        <v>44162</v>
      </c>
      <c r="B21" s="8">
        <v>363.67</v>
      </c>
      <c r="C21" s="27" t="e">
        <f ca="1">AVERAGE(OFFSET(SPY_Close_Price_PQ[[#This Row],[Close]], 0, 0, $C$1*-1))</f>
        <v>#REF!</v>
      </c>
      <c r="D21" s="27" t="e">
        <f ca="1">AVERAGE(OFFSET(SPY_Close_Price_PQ[[#This Row],[Close]], 0, 0, $D$1*-1))</f>
        <v>#REF!</v>
      </c>
      <c r="E21" s="28" t="e">
        <f t="shared" ca="1" si="0"/>
        <v>#REF!</v>
      </c>
    </row>
    <row r="22" spans="1:5" x14ac:dyDescent="0.4">
      <c r="A22" s="5">
        <v>44165</v>
      </c>
      <c r="B22" s="9">
        <v>362.06</v>
      </c>
      <c r="C22" s="27" t="e">
        <f ca="1">AVERAGE(OFFSET(SPY_Close_Price_PQ[[#This Row],[Close]], 0, 0, $C$1*-1))</f>
        <v>#REF!</v>
      </c>
      <c r="D22" s="27" t="e">
        <f ca="1">AVERAGE(OFFSET(SPY_Close_Price_PQ[[#This Row],[Close]], 0, 0, $D$1*-1))</f>
        <v>#REF!</v>
      </c>
      <c r="E22" s="28" t="e">
        <f t="shared" ca="1" si="0"/>
        <v>#REF!</v>
      </c>
    </row>
    <row r="23" spans="1:5" x14ac:dyDescent="0.4">
      <c r="A23" s="4">
        <v>44166</v>
      </c>
      <c r="B23" s="8">
        <v>366.02</v>
      </c>
      <c r="C23" s="27" t="e">
        <f ca="1">AVERAGE(OFFSET(SPY_Close_Price_PQ[[#This Row],[Close]], 0, 0, $C$1*-1))</f>
        <v>#REF!</v>
      </c>
      <c r="D23" s="27" t="e">
        <f ca="1">AVERAGE(OFFSET(SPY_Close_Price_PQ[[#This Row],[Close]], 0, 0, $D$1*-1))</f>
        <v>#REF!</v>
      </c>
      <c r="E23" s="28" t="e">
        <f t="shared" ca="1" si="0"/>
        <v>#REF!</v>
      </c>
    </row>
    <row r="24" spans="1:5" x14ac:dyDescent="0.4">
      <c r="A24" s="5">
        <v>44167</v>
      </c>
      <c r="B24" s="9">
        <v>366.79</v>
      </c>
      <c r="C24" s="27" t="e">
        <f ca="1">AVERAGE(OFFSET(SPY_Close_Price_PQ[[#This Row],[Close]], 0, 0, $C$1*-1))</f>
        <v>#REF!</v>
      </c>
      <c r="D24" s="27" t="e">
        <f ca="1">AVERAGE(OFFSET(SPY_Close_Price_PQ[[#This Row],[Close]], 0, 0, $D$1*-1))</f>
        <v>#REF!</v>
      </c>
      <c r="E24" s="28" t="e">
        <f t="shared" ca="1" si="0"/>
        <v>#REF!</v>
      </c>
    </row>
    <row r="25" spans="1:5" x14ac:dyDescent="0.4">
      <c r="A25" s="4">
        <v>44168</v>
      </c>
      <c r="B25" s="8">
        <v>366.69</v>
      </c>
      <c r="C25" s="27" t="e">
        <f ca="1">AVERAGE(OFFSET(SPY_Close_Price_PQ[[#This Row],[Close]], 0, 0, $C$1*-1))</f>
        <v>#REF!</v>
      </c>
      <c r="D25" s="27" t="e">
        <f ca="1">AVERAGE(OFFSET(SPY_Close_Price_PQ[[#This Row],[Close]], 0, 0, $D$1*-1))</f>
        <v>#REF!</v>
      </c>
      <c r="E25" s="28" t="e">
        <f t="shared" ca="1" si="0"/>
        <v>#REF!</v>
      </c>
    </row>
    <row r="26" spans="1:5" x14ac:dyDescent="0.4">
      <c r="A26" s="5">
        <v>44169</v>
      </c>
      <c r="B26" s="9">
        <v>369.85</v>
      </c>
      <c r="C26" s="27" t="e">
        <f ca="1">AVERAGE(OFFSET(SPY_Close_Price_PQ[[#This Row],[Close]], 0, 0, $C$1*-1))</f>
        <v>#REF!</v>
      </c>
      <c r="D26" s="27" t="e">
        <f ca="1">AVERAGE(OFFSET(SPY_Close_Price_PQ[[#This Row],[Close]], 0, 0, $D$1*-1))</f>
        <v>#REF!</v>
      </c>
      <c r="E26" s="28" t="e">
        <f t="shared" ca="1" si="0"/>
        <v>#REF!</v>
      </c>
    </row>
    <row r="27" spans="1:5" x14ac:dyDescent="0.4">
      <c r="A27" s="4">
        <v>44172</v>
      </c>
      <c r="B27" s="8">
        <v>369.09</v>
      </c>
      <c r="C27" s="27" t="e">
        <f ca="1">AVERAGE(OFFSET(SPY_Close_Price_PQ[[#This Row],[Close]], 0, 0, $C$1*-1))</f>
        <v>#REF!</v>
      </c>
      <c r="D27" s="27" t="e">
        <f ca="1">AVERAGE(OFFSET(SPY_Close_Price_PQ[[#This Row],[Close]], 0, 0, $D$1*-1))</f>
        <v>#REF!</v>
      </c>
      <c r="E27" s="28" t="e">
        <f t="shared" ca="1" si="0"/>
        <v>#REF!</v>
      </c>
    </row>
    <row r="28" spans="1:5" x14ac:dyDescent="0.4">
      <c r="A28" s="5">
        <v>44173</v>
      </c>
      <c r="B28" s="9">
        <v>370.17</v>
      </c>
      <c r="C28" s="27" t="e">
        <f ca="1">AVERAGE(OFFSET(SPY_Close_Price_PQ[[#This Row],[Close]], 0, 0, $C$1*-1))</f>
        <v>#REF!</v>
      </c>
      <c r="D28" s="27" t="e">
        <f ca="1">AVERAGE(OFFSET(SPY_Close_Price_PQ[[#This Row],[Close]], 0, 0, $D$1*-1))</f>
        <v>#REF!</v>
      </c>
      <c r="E28" s="28" t="e">
        <f t="shared" ca="1" si="0"/>
        <v>#REF!</v>
      </c>
    </row>
    <row r="29" spans="1:5" x14ac:dyDescent="0.4">
      <c r="A29" s="4">
        <v>44174</v>
      </c>
      <c r="B29" s="8">
        <v>366.85</v>
      </c>
      <c r="C29" s="27" t="e">
        <f ca="1">AVERAGE(OFFSET(SPY_Close_Price_PQ[[#This Row],[Close]], 0, 0, $C$1*-1))</f>
        <v>#REF!</v>
      </c>
      <c r="D29" s="27" t="e">
        <f ca="1">AVERAGE(OFFSET(SPY_Close_Price_PQ[[#This Row],[Close]], 0, 0, $D$1*-1))</f>
        <v>#REF!</v>
      </c>
      <c r="E29" s="28" t="e">
        <f t="shared" ca="1" si="0"/>
        <v>#REF!</v>
      </c>
    </row>
    <row r="30" spans="1:5" x14ac:dyDescent="0.4">
      <c r="A30" s="5">
        <v>44175</v>
      </c>
      <c r="B30" s="9">
        <v>366.73</v>
      </c>
      <c r="C30" s="27" t="e">
        <f ca="1">AVERAGE(OFFSET(SPY_Close_Price_PQ[[#This Row],[Close]], 0, 0, $C$1*-1))</f>
        <v>#REF!</v>
      </c>
      <c r="D30" s="27" t="e">
        <f ca="1">AVERAGE(OFFSET(SPY_Close_Price_PQ[[#This Row],[Close]], 0, 0, $D$1*-1))</f>
        <v>#REF!</v>
      </c>
      <c r="E30" s="28" t="e">
        <f t="shared" ca="1" si="0"/>
        <v>#REF!</v>
      </c>
    </row>
    <row r="31" spans="1:5" x14ac:dyDescent="0.4">
      <c r="A31" s="4">
        <v>44176</v>
      </c>
      <c r="B31" s="8">
        <v>366.3</v>
      </c>
      <c r="C31" s="27" t="e">
        <f ca="1">AVERAGE(OFFSET(SPY_Close_Price_PQ[[#This Row],[Close]], 0, 0, $C$1*-1))</f>
        <v>#REF!</v>
      </c>
      <c r="D31" s="27" t="e">
        <f ca="1">AVERAGE(OFFSET(SPY_Close_Price_PQ[[#This Row],[Close]], 0, 0, $D$1*-1))</f>
        <v>#REF!</v>
      </c>
      <c r="E31" s="28" t="e">
        <f t="shared" ca="1" si="0"/>
        <v>#REF!</v>
      </c>
    </row>
    <row r="32" spans="1:5" x14ac:dyDescent="0.4">
      <c r="A32" s="5">
        <v>44179</v>
      </c>
      <c r="B32" s="9">
        <v>364.66</v>
      </c>
      <c r="C32" s="27" t="e">
        <f ca="1">AVERAGE(OFFSET(SPY_Close_Price_PQ[[#This Row],[Close]], 0, 0, $C$1*-1))</f>
        <v>#REF!</v>
      </c>
      <c r="D32" s="27" t="e">
        <f ca="1">AVERAGE(OFFSET(SPY_Close_Price_PQ[[#This Row],[Close]], 0, 0, $D$1*-1))</f>
        <v>#REF!</v>
      </c>
      <c r="E32" s="28" t="e">
        <f t="shared" ca="1" si="0"/>
        <v>#REF!</v>
      </c>
    </row>
    <row r="33" spans="1:5" x14ac:dyDescent="0.4">
      <c r="A33" s="4">
        <v>44180</v>
      </c>
      <c r="B33" s="8">
        <v>369.59</v>
      </c>
      <c r="C33" s="27" t="e">
        <f ca="1">AVERAGE(OFFSET(SPY_Close_Price_PQ[[#This Row],[Close]], 0, 0, $C$1*-1))</f>
        <v>#REF!</v>
      </c>
      <c r="D33" s="27" t="e">
        <f ca="1">AVERAGE(OFFSET(SPY_Close_Price_PQ[[#This Row],[Close]], 0, 0, $D$1*-1))</f>
        <v>#REF!</v>
      </c>
      <c r="E33" s="28" t="e">
        <f t="shared" ca="1" si="0"/>
        <v>#REF!</v>
      </c>
    </row>
    <row r="34" spans="1:5" x14ac:dyDescent="0.4">
      <c r="A34" s="5">
        <v>44181</v>
      </c>
      <c r="B34" s="9">
        <v>370.17</v>
      </c>
      <c r="C34" s="27" t="e">
        <f ca="1">AVERAGE(OFFSET(SPY_Close_Price_PQ[[#This Row],[Close]], 0, 0, $C$1*-1))</f>
        <v>#REF!</v>
      </c>
      <c r="D34" s="27" t="e">
        <f ca="1">AVERAGE(OFFSET(SPY_Close_Price_PQ[[#This Row],[Close]], 0, 0, $D$1*-1))</f>
        <v>#REF!</v>
      </c>
      <c r="E34" s="28" t="e">
        <f t="shared" ca="1" si="0"/>
        <v>#REF!</v>
      </c>
    </row>
    <row r="35" spans="1:5" x14ac:dyDescent="0.4">
      <c r="A35" s="4">
        <v>44182</v>
      </c>
      <c r="B35" s="8">
        <v>372.24</v>
      </c>
      <c r="C35" s="27" t="e">
        <f ca="1">AVERAGE(OFFSET(SPY_Close_Price_PQ[[#This Row],[Close]], 0, 0, $C$1*-1))</f>
        <v>#REF!</v>
      </c>
      <c r="D35" s="27" t="e">
        <f ca="1">AVERAGE(OFFSET(SPY_Close_Price_PQ[[#This Row],[Close]], 0, 0, $D$1*-1))</f>
        <v>#REF!</v>
      </c>
      <c r="E35" s="28" t="e">
        <f t="shared" ca="1" si="0"/>
        <v>#REF!</v>
      </c>
    </row>
    <row r="36" spans="1:5" x14ac:dyDescent="0.4">
      <c r="A36" s="5">
        <v>44183</v>
      </c>
      <c r="B36" s="9">
        <v>369.18</v>
      </c>
      <c r="C36" s="27" t="e">
        <f ca="1">AVERAGE(OFFSET(SPY_Close_Price_PQ[[#This Row],[Close]], 0, 0, $C$1*-1))</f>
        <v>#REF!</v>
      </c>
      <c r="D36" s="27" t="e">
        <f ca="1">AVERAGE(OFFSET(SPY_Close_Price_PQ[[#This Row],[Close]], 0, 0, $D$1*-1))</f>
        <v>#REF!</v>
      </c>
      <c r="E36" s="28" t="e">
        <f t="shared" ca="1" si="0"/>
        <v>#REF!</v>
      </c>
    </row>
    <row r="37" spans="1:5" x14ac:dyDescent="0.4">
      <c r="A37" s="4">
        <v>44186</v>
      </c>
      <c r="B37" s="8">
        <v>367.86</v>
      </c>
      <c r="C37" s="27" t="e">
        <f ca="1">AVERAGE(OFFSET(SPY_Close_Price_PQ[[#This Row],[Close]], 0, 0, $C$1*-1))</f>
        <v>#REF!</v>
      </c>
      <c r="D37" s="27" t="e">
        <f ca="1">AVERAGE(OFFSET(SPY_Close_Price_PQ[[#This Row],[Close]], 0, 0, $D$1*-1))</f>
        <v>#REF!</v>
      </c>
      <c r="E37" s="28" t="e">
        <f t="shared" ca="1" si="0"/>
        <v>#REF!</v>
      </c>
    </row>
    <row r="38" spans="1:5" x14ac:dyDescent="0.4">
      <c r="A38" s="5">
        <v>44187</v>
      </c>
      <c r="B38" s="9">
        <v>367.24</v>
      </c>
      <c r="C38" s="27" t="e">
        <f ca="1">AVERAGE(OFFSET(SPY_Close_Price_PQ[[#This Row],[Close]], 0, 0, $C$1*-1))</f>
        <v>#REF!</v>
      </c>
      <c r="D38" s="27" t="e">
        <f ca="1">AVERAGE(OFFSET(SPY_Close_Price_PQ[[#This Row],[Close]], 0, 0, $D$1*-1))</f>
        <v>#REF!</v>
      </c>
      <c r="E38" s="28" t="e">
        <f t="shared" ca="1" si="0"/>
        <v>#REF!</v>
      </c>
    </row>
    <row r="39" spans="1:5" x14ac:dyDescent="0.4">
      <c r="A39" s="4">
        <v>44188</v>
      </c>
      <c r="B39" s="8">
        <v>367.57</v>
      </c>
      <c r="C39" s="27" t="e">
        <f ca="1">AVERAGE(OFFSET(SPY_Close_Price_PQ[[#This Row],[Close]], 0, 0, $C$1*-1))</f>
        <v>#REF!</v>
      </c>
      <c r="D39" s="27" t="e">
        <f ca="1">AVERAGE(OFFSET(SPY_Close_Price_PQ[[#This Row],[Close]], 0, 0, $D$1*-1))</f>
        <v>#REF!</v>
      </c>
      <c r="E39" s="28" t="e">
        <f t="shared" ca="1" si="0"/>
        <v>#REF!</v>
      </c>
    </row>
    <row r="40" spans="1:5" x14ac:dyDescent="0.4">
      <c r="A40" s="5">
        <v>44189</v>
      </c>
      <c r="B40" s="9">
        <v>369</v>
      </c>
      <c r="C40" s="27" t="e">
        <f ca="1">AVERAGE(OFFSET(SPY_Close_Price_PQ[[#This Row],[Close]], 0, 0, $C$1*-1))</f>
        <v>#REF!</v>
      </c>
      <c r="D40" s="27" t="e">
        <f ca="1">AVERAGE(OFFSET(SPY_Close_Price_PQ[[#This Row],[Close]], 0, 0, $D$1*-1))</f>
        <v>#REF!</v>
      </c>
      <c r="E40" s="28" t="e">
        <f t="shared" ca="1" si="0"/>
        <v>#REF!</v>
      </c>
    </row>
    <row r="41" spans="1:5" x14ac:dyDescent="0.4">
      <c r="A41" s="4">
        <v>44193</v>
      </c>
      <c r="B41" s="8">
        <v>372.17</v>
      </c>
      <c r="C41" s="27" t="e">
        <f ca="1">AVERAGE(OFFSET(SPY_Close_Price_PQ[[#This Row],[Close]], 0, 0, $C$1*-1))</f>
        <v>#REF!</v>
      </c>
      <c r="D41" s="27" t="e">
        <f ca="1">AVERAGE(OFFSET(SPY_Close_Price_PQ[[#This Row],[Close]], 0, 0, $D$1*-1))</f>
        <v>#REF!</v>
      </c>
      <c r="E41" s="28" t="e">
        <f t="shared" ca="1" si="0"/>
        <v>#REF!</v>
      </c>
    </row>
    <row r="42" spans="1:5" x14ac:dyDescent="0.4">
      <c r="A42" s="5">
        <v>44194</v>
      </c>
      <c r="B42" s="9">
        <v>371.46</v>
      </c>
      <c r="C42" s="27" t="e">
        <f ca="1">AVERAGE(OFFSET(SPY_Close_Price_PQ[[#This Row],[Close]], 0, 0, $C$1*-1))</f>
        <v>#REF!</v>
      </c>
      <c r="D42" s="27" t="e">
        <f ca="1">AVERAGE(OFFSET(SPY_Close_Price_PQ[[#This Row],[Close]], 0, 0, $D$1*-1))</f>
        <v>#REF!</v>
      </c>
      <c r="E42" s="28" t="e">
        <f t="shared" ca="1" si="0"/>
        <v>#REF!</v>
      </c>
    </row>
    <row r="43" spans="1:5" x14ac:dyDescent="0.4">
      <c r="A43" s="4">
        <v>44195</v>
      </c>
      <c r="B43" s="8">
        <v>371.99</v>
      </c>
      <c r="C43" s="27" t="e">
        <f ca="1">AVERAGE(OFFSET(SPY_Close_Price_PQ[[#This Row],[Close]], 0, 0, $C$1*-1))</f>
        <v>#REF!</v>
      </c>
      <c r="D43" s="27" t="e">
        <f ca="1">AVERAGE(OFFSET(SPY_Close_Price_PQ[[#This Row],[Close]], 0, 0, $D$1*-1))</f>
        <v>#REF!</v>
      </c>
      <c r="E43" s="28" t="e">
        <f t="shared" ca="1" si="0"/>
        <v>#REF!</v>
      </c>
    </row>
    <row r="44" spans="1:5" x14ac:dyDescent="0.4">
      <c r="A44" s="5">
        <v>44196</v>
      </c>
      <c r="B44" s="9">
        <v>373.88</v>
      </c>
      <c r="C44" s="27" t="e">
        <f ca="1">AVERAGE(OFFSET(SPY_Close_Price_PQ[[#This Row],[Close]], 0, 0, $C$1*-1))</f>
        <v>#REF!</v>
      </c>
      <c r="D44" s="27" t="e">
        <f ca="1">AVERAGE(OFFSET(SPY_Close_Price_PQ[[#This Row],[Close]], 0, 0, $D$1*-1))</f>
        <v>#REF!</v>
      </c>
      <c r="E44" s="28" t="e">
        <f t="shared" ca="1" si="0"/>
        <v>#REF!</v>
      </c>
    </row>
    <row r="45" spans="1:5" x14ac:dyDescent="0.4">
      <c r="A45" s="4">
        <v>44200</v>
      </c>
      <c r="B45" s="8">
        <v>368.79</v>
      </c>
      <c r="C45" s="27" t="e">
        <f ca="1">AVERAGE(OFFSET(SPY_Close_Price_PQ[[#This Row],[Close]], 0, 0, $C$1*-1))</f>
        <v>#REF!</v>
      </c>
      <c r="D45" s="27" t="e">
        <f ca="1">AVERAGE(OFFSET(SPY_Close_Price_PQ[[#This Row],[Close]], 0, 0, $D$1*-1))</f>
        <v>#REF!</v>
      </c>
      <c r="E45" s="28" t="e">
        <f t="shared" ca="1" si="0"/>
        <v>#REF!</v>
      </c>
    </row>
    <row r="46" spans="1:5" x14ac:dyDescent="0.4">
      <c r="A46" s="5">
        <v>44201</v>
      </c>
      <c r="B46" s="9">
        <v>371.33</v>
      </c>
      <c r="C46" s="27" t="e">
        <f ca="1">AVERAGE(OFFSET(SPY_Close_Price_PQ[[#This Row],[Close]], 0, 0, $C$1*-1))</f>
        <v>#REF!</v>
      </c>
      <c r="D46" s="27" t="e">
        <f ca="1">AVERAGE(OFFSET(SPY_Close_Price_PQ[[#This Row],[Close]], 0, 0, $D$1*-1))</f>
        <v>#REF!</v>
      </c>
      <c r="E46" s="28" t="e">
        <f t="shared" ca="1" si="0"/>
        <v>#REF!</v>
      </c>
    </row>
    <row r="47" spans="1:5" x14ac:dyDescent="0.4">
      <c r="A47" s="4">
        <v>44202</v>
      </c>
      <c r="B47" s="8">
        <v>373.55</v>
      </c>
      <c r="C47" s="27" t="e">
        <f ca="1">AVERAGE(OFFSET(SPY_Close_Price_PQ[[#This Row],[Close]], 0, 0, $C$1*-1))</f>
        <v>#REF!</v>
      </c>
      <c r="D47" s="27" t="e">
        <f ca="1">AVERAGE(OFFSET(SPY_Close_Price_PQ[[#This Row],[Close]], 0, 0, $D$1*-1))</f>
        <v>#REF!</v>
      </c>
      <c r="E47" s="28" t="e">
        <f t="shared" ca="1" si="0"/>
        <v>#REF!</v>
      </c>
    </row>
    <row r="48" spans="1:5" x14ac:dyDescent="0.4">
      <c r="A48" s="5">
        <v>44203</v>
      </c>
      <c r="B48" s="9">
        <v>379.1</v>
      </c>
      <c r="C48" s="27" t="e">
        <f ca="1">AVERAGE(OFFSET(SPY_Close_Price_PQ[[#This Row],[Close]], 0, 0, $C$1*-1))</f>
        <v>#REF!</v>
      </c>
      <c r="D48" s="27" t="e">
        <f ca="1">AVERAGE(OFFSET(SPY_Close_Price_PQ[[#This Row],[Close]], 0, 0, $D$1*-1))</f>
        <v>#REF!</v>
      </c>
      <c r="E48" s="28" t="e">
        <f t="shared" ca="1" si="0"/>
        <v>#REF!</v>
      </c>
    </row>
    <row r="49" spans="1:5" x14ac:dyDescent="0.4">
      <c r="A49" s="4">
        <v>44204</v>
      </c>
      <c r="B49" s="8">
        <v>381.26</v>
      </c>
      <c r="C49" s="27" t="e">
        <f ca="1">AVERAGE(OFFSET(SPY_Close_Price_PQ[[#This Row],[Close]], 0, 0, $C$1*-1))</f>
        <v>#REF!</v>
      </c>
      <c r="D49" s="27" t="e">
        <f ca="1">AVERAGE(OFFSET(SPY_Close_Price_PQ[[#This Row],[Close]], 0, 0, $D$1*-1))</f>
        <v>#REF!</v>
      </c>
      <c r="E49" s="28" t="e">
        <f t="shared" ca="1" si="0"/>
        <v>#REF!</v>
      </c>
    </row>
    <row r="50" spans="1:5" x14ac:dyDescent="0.4">
      <c r="A50" s="5">
        <v>44207</v>
      </c>
      <c r="B50" s="9">
        <v>378.69</v>
      </c>
      <c r="C50" s="27">
        <f ca="1">AVERAGE(OFFSET(SPY_Close_Price_PQ[[#This Row],[Close]], 0, 0, $C$1*-1))</f>
        <v>363.67958333333326</v>
      </c>
      <c r="D50" s="27" t="e">
        <f ca="1">AVERAGE(OFFSET(SPY_Close_Price_PQ[[#This Row],[Close]], 0, 0, $D$1*-1))</f>
        <v>#REF!</v>
      </c>
      <c r="E50" s="28" t="e">
        <f t="shared" ca="1" si="0"/>
        <v>#REF!</v>
      </c>
    </row>
    <row r="51" spans="1:5" x14ac:dyDescent="0.4">
      <c r="A51" s="4">
        <v>44208</v>
      </c>
      <c r="B51" s="8">
        <v>378.77</v>
      </c>
      <c r="C51" s="27">
        <f ca="1">AVERAGE(OFFSET(SPY_Close_Price_PQ[[#This Row],[Close]], 0, 0, $C$1*-1))</f>
        <v>363.98755102040809</v>
      </c>
      <c r="D51" s="27" t="e">
        <f ca="1">AVERAGE(OFFSET(SPY_Close_Price_PQ[[#This Row],[Close]], 0, 0, $D$1*-1))</f>
        <v>#REF!</v>
      </c>
      <c r="E51" s="28" t="e">
        <f t="shared" ca="1" si="0"/>
        <v>#REF!</v>
      </c>
    </row>
    <row r="52" spans="1:5" x14ac:dyDescent="0.4">
      <c r="A52" s="5">
        <v>44209</v>
      </c>
      <c r="B52" s="9">
        <v>379.79</v>
      </c>
      <c r="C52" s="27">
        <f ca="1">AVERAGE(OFFSET(SPY_Close_Price_PQ[[#This Row],[Close]], 0, 0, $C$1*-1))</f>
        <v>364.30359999999996</v>
      </c>
      <c r="D52" s="27" t="e">
        <f ca="1">AVERAGE(OFFSET(SPY_Close_Price_PQ[[#This Row],[Close]], 0, 0, $D$1*-1))</f>
        <v>#REF!</v>
      </c>
      <c r="E52" s="28" t="e">
        <f t="shared" ca="1" si="0"/>
        <v>#REF!</v>
      </c>
    </row>
    <row r="53" spans="1:5" x14ac:dyDescent="0.4">
      <c r="A53" s="4">
        <v>44210</v>
      </c>
      <c r="B53" s="8">
        <v>378.46</v>
      </c>
      <c r="C53" s="27">
        <f ca="1">AVERAGE(OFFSET(SPY_Close_Price_PQ[[#This Row],[Close]], 0, 0, $C$1*-1))</f>
        <v>365.2688</v>
      </c>
      <c r="D53" s="27" t="e">
        <f ca="1">AVERAGE(OFFSET(SPY_Close_Price_PQ[[#This Row],[Close]], 0, 0, $D$1*-1))</f>
        <v>#REF!</v>
      </c>
      <c r="E53" s="28" t="e">
        <f t="shared" ca="1" si="0"/>
        <v>#REF!</v>
      </c>
    </row>
    <row r="54" spans="1:5" x14ac:dyDescent="0.4">
      <c r="A54" s="5">
        <v>44211</v>
      </c>
      <c r="B54" s="9">
        <v>375.7</v>
      </c>
      <c r="C54" s="27">
        <f ca="1">AVERAGE(OFFSET(SPY_Close_Price_PQ[[#This Row],[Close]], 0, 0, $C$1*-1))</f>
        <v>366.06219999999996</v>
      </c>
      <c r="D54" s="27" t="e">
        <f ca="1">AVERAGE(OFFSET(SPY_Close_Price_PQ[[#This Row],[Close]], 0, 0, $D$1*-1))</f>
        <v>#REF!</v>
      </c>
      <c r="E54" s="28" t="e">
        <f t="shared" ca="1" si="0"/>
        <v>#REF!</v>
      </c>
    </row>
    <row r="55" spans="1:5" x14ac:dyDescent="0.4">
      <c r="A55" s="4">
        <v>44215</v>
      </c>
      <c r="B55" s="8">
        <v>378.65</v>
      </c>
      <c r="C55" s="27">
        <f ca="1">AVERAGE(OFFSET(SPY_Close_Price_PQ[[#This Row],[Close]], 0, 0, $C$1*-1))</f>
        <v>366.76440000000002</v>
      </c>
      <c r="D55" s="27" t="e">
        <f ca="1">AVERAGE(OFFSET(SPY_Close_Price_PQ[[#This Row],[Close]], 0, 0, $D$1*-1))</f>
        <v>#REF!</v>
      </c>
      <c r="E55" s="28" t="e">
        <f t="shared" ca="1" si="0"/>
        <v>#REF!</v>
      </c>
    </row>
    <row r="56" spans="1:5" x14ac:dyDescent="0.4">
      <c r="A56" s="5">
        <v>44216</v>
      </c>
      <c r="B56" s="9">
        <v>383.89</v>
      </c>
      <c r="C56" s="27">
        <f ca="1">AVERAGE(OFFSET(SPY_Close_Price_PQ[[#This Row],[Close]], 0, 0, $C$1*-1))</f>
        <v>367.43739999999997</v>
      </c>
      <c r="D56" s="27" t="e">
        <f ca="1">AVERAGE(OFFSET(SPY_Close_Price_PQ[[#This Row],[Close]], 0, 0, $D$1*-1))</f>
        <v>#REF!</v>
      </c>
      <c r="E56" s="28" t="e">
        <f t="shared" ca="1" si="0"/>
        <v>#REF!</v>
      </c>
    </row>
    <row r="57" spans="1:5" x14ac:dyDescent="0.4">
      <c r="A57" s="4">
        <v>44217</v>
      </c>
      <c r="B57" s="8">
        <v>384.24</v>
      </c>
      <c r="C57" s="27">
        <f ca="1">AVERAGE(OFFSET(SPY_Close_Price_PQ[[#This Row],[Close]], 0, 0, $C$1*-1))</f>
        <v>368.11900000000003</v>
      </c>
      <c r="D57" s="27" t="e">
        <f ca="1">AVERAGE(OFFSET(SPY_Close_Price_PQ[[#This Row],[Close]], 0, 0, $D$1*-1))</f>
        <v>#REF!</v>
      </c>
      <c r="E57" s="28" t="e">
        <f t="shared" ca="1" si="0"/>
        <v>#REF!</v>
      </c>
    </row>
    <row r="58" spans="1:5" x14ac:dyDescent="0.4">
      <c r="A58" s="5">
        <v>44218</v>
      </c>
      <c r="B58" s="9">
        <v>382.88</v>
      </c>
      <c r="C58" s="27">
        <f ca="1">AVERAGE(OFFSET(SPY_Close_Price_PQ[[#This Row],[Close]], 0, 0, $C$1*-1))</f>
        <v>368.68540000000007</v>
      </c>
      <c r="D58" s="27" t="e">
        <f ca="1">AVERAGE(OFFSET(SPY_Close_Price_PQ[[#This Row],[Close]], 0, 0, $D$1*-1))</f>
        <v>#REF!</v>
      </c>
      <c r="E58" s="28" t="e">
        <f t="shared" ca="1" si="0"/>
        <v>#REF!</v>
      </c>
    </row>
    <row r="59" spans="1:5" x14ac:dyDescent="0.4">
      <c r="A59" s="4">
        <v>44221</v>
      </c>
      <c r="B59" s="8">
        <v>384.39</v>
      </c>
      <c r="C59" s="27">
        <f ca="1">AVERAGE(OFFSET(SPY_Close_Price_PQ[[#This Row],[Close]], 0, 0, $C$1*-1))</f>
        <v>369.29240000000004</v>
      </c>
      <c r="D59" s="27" t="e">
        <f ca="1">AVERAGE(OFFSET(SPY_Close_Price_PQ[[#This Row],[Close]], 0, 0, $D$1*-1))</f>
        <v>#REF!</v>
      </c>
      <c r="E59" s="28" t="e">
        <f t="shared" ca="1" si="0"/>
        <v>#REF!</v>
      </c>
    </row>
    <row r="60" spans="1:5" x14ac:dyDescent="0.4">
      <c r="A60" s="5">
        <v>44222</v>
      </c>
      <c r="B60" s="9">
        <v>383.79</v>
      </c>
      <c r="C60" s="27">
        <f ca="1">AVERAGE(OFFSET(SPY_Close_Price_PQ[[#This Row],[Close]], 0, 0, $C$1*-1))</f>
        <v>369.83480000000003</v>
      </c>
      <c r="D60" s="27" t="e">
        <f ca="1">AVERAGE(OFFSET(SPY_Close_Price_PQ[[#This Row],[Close]], 0, 0, $D$1*-1))</f>
        <v>#REF!</v>
      </c>
      <c r="E60" s="28" t="e">
        <f t="shared" ca="1" si="0"/>
        <v>#REF!</v>
      </c>
    </row>
    <row r="61" spans="1:5" x14ac:dyDescent="0.4">
      <c r="A61" s="4">
        <v>44223</v>
      </c>
      <c r="B61" s="8">
        <v>374.41</v>
      </c>
      <c r="C61" s="27">
        <f ca="1">AVERAGE(OFFSET(SPY_Close_Price_PQ[[#This Row],[Close]], 0, 0, $C$1*-1))</f>
        <v>370.25880000000006</v>
      </c>
      <c r="D61" s="27" t="e">
        <f ca="1">AVERAGE(OFFSET(SPY_Close_Price_PQ[[#This Row],[Close]], 0, 0, $D$1*-1))</f>
        <v>#REF!</v>
      </c>
      <c r="E61" s="28" t="e">
        <f t="shared" ca="1" si="0"/>
        <v>#REF!</v>
      </c>
    </row>
    <row r="62" spans="1:5" x14ac:dyDescent="0.4">
      <c r="A62" s="5">
        <v>44224</v>
      </c>
      <c r="B62" s="9">
        <v>377.63</v>
      </c>
      <c r="C62" s="27">
        <f ca="1">AVERAGE(OFFSET(SPY_Close_Price_PQ[[#This Row],[Close]], 0, 0, $C$1*-1))</f>
        <v>370.64940000000007</v>
      </c>
      <c r="D62" s="27" t="e">
        <f ca="1">AVERAGE(OFFSET(SPY_Close_Price_PQ[[#This Row],[Close]], 0, 0, $D$1*-1))</f>
        <v>#REF!</v>
      </c>
      <c r="E62" s="28" t="e">
        <f t="shared" ca="1" si="0"/>
        <v>#REF!</v>
      </c>
    </row>
    <row r="63" spans="1:5" x14ac:dyDescent="0.4">
      <c r="A63" s="4">
        <v>44225</v>
      </c>
      <c r="B63" s="8">
        <v>370.07</v>
      </c>
      <c r="C63" s="27">
        <f ca="1">AVERAGE(OFFSET(SPY_Close_Price_PQ[[#This Row],[Close]], 0, 0, $C$1*-1))</f>
        <v>370.79940000000005</v>
      </c>
      <c r="D63" s="27" t="e">
        <f ca="1">AVERAGE(OFFSET(SPY_Close_Price_PQ[[#This Row],[Close]], 0, 0, $D$1*-1))</f>
        <v>#REF!</v>
      </c>
      <c r="E63" s="28" t="e">
        <f t="shared" ca="1" si="0"/>
        <v>#REF!</v>
      </c>
    </row>
    <row r="64" spans="1:5" x14ac:dyDescent="0.4">
      <c r="A64" s="5">
        <v>44228</v>
      </c>
      <c r="B64" s="9">
        <v>376.23</v>
      </c>
      <c r="C64" s="27">
        <f ca="1">AVERAGE(OFFSET(SPY_Close_Price_PQ[[#This Row],[Close]], 0, 0, $C$1*-1))</f>
        <v>371.11160000000001</v>
      </c>
      <c r="D64" s="27" t="e">
        <f ca="1">AVERAGE(OFFSET(SPY_Close_Price_PQ[[#This Row],[Close]], 0, 0, $D$1*-1))</f>
        <v>#REF!</v>
      </c>
      <c r="E64" s="28" t="e">
        <f t="shared" ca="1" si="0"/>
        <v>#REF!</v>
      </c>
    </row>
    <row r="65" spans="1:5" x14ac:dyDescent="0.4">
      <c r="A65" s="4">
        <v>44229</v>
      </c>
      <c r="B65" s="8">
        <v>381.55</v>
      </c>
      <c r="C65" s="27">
        <f ca="1">AVERAGE(OFFSET(SPY_Close_Price_PQ[[#This Row],[Close]], 0, 0, $C$1*-1))</f>
        <v>371.61699999999996</v>
      </c>
      <c r="D65" s="27" t="e">
        <f ca="1">AVERAGE(OFFSET(SPY_Close_Price_PQ[[#This Row],[Close]], 0, 0, $D$1*-1))</f>
        <v>#REF!</v>
      </c>
      <c r="E65" s="28" t="e">
        <f t="shared" ca="1" si="0"/>
        <v>#REF!</v>
      </c>
    </row>
    <row r="66" spans="1:5" x14ac:dyDescent="0.4">
      <c r="A66" s="5">
        <v>44230</v>
      </c>
      <c r="B66" s="9">
        <v>381.85</v>
      </c>
      <c r="C66" s="27">
        <f ca="1">AVERAGE(OFFSET(SPY_Close_Price_PQ[[#This Row],[Close]], 0, 0, $C$1*-1))</f>
        <v>372.09839999999997</v>
      </c>
      <c r="D66" s="27" t="e">
        <f ca="1">AVERAGE(OFFSET(SPY_Close_Price_PQ[[#This Row],[Close]], 0, 0, $D$1*-1))</f>
        <v>#REF!</v>
      </c>
      <c r="E66" s="28" t="e">
        <f t="shared" ca="1" si="0"/>
        <v>#REF!</v>
      </c>
    </row>
    <row r="67" spans="1:5" x14ac:dyDescent="0.4">
      <c r="A67" s="4">
        <v>44231</v>
      </c>
      <c r="B67" s="8">
        <v>386.19</v>
      </c>
      <c r="C67" s="27">
        <f ca="1">AVERAGE(OFFSET(SPY_Close_Price_PQ[[#This Row],[Close]], 0, 0, $C$1*-1))</f>
        <v>372.71559999999988</v>
      </c>
      <c r="D67" s="27" t="e">
        <f ca="1">AVERAGE(OFFSET(SPY_Close_Price_PQ[[#This Row],[Close]], 0, 0, $D$1*-1))</f>
        <v>#REF!</v>
      </c>
      <c r="E67" s="28" t="e">
        <f t="shared" ca="1" si="0"/>
        <v>#REF!</v>
      </c>
    </row>
    <row r="68" spans="1:5" x14ac:dyDescent="0.4">
      <c r="A68" s="5">
        <v>44232</v>
      </c>
      <c r="B68" s="9">
        <v>387.71</v>
      </c>
      <c r="C68" s="27">
        <f ca="1">AVERAGE(OFFSET(SPY_Close_Price_PQ[[#This Row],[Close]], 0, 0, $C$1*-1))</f>
        <v>373.32059999999984</v>
      </c>
      <c r="D68" s="27" t="e">
        <f ca="1">AVERAGE(OFFSET(SPY_Close_Price_PQ[[#This Row],[Close]], 0, 0, $D$1*-1))</f>
        <v>#REF!</v>
      </c>
      <c r="E68" s="28" t="e">
        <f t="shared" ref="E68:E131" ca="1" si="1">IF(AND(C67&lt;D67,C68&gt;D68),1,0)</f>
        <v>#REF!</v>
      </c>
    </row>
    <row r="69" spans="1:5" x14ac:dyDescent="0.4">
      <c r="A69" s="4">
        <v>44235</v>
      </c>
      <c r="B69" s="8">
        <v>390.51</v>
      </c>
      <c r="C69" s="27">
        <f ca="1">AVERAGE(OFFSET(SPY_Close_Price_PQ[[#This Row],[Close]], 0, 0, $C$1*-1))</f>
        <v>373.86639999999983</v>
      </c>
      <c r="D69" s="27" t="e">
        <f ca="1">AVERAGE(OFFSET(SPY_Close_Price_PQ[[#This Row],[Close]], 0, 0, $D$1*-1))</f>
        <v>#REF!</v>
      </c>
      <c r="E69" s="28" t="e">
        <f t="shared" ca="1" si="1"/>
        <v>#REF!</v>
      </c>
    </row>
    <row r="70" spans="1:5" x14ac:dyDescent="0.4">
      <c r="A70" s="5">
        <v>44236</v>
      </c>
      <c r="B70" s="9">
        <v>390.25</v>
      </c>
      <c r="C70" s="27">
        <f ca="1">AVERAGE(OFFSET(SPY_Close_Price_PQ[[#This Row],[Close]], 0, 0, $C$1*-1))</f>
        <v>374.41819999999984</v>
      </c>
      <c r="D70" s="27" t="e">
        <f ca="1">AVERAGE(OFFSET(SPY_Close_Price_PQ[[#This Row],[Close]], 0, 0, $D$1*-1))</f>
        <v>#REF!</v>
      </c>
      <c r="E70" s="28" t="e">
        <f t="shared" ca="1" si="1"/>
        <v>#REF!</v>
      </c>
    </row>
    <row r="71" spans="1:5" x14ac:dyDescent="0.4">
      <c r="A71" s="4">
        <v>44237</v>
      </c>
      <c r="B71" s="8">
        <v>390.08</v>
      </c>
      <c r="C71" s="27">
        <f ca="1">AVERAGE(OFFSET(SPY_Close_Price_PQ[[#This Row],[Close]], 0, 0, $C$1*-1))</f>
        <v>374.94639999999993</v>
      </c>
      <c r="D71" s="27" t="e">
        <f ca="1">AVERAGE(OFFSET(SPY_Close_Price_PQ[[#This Row],[Close]], 0, 0, $D$1*-1))</f>
        <v>#REF!</v>
      </c>
      <c r="E71" s="28" t="e">
        <f t="shared" ca="1" si="1"/>
        <v>#REF!</v>
      </c>
    </row>
    <row r="72" spans="1:5" x14ac:dyDescent="0.4">
      <c r="A72" s="5">
        <v>44238</v>
      </c>
      <c r="B72" s="9">
        <v>390.71</v>
      </c>
      <c r="C72" s="27">
        <f ca="1">AVERAGE(OFFSET(SPY_Close_Price_PQ[[#This Row],[Close]], 0, 0, $C$1*-1))</f>
        <v>375.51939999999991</v>
      </c>
      <c r="D72" s="27" t="e">
        <f ca="1">AVERAGE(OFFSET(SPY_Close_Price_PQ[[#This Row],[Close]], 0, 0, $D$1*-1))</f>
        <v>#REF!</v>
      </c>
      <c r="E72" s="28" t="e">
        <f t="shared" ca="1" si="1"/>
        <v>#REF!</v>
      </c>
    </row>
    <row r="73" spans="1:5" x14ac:dyDescent="0.4">
      <c r="A73" s="4">
        <v>44239</v>
      </c>
      <c r="B73" s="8">
        <v>392.64</v>
      </c>
      <c r="C73" s="27">
        <f ca="1">AVERAGE(OFFSET(SPY_Close_Price_PQ[[#This Row],[Close]], 0, 0, $C$1*-1))</f>
        <v>376.05179999999996</v>
      </c>
      <c r="D73" s="27" t="e">
        <f ca="1">AVERAGE(OFFSET(SPY_Close_Price_PQ[[#This Row],[Close]], 0, 0, $D$1*-1))</f>
        <v>#REF!</v>
      </c>
      <c r="E73" s="28" t="e">
        <f t="shared" ca="1" si="1"/>
        <v>#REF!</v>
      </c>
    </row>
    <row r="74" spans="1:5" x14ac:dyDescent="0.4">
      <c r="A74" s="5">
        <v>44243</v>
      </c>
      <c r="B74" s="9">
        <v>392.3</v>
      </c>
      <c r="C74" s="27">
        <f ca="1">AVERAGE(OFFSET(SPY_Close_Price_PQ[[#This Row],[Close]], 0, 0, $C$1*-1))</f>
        <v>376.5619999999999</v>
      </c>
      <c r="D74" s="27" t="e">
        <f ca="1">AVERAGE(OFFSET(SPY_Close_Price_PQ[[#This Row],[Close]], 0, 0, $D$1*-1))</f>
        <v>#REF!</v>
      </c>
      <c r="E74" s="28" t="e">
        <f t="shared" ca="1" si="1"/>
        <v>#REF!</v>
      </c>
    </row>
    <row r="75" spans="1:5" x14ac:dyDescent="0.4">
      <c r="A75" s="4">
        <v>44244</v>
      </c>
      <c r="B75" s="8">
        <v>392.39</v>
      </c>
      <c r="C75" s="27">
        <f ca="1">AVERAGE(OFFSET(SPY_Close_Price_PQ[[#This Row],[Close]], 0, 0, $C$1*-1))</f>
        <v>377.07599999999991</v>
      </c>
      <c r="D75" s="27" t="e">
        <f ca="1">AVERAGE(OFFSET(SPY_Close_Price_PQ[[#This Row],[Close]], 0, 0, $D$1*-1))</f>
        <v>#REF!</v>
      </c>
      <c r="E75" s="28" t="e">
        <f t="shared" ca="1" si="1"/>
        <v>#REF!</v>
      </c>
    </row>
    <row r="76" spans="1:5" x14ac:dyDescent="0.4">
      <c r="A76" s="5">
        <v>44245</v>
      </c>
      <c r="B76" s="9">
        <v>390.72</v>
      </c>
      <c r="C76" s="27">
        <f ca="1">AVERAGE(OFFSET(SPY_Close_Price_PQ[[#This Row],[Close]], 0, 0, $C$1*-1))</f>
        <v>377.49339999999995</v>
      </c>
      <c r="D76" s="27" t="e">
        <f ca="1">AVERAGE(OFFSET(SPY_Close_Price_PQ[[#This Row],[Close]], 0, 0, $D$1*-1))</f>
        <v>#REF!</v>
      </c>
      <c r="E76" s="28" t="e">
        <f t="shared" ca="1" si="1"/>
        <v>#REF!</v>
      </c>
    </row>
    <row r="77" spans="1:5" x14ac:dyDescent="0.4">
      <c r="A77" s="4">
        <v>44246</v>
      </c>
      <c r="B77" s="8">
        <v>390.03</v>
      </c>
      <c r="C77" s="27">
        <f ca="1">AVERAGE(OFFSET(SPY_Close_Price_PQ[[#This Row],[Close]], 0, 0, $C$1*-1))</f>
        <v>377.91219999999993</v>
      </c>
      <c r="D77" s="27" t="e">
        <f ca="1">AVERAGE(OFFSET(SPY_Close_Price_PQ[[#This Row],[Close]], 0, 0, $D$1*-1))</f>
        <v>#REF!</v>
      </c>
      <c r="E77" s="28" t="e">
        <f t="shared" ca="1" si="1"/>
        <v>#REF!</v>
      </c>
    </row>
    <row r="78" spans="1:5" x14ac:dyDescent="0.4">
      <c r="A78" s="5">
        <v>44249</v>
      </c>
      <c r="B78" s="9">
        <v>387.03</v>
      </c>
      <c r="C78" s="27">
        <f ca="1">AVERAGE(OFFSET(SPY_Close_Price_PQ[[#This Row],[Close]], 0, 0, $C$1*-1))</f>
        <v>378.24939999999987</v>
      </c>
      <c r="D78" s="27" t="e">
        <f ca="1">AVERAGE(OFFSET(SPY_Close_Price_PQ[[#This Row],[Close]], 0, 0, $D$1*-1))</f>
        <v>#REF!</v>
      </c>
      <c r="E78" s="28" t="e">
        <f t="shared" ca="1" si="1"/>
        <v>#REF!</v>
      </c>
    </row>
    <row r="79" spans="1:5" x14ac:dyDescent="0.4">
      <c r="A79" s="4">
        <v>44250</v>
      </c>
      <c r="B79" s="8">
        <v>387.5</v>
      </c>
      <c r="C79" s="27">
        <f ca="1">AVERAGE(OFFSET(SPY_Close_Price_PQ[[#This Row],[Close]], 0, 0, $C$1*-1))</f>
        <v>378.66239999999993</v>
      </c>
      <c r="D79" s="27" t="e">
        <f ca="1">AVERAGE(OFFSET(SPY_Close_Price_PQ[[#This Row],[Close]], 0, 0, $D$1*-1))</f>
        <v>#REF!</v>
      </c>
      <c r="E79" s="28" t="e">
        <f t="shared" ca="1" si="1"/>
        <v>#REF!</v>
      </c>
    </row>
    <row r="80" spans="1:5" x14ac:dyDescent="0.4">
      <c r="A80" s="5">
        <v>44251</v>
      </c>
      <c r="B80" s="9">
        <v>391.77</v>
      </c>
      <c r="C80" s="27">
        <f ca="1">AVERAGE(OFFSET(SPY_Close_Price_PQ[[#This Row],[Close]], 0, 0, $C$1*-1))</f>
        <v>379.16319999999985</v>
      </c>
      <c r="D80" s="27" t="e">
        <f ca="1">AVERAGE(OFFSET(SPY_Close_Price_PQ[[#This Row],[Close]], 0, 0, $D$1*-1))</f>
        <v>#REF!</v>
      </c>
      <c r="E80" s="28" t="e">
        <f t="shared" ca="1" si="1"/>
        <v>#REF!</v>
      </c>
    </row>
    <row r="81" spans="1:5" x14ac:dyDescent="0.4">
      <c r="A81" s="4">
        <v>44252</v>
      </c>
      <c r="B81" s="8">
        <v>382.33</v>
      </c>
      <c r="C81" s="27">
        <f ca="1">AVERAGE(OFFSET(SPY_Close_Price_PQ[[#This Row],[Close]], 0, 0, $C$1*-1))</f>
        <v>379.48379999999997</v>
      </c>
      <c r="D81" s="27" t="e">
        <f ca="1">AVERAGE(OFFSET(SPY_Close_Price_PQ[[#This Row],[Close]], 0, 0, $D$1*-1))</f>
        <v>#REF!</v>
      </c>
      <c r="E81" s="28" t="e">
        <f t="shared" ca="1" si="1"/>
        <v>#REF!</v>
      </c>
    </row>
    <row r="82" spans="1:5" x14ac:dyDescent="0.4">
      <c r="A82" s="5">
        <v>44253</v>
      </c>
      <c r="B82" s="9">
        <v>380.36</v>
      </c>
      <c r="C82" s="27">
        <f ca="1">AVERAGE(OFFSET(SPY_Close_Price_PQ[[#This Row],[Close]], 0, 0, $C$1*-1))</f>
        <v>379.79779999999994</v>
      </c>
      <c r="D82" s="27" t="e">
        <f ca="1">AVERAGE(OFFSET(SPY_Close_Price_PQ[[#This Row],[Close]], 0, 0, $D$1*-1))</f>
        <v>#REF!</v>
      </c>
      <c r="E82" s="28" t="e">
        <f t="shared" ca="1" si="1"/>
        <v>#REF!</v>
      </c>
    </row>
    <row r="83" spans="1:5" x14ac:dyDescent="0.4">
      <c r="A83" s="4">
        <v>44256</v>
      </c>
      <c r="B83" s="8">
        <v>389.58</v>
      </c>
      <c r="C83" s="27">
        <f ca="1">AVERAGE(OFFSET(SPY_Close_Price_PQ[[#This Row],[Close]], 0, 0, $C$1*-1))</f>
        <v>380.19759999999997</v>
      </c>
      <c r="D83" s="27" t="e">
        <f ca="1">AVERAGE(OFFSET(SPY_Close_Price_PQ[[#This Row],[Close]], 0, 0, $D$1*-1))</f>
        <v>#REF!</v>
      </c>
      <c r="E83" s="28" t="e">
        <f t="shared" ca="1" si="1"/>
        <v>#REF!</v>
      </c>
    </row>
    <row r="84" spans="1:5" x14ac:dyDescent="0.4">
      <c r="A84" s="5">
        <v>44257</v>
      </c>
      <c r="B84" s="9">
        <v>386.54</v>
      </c>
      <c r="C84" s="27">
        <f ca="1">AVERAGE(OFFSET(SPY_Close_Price_PQ[[#This Row],[Close]], 0, 0, $C$1*-1))</f>
        <v>380.52499999999998</v>
      </c>
      <c r="D84" s="27" t="e">
        <f ca="1">AVERAGE(OFFSET(SPY_Close_Price_PQ[[#This Row],[Close]], 0, 0, $D$1*-1))</f>
        <v>#REF!</v>
      </c>
      <c r="E84" s="28" t="e">
        <f t="shared" ca="1" si="1"/>
        <v>#REF!</v>
      </c>
    </row>
    <row r="85" spans="1:5" x14ac:dyDescent="0.4">
      <c r="A85" s="4">
        <v>44258</v>
      </c>
      <c r="B85" s="8">
        <v>381.42</v>
      </c>
      <c r="C85" s="27">
        <f ca="1">AVERAGE(OFFSET(SPY_Close_Price_PQ[[#This Row],[Close]], 0, 0, $C$1*-1))</f>
        <v>380.70859999999993</v>
      </c>
      <c r="D85" s="27" t="e">
        <f ca="1">AVERAGE(OFFSET(SPY_Close_Price_PQ[[#This Row],[Close]], 0, 0, $D$1*-1))</f>
        <v>#REF!</v>
      </c>
      <c r="E85" s="28" t="e">
        <f t="shared" ca="1" si="1"/>
        <v>#REF!</v>
      </c>
    </row>
    <row r="86" spans="1:5" x14ac:dyDescent="0.4">
      <c r="A86" s="5">
        <v>44259</v>
      </c>
      <c r="B86" s="9">
        <v>376.7</v>
      </c>
      <c r="C86" s="27">
        <f ca="1">AVERAGE(OFFSET(SPY_Close_Price_PQ[[#This Row],[Close]], 0, 0, $C$1*-1))</f>
        <v>380.85899999999992</v>
      </c>
      <c r="D86" s="27" t="e">
        <f ca="1">AVERAGE(OFFSET(SPY_Close_Price_PQ[[#This Row],[Close]], 0, 0, $D$1*-1))</f>
        <v>#REF!</v>
      </c>
      <c r="E86" s="28" t="e">
        <f t="shared" ca="1" si="1"/>
        <v>#REF!</v>
      </c>
    </row>
    <row r="87" spans="1:5" x14ac:dyDescent="0.4">
      <c r="A87" s="4">
        <v>44260</v>
      </c>
      <c r="B87" s="8">
        <v>383.63</v>
      </c>
      <c r="C87" s="27">
        <f ca="1">AVERAGE(OFFSET(SPY_Close_Price_PQ[[#This Row],[Close]], 0, 0, $C$1*-1))</f>
        <v>381.17440000000005</v>
      </c>
      <c r="D87" s="27" t="e">
        <f ca="1">AVERAGE(OFFSET(SPY_Close_Price_PQ[[#This Row],[Close]], 0, 0, $D$1*-1))</f>
        <v>#REF!</v>
      </c>
      <c r="E87" s="28" t="e">
        <f t="shared" ca="1" si="1"/>
        <v>#REF!</v>
      </c>
    </row>
    <row r="88" spans="1:5" x14ac:dyDescent="0.4">
      <c r="A88" s="5">
        <v>44263</v>
      </c>
      <c r="B88" s="9">
        <v>381.72</v>
      </c>
      <c r="C88" s="27">
        <f ca="1">AVERAGE(OFFSET(SPY_Close_Price_PQ[[#This Row],[Close]], 0, 0, $C$1*-1))</f>
        <v>381.464</v>
      </c>
      <c r="D88" s="27" t="e">
        <f ca="1">AVERAGE(OFFSET(SPY_Close_Price_PQ[[#This Row],[Close]], 0, 0, $D$1*-1))</f>
        <v>#REF!</v>
      </c>
      <c r="E88" s="28" t="e">
        <f t="shared" ca="1" si="1"/>
        <v>#REF!</v>
      </c>
    </row>
    <row r="89" spans="1:5" x14ac:dyDescent="0.4">
      <c r="A89" s="4">
        <v>44264</v>
      </c>
      <c r="B89" s="8">
        <v>387.17</v>
      </c>
      <c r="C89" s="27">
        <f ca="1">AVERAGE(OFFSET(SPY_Close_Price_PQ[[#This Row],[Close]], 0, 0, $C$1*-1))</f>
        <v>381.85599999999999</v>
      </c>
      <c r="D89" s="27" t="e">
        <f ca="1">AVERAGE(OFFSET(SPY_Close_Price_PQ[[#This Row],[Close]], 0, 0, $D$1*-1))</f>
        <v>#REF!</v>
      </c>
      <c r="E89" s="28" t="e">
        <f t="shared" ca="1" si="1"/>
        <v>#REF!</v>
      </c>
    </row>
    <row r="90" spans="1:5" x14ac:dyDescent="0.4">
      <c r="A90" s="5">
        <v>44265</v>
      </c>
      <c r="B90" s="9">
        <v>389.58</v>
      </c>
      <c r="C90" s="27">
        <f ca="1">AVERAGE(OFFSET(SPY_Close_Price_PQ[[#This Row],[Close]], 0, 0, $C$1*-1))</f>
        <v>382.26760000000002</v>
      </c>
      <c r="D90" s="27" t="e">
        <f ca="1">AVERAGE(OFFSET(SPY_Close_Price_PQ[[#This Row],[Close]], 0, 0, $D$1*-1))</f>
        <v>#REF!</v>
      </c>
      <c r="E90" s="28" t="e">
        <f t="shared" ca="1" si="1"/>
        <v>#REF!</v>
      </c>
    </row>
    <row r="91" spans="1:5" x14ac:dyDescent="0.4">
      <c r="A91" s="4">
        <v>44266</v>
      </c>
      <c r="B91" s="8">
        <v>393.53</v>
      </c>
      <c r="C91" s="27">
        <f ca="1">AVERAGE(OFFSET(SPY_Close_Price_PQ[[#This Row],[Close]], 0, 0, $C$1*-1))</f>
        <v>382.69479999999999</v>
      </c>
      <c r="D91" s="27" t="e">
        <f ca="1">AVERAGE(OFFSET(SPY_Close_Price_PQ[[#This Row],[Close]], 0, 0, $D$1*-1))</f>
        <v>#REF!</v>
      </c>
      <c r="E91" s="28" t="e">
        <f t="shared" ca="1" si="1"/>
        <v>#REF!</v>
      </c>
    </row>
    <row r="92" spans="1:5" x14ac:dyDescent="0.4">
      <c r="A92" s="5">
        <v>44267</v>
      </c>
      <c r="B92" s="9">
        <v>394.06</v>
      </c>
      <c r="C92" s="27">
        <f ca="1">AVERAGE(OFFSET(SPY_Close_Price_PQ[[#This Row],[Close]], 0, 0, $C$1*-1))</f>
        <v>383.14679999999998</v>
      </c>
      <c r="D92" s="27" t="e">
        <f ca="1">AVERAGE(OFFSET(SPY_Close_Price_PQ[[#This Row],[Close]], 0, 0, $D$1*-1))</f>
        <v>#REF!</v>
      </c>
      <c r="E92" s="28" t="e">
        <f t="shared" ca="1" si="1"/>
        <v>#REF!</v>
      </c>
    </row>
    <row r="93" spans="1:5" x14ac:dyDescent="0.4">
      <c r="A93" s="4">
        <v>44270</v>
      </c>
      <c r="B93" s="8">
        <v>396.41</v>
      </c>
      <c r="C93" s="27">
        <f ca="1">AVERAGE(OFFSET(SPY_Close_Price_PQ[[#This Row],[Close]], 0, 0, $C$1*-1))</f>
        <v>383.63520000000005</v>
      </c>
      <c r="D93" s="27" t="e">
        <f ca="1">AVERAGE(OFFSET(SPY_Close_Price_PQ[[#This Row],[Close]], 0, 0, $D$1*-1))</f>
        <v>#REF!</v>
      </c>
      <c r="E93" s="28" t="e">
        <f t="shared" ca="1" si="1"/>
        <v>#REF!</v>
      </c>
    </row>
    <row r="94" spans="1:5" x14ac:dyDescent="0.4">
      <c r="A94" s="5">
        <v>44271</v>
      </c>
      <c r="B94" s="9">
        <v>395.91</v>
      </c>
      <c r="C94" s="27">
        <f ca="1">AVERAGE(OFFSET(SPY_Close_Price_PQ[[#This Row],[Close]], 0, 0, $C$1*-1))</f>
        <v>384.07580000000002</v>
      </c>
      <c r="D94" s="27" t="e">
        <f ca="1">AVERAGE(OFFSET(SPY_Close_Price_PQ[[#This Row],[Close]], 0, 0, $D$1*-1))</f>
        <v>#REF!</v>
      </c>
      <c r="E94" s="28" t="e">
        <f t="shared" ca="1" si="1"/>
        <v>#REF!</v>
      </c>
    </row>
    <row r="95" spans="1:5" x14ac:dyDescent="0.4">
      <c r="A95" s="4">
        <v>44272</v>
      </c>
      <c r="B95" s="8">
        <v>397.26</v>
      </c>
      <c r="C95" s="27">
        <f ca="1">AVERAGE(OFFSET(SPY_Close_Price_PQ[[#This Row],[Close]], 0, 0, $C$1*-1))</f>
        <v>384.64519999999999</v>
      </c>
      <c r="D95" s="27" t="e">
        <f ca="1">AVERAGE(OFFSET(SPY_Close_Price_PQ[[#This Row],[Close]], 0, 0, $D$1*-1))</f>
        <v>#REF!</v>
      </c>
      <c r="E95" s="28" t="e">
        <f t="shared" ca="1" si="1"/>
        <v>#REF!</v>
      </c>
    </row>
    <row r="96" spans="1:5" x14ac:dyDescent="0.4">
      <c r="A96" s="5">
        <v>44273</v>
      </c>
      <c r="B96" s="9">
        <v>391.48</v>
      </c>
      <c r="C96" s="27">
        <f ca="1">AVERAGE(OFFSET(SPY_Close_Price_PQ[[#This Row],[Close]], 0, 0, $C$1*-1))</f>
        <v>385.04819999999995</v>
      </c>
      <c r="D96" s="27" t="e">
        <f ca="1">AVERAGE(OFFSET(SPY_Close_Price_PQ[[#This Row],[Close]], 0, 0, $D$1*-1))</f>
        <v>#REF!</v>
      </c>
      <c r="E96" s="28" t="e">
        <f t="shared" ca="1" si="1"/>
        <v>#REF!</v>
      </c>
    </row>
    <row r="97" spans="1:5" x14ac:dyDescent="0.4">
      <c r="A97" s="4">
        <v>44274</v>
      </c>
      <c r="B97" s="8">
        <v>389.48</v>
      </c>
      <c r="C97" s="27">
        <f ca="1">AVERAGE(OFFSET(SPY_Close_Price_PQ[[#This Row],[Close]], 0, 0, $C$1*-1))</f>
        <v>385.36679999999996</v>
      </c>
      <c r="D97" s="27" t="e">
        <f ca="1">AVERAGE(OFFSET(SPY_Close_Price_PQ[[#This Row],[Close]], 0, 0, $D$1*-1))</f>
        <v>#REF!</v>
      </c>
      <c r="E97" s="28" t="e">
        <f t="shared" ca="1" si="1"/>
        <v>#REF!</v>
      </c>
    </row>
    <row r="98" spans="1:5" x14ac:dyDescent="0.4">
      <c r="A98" s="5">
        <v>44277</v>
      </c>
      <c r="B98" s="9">
        <v>392.59</v>
      </c>
      <c r="C98" s="27">
        <f ca="1">AVERAGE(OFFSET(SPY_Close_Price_PQ[[#This Row],[Close]], 0, 0, $C$1*-1))</f>
        <v>385.63659999999999</v>
      </c>
      <c r="D98" s="27" t="e">
        <f ca="1">AVERAGE(OFFSET(SPY_Close_Price_PQ[[#This Row],[Close]], 0, 0, $D$1*-1))</f>
        <v>#REF!</v>
      </c>
      <c r="E98" s="28" t="e">
        <f t="shared" ca="1" si="1"/>
        <v>#REF!</v>
      </c>
    </row>
    <row r="99" spans="1:5" x14ac:dyDescent="0.4">
      <c r="A99" s="4">
        <v>44278</v>
      </c>
      <c r="B99" s="8">
        <v>389.5</v>
      </c>
      <c r="C99" s="27">
        <f ca="1">AVERAGE(OFFSET(SPY_Close_Price_PQ[[#This Row],[Close]], 0, 0, $C$1*-1))</f>
        <v>385.8014</v>
      </c>
      <c r="D99" s="27" t="e">
        <f ca="1">AVERAGE(OFFSET(SPY_Close_Price_PQ[[#This Row],[Close]], 0, 0, $D$1*-1))</f>
        <v>#REF!</v>
      </c>
      <c r="E99" s="28" t="e">
        <f t="shared" ca="1" si="1"/>
        <v>#REF!</v>
      </c>
    </row>
    <row r="100" spans="1:5" x14ac:dyDescent="0.4">
      <c r="A100" s="5">
        <v>44279</v>
      </c>
      <c r="B100" s="9">
        <v>387.52</v>
      </c>
      <c r="C100" s="27">
        <f ca="1">AVERAGE(OFFSET(SPY_Close_Price_PQ[[#This Row],[Close]], 0, 0, $C$1*-1))</f>
        <v>385.97799999999995</v>
      </c>
      <c r="D100" s="27" t="e">
        <f ca="1">AVERAGE(OFFSET(SPY_Close_Price_PQ[[#This Row],[Close]], 0, 0, $D$1*-1))</f>
        <v>#REF!</v>
      </c>
      <c r="E100" s="28" t="e">
        <f t="shared" ca="1" si="1"/>
        <v>#REF!</v>
      </c>
    </row>
    <row r="101" spans="1:5" x14ac:dyDescent="0.4">
      <c r="A101" s="4">
        <v>44280</v>
      </c>
      <c r="B101" s="8">
        <v>389.7</v>
      </c>
      <c r="C101" s="27">
        <f ca="1">AVERAGE(OFFSET(SPY_Close_Price_PQ[[#This Row],[Close]], 0, 0, $C$1*-1))</f>
        <v>386.19659999999999</v>
      </c>
      <c r="D101" s="27" t="e">
        <f ca="1">AVERAGE(OFFSET(SPY_Close_Price_PQ[[#This Row],[Close]], 0, 0, $D$1*-1))</f>
        <v>#REF!</v>
      </c>
      <c r="E101" s="28" t="e">
        <f t="shared" ca="1" si="1"/>
        <v>#REF!</v>
      </c>
    </row>
    <row r="102" spans="1:5" x14ac:dyDescent="0.4">
      <c r="A102" s="5">
        <v>44281</v>
      </c>
      <c r="B102" s="9">
        <v>395.98</v>
      </c>
      <c r="C102" s="27">
        <f ca="1">AVERAGE(OFFSET(SPY_Close_Price_PQ[[#This Row],[Close]], 0, 0, $C$1*-1))</f>
        <v>386.5204</v>
      </c>
      <c r="D102" s="27" t="e">
        <f ca="1">AVERAGE(OFFSET(SPY_Close_Price_PQ[[#This Row],[Close]], 0, 0, $D$1*-1))</f>
        <v>#REF!</v>
      </c>
      <c r="E102" s="28" t="e">
        <f t="shared" ca="1" si="1"/>
        <v>#REF!</v>
      </c>
    </row>
    <row r="103" spans="1:5" x14ac:dyDescent="0.4">
      <c r="A103" s="4">
        <v>44284</v>
      </c>
      <c r="B103" s="8">
        <v>395.78</v>
      </c>
      <c r="C103" s="27">
        <f ca="1">AVERAGE(OFFSET(SPY_Close_Price_PQ[[#This Row],[Close]], 0, 0, $C$1*-1))</f>
        <v>386.86680000000001</v>
      </c>
      <c r="D103" s="27" t="e">
        <f ca="1">AVERAGE(OFFSET(SPY_Close_Price_PQ[[#This Row],[Close]], 0, 0, $D$1*-1))</f>
        <v>#REF!</v>
      </c>
      <c r="E103" s="28" t="e">
        <f t="shared" ca="1" si="1"/>
        <v>#REF!</v>
      </c>
    </row>
    <row r="104" spans="1:5" x14ac:dyDescent="0.4">
      <c r="A104" s="5">
        <v>44285</v>
      </c>
      <c r="B104" s="9">
        <v>394.73</v>
      </c>
      <c r="C104" s="27">
        <f ca="1">AVERAGE(OFFSET(SPY_Close_Price_PQ[[#This Row],[Close]], 0, 0, $C$1*-1))</f>
        <v>387.24740000000003</v>
      </c>
      <c r="D104" s="27" t="e">
        <f ca="1">AVERAGE(OFFSET(SPY_Close_Price_PQ[[#This Row],[Close]], 0, 0, $D$1*-1))</f>
        <v>#REF!</v>
      </c>
      <c r="E104" s="28" t="e">
        <f t="shared" ca="1" si="1"/>
        <v>#REF!</v>
      </c>
    </row>
    <row r="105" spans="1:5" x14ac:dyDescent="0.4">
      <c r="A105" s="4">
        <v>44286</v>
      </c>
      <c r="B105" s="8">
        <v>396.33</v>
      </c>
      <c r="C105" s="27">
        <f ca="1">AVERAGE(OFFSET(SPY_Close_Price_PQ[[#This Row],[Close]], 0, 0, $C$1*-1))</f>
        <v>387.60100000000006</v>
      </c>
      <c r="D105" s="27" t="e">
        <f ca="1">AVERAGE(OFFSET(SPY_Close_Price_PQ[[#This Row],[Close]], 0, 0, $D$1*-1))</f>
        <v>#REF!</v>
      </c>
      <c r="E105" s="28" t="e">
        <f t="shared" ca="1" si="1"/>
        <v>#REF!</v>
      </c>
    </row>
    <row r="106" spans="1:5" x14ac:dyDescent="0.4">
      <c r="A106" s="5">
        <v>44287</v>
      </c>
      <c r="B106" s="9">
        <v>400.61</v>
      </c>
      <c r="C106" s="27">
        <f ca="1">AVERAGE(OFFSET(SPY_Close_Price_PQ[[#This Row],[Close]], 0, 0, $C$1*-1))</f>
        <v>387.93540000000007</v>
      </c>
      <c r="D106" s="27" t="e">
        <f ca="1">AVERAGE(OFFSET(SPY_Close_Price_PQ[[#This Row],[Close]], 0, 0, $D$1*-1))</f>
        <v>#REF!</v>
      </c>
      <c r="E106" s="28" t="e">
        <f t="shared" ca="1" si="1"/>
        <v>#REF!</v>
      </c>
    </row>
    <row r="107" spans="1:5" x14ac:dyDescent="0.4">
      <c r="A107" s="4">
        <v>44291</v>
      </c>
      <c r="B107" s="8">
        <v>406.36</v>
      </c>
      <c r="C107" s="27">
        <f ca="1">AVERAGE(OFFSET(SPY_Close_Price_PQ[[#This Row],[Close]], 0, 0, $C$1*-1))</f>
        <v>388.37780000000004</v>
      </c>
      <c r="D107" s="27" t="e">
        <f ca="1">AVERAGE(OFFSET(SPY_Close_Price_PQ[[#This Row],[Close]], 0, 0, $D$1*-1))</f>
        <v>#REF!</v>
      </c>
      <c r="E107" s="28" t="e">
        <f t="shared" ca="1" si="1"/>
        <v>#REF!</v>
      </c>
    </row>
    <row r="108" spans="1:5" x14ac:dyDescent="0.4">
      <c r="A108" s="5">
        <v>44292</v>
      </c>
      <c r="B108" s="9">
        <v>406.12</v>
      </c>
      <c r="C108" s="27">
        <f ca="1">AVERAGE(OFFSET(SPY_Close_Price_PQ[[#This Row],[Close]], 0, 0, $C$1*-1))</f>
        <v>388.8426</v>
      </c>
      <c r="D108" s="27" t="e">
        <f ca="1">AVERAGE(OFFSET(SPY_Close_Price_PQ[[#This Row],[Close]], 0, 0, $D$1*-1))</f>
        <v>#REF!</v>
      </c>
      <c r="E108" s="28" t="e">
        <f t="shared" ca="1" si="1"/>
        <v>#REF!</v>
      </c>
    </row>
    <row r="109" spans="1:5" x14ac:dyDescent="0.4">
      <c r="A109" s="4">
        <v>44293</v>
      </c>
      <c r="B109" s="8">
        <v>406.59</v>
      </c>
      <c r="C109" s="27">
        <f ca="1">AVERAGE(OFFSET(SPY_Close_Price_PQ[[#This Row],[Close]], 0, 0, $C$1*-1))</f>
        <v>389.28660000000002</v>
      </c>
      <c r="D109" s="27" t="e">
        <f ca="1">AVERAGE(OFFSET(SPY_Close_Price_PQ[[#This Row],[Close]], 0, 0, $D$1*-1))</f>
        <v>#REF!</v>
      </c>
      <c r="E109" s="28" t="e">
        <f t="shared" ca="1" si="1"/>
        <v>#REF!</v>
      </c>
    </row>
    <row r="110" spans="1:5" x14ac:dyDescent="0.4">
      <c r="A110" s="5">
        <v>44294</v>
      </c>
      <c r="B110" s="9">
        <v>408.52</v>
      </c>
      <c r="C110" s="27">
        <f ca="1">AVERAGE(OFFSET(SPY_Close_Price_PQ[[#This Row],[Close]], 0, 0, $C$1*-1))</f>
        <v>389.78120000000001</v>
      </c>
      <c r="D110" s="27" t="e">
        <f ca="1">AVERAGE(OFFSET(SPY_Close_Price_PQ[[#This Row],[Close]], 0, 0, $D$1*-1))</f>
        <v>#REF!</v>
      </c>
      <c r="E110" s="28" t="e">
        <f t="shared" ca="1" si="1"/>
        <v>#REF!</v>
      </c>
    </row>
    <row r="111" spans="1:5" x14ac:dyDescent="0.4">
      <c r="A111" s="4">
        <v>44295</v>
      </c>
      <c r="B111" s="8">
        <v>411.49</v>
      </c>
      <c r="C111" s="27">
        <f ca="1">AVERAGE(OFFSET(SPY_Close_Price_PQ[[#This Row],[Close]], 0, 0, $C$1*-1))</f>
        <v>390.52280000000013</v>
      </c>
      <c r="D111" s="27" t="e">
        <f ca="1">AVERAGE(OFFSET(SPY_Close_Price_PQ[[#This Row],[Close]], 0, 0, $D$1*-1))</f>
        <v>#REF!</v>
      </c>
      <c r="E111" s="28" t="e">
        <f t="shared" ca="1" si="1"/>
        <v>#REF!</v>
      </c>
    </row>
    <row r="112" spans="1:5" x14ac:dyDescent="0.4">
      <c r="A112" s="5">
        <v>44298</v>
      </c>
      <c r="B112" s="9">
        <v>411.64</v>
      </c>
      <c r="C112" s="27">
        <f ca="1">AVERAGE(OFFSET(SPY_Close_Price_PQ[[#This Row],[Close]], 0, 0, $C$1*-1))</f>
        <v>391.20300000000003</v>
      </c>
      <c r="D112" s="27" t="e">
        <f ca="1">AVERAGE(OFFSET(SPY_Close_Price_PQ[[#This Row],[Close]], 0, 0, $D$1*-1))</f>
        <v>#REF!</v>
      </c>
      <c r="E112" s="28" t="e">
        <f t="shared" ca="1" si="1"/>
        <v>#REF!</v>
      </c>
    </row>
    <row r="113" spans="1:5" x14ac:dyDescent="0.4">
      <c r="A113" s="4">
        <v>44299</v>
      </c>
      <c r="B113" s="8">
        <v>412.86</v>
      </c>
      <c r="C113" s="27">
        <f ca="1">AVERAGE(OFFSET(SPY_Close_Price_PQ[[#This Row],[Close]], 0, 0, $C$1*-1))</f>
        <v>392.05879999999996</v>
      </c>
      <c r="D113" s="27" t="e">
        <f ca="1">AVERAGE(OFFSET(SPY_Close_Price_PQ[[#This Row],[Close]], 0, 0, $D$1*-1))</f>
        <v>#REF!</v>
      </c>
      <c r="E113" s="28" t="e">
        <f t="shared" ca="1" si="1"/>
        <v>#REF!</v>
      </c>
    </row>
    <row r="114" spans="1:5" x14ac:dyDescent="0.4">
      <c r="A114" s="5">
        <v>44300</v>
      </c>
      <c r="B114" s="9">
        <v>411.45</v>
      </c>
      <c r="C114" s="27">
        <f ca="1">AVERAGE(OFFSET(SPY_Close_Price_PQ[[#This Row],[Close]], 0, 0, $C$1*-1))</f>
        <v>392.76319999999998</v>
      </c>
      <c r="D114" s="27" t="e">
        <f ca="1">AVERAGE(OFFSET(SPY_Close_Price_PQ[[#This Row],[Close]], 0, 0, $D$1*-1))</f>
        <v>#REF!</v>
      </c>
      <c r="E114" s="28" t="e">
        <f t="shared" ca="1" si="1"/>
        <v>#REF!</v>
      </c>
    </row>
    <row r="115" spans="1:5" x14ac:dyDescent="0.4">
      <c r="A115" s="4">
        <v>44301</v>
      </c>
      <c r="B115" s="8">
        <v>415.87</v>
      </c>
      <c r="C115" s="27">
        <f ca="1">AVERAGE(OFFSET(SPY_Close_Price_PQ[[#This Row],[Close]], 0, 0, $C$1*-1))</f>
        <v>393.44959999999998</v>
      </c>
      <c r="D115" s="27" t="e">
        <f ca="1">AVERAGE(OFFSET(SPY_Close_Price_PQ[[#This Row],[Close]], 0, 0, $D$1*-1))</f>
        <v>#REF!</v>
      </c>
      <c r="E115" s="28" t="e">
        <f t="shared" ca="1" si="1"/>
        <v>#REF!</v>
      </c>
    </row>
    <row r="116" spans="1:5" x14ac:dyDescent="0.4">
      <c r="A116" s="5">
        <v>44302</v>
      </c>
      <c r="B116" s="9">
        <v>417.26</v>
      </c>
      <c r="C116" s="27">
        <f ca="1">AVERAGE(OFFSET(SPY_Close_Price_PQ[[#This Row],[Close]], 0, 0, $C$1*-1))</f>
        <v>394.15780000000001</v>
      </c>
      <c r="D116" s="27" t="e">
        <f ca="1">AVERAGE(OFFSET(SPY_Close_Price_PQ[[#This Row],[Close]], 0, 0, $D$1*-1))</f>
        <v>#REF!</v>
      </c>
      <c r="E116" s="28" t="e">
        <f t="shared" ca="1" si="1"/>
        <v>#REF!</v>
      </c>
    </row>
    <row r="117" spans="1:5" x14ac:dyDescent="0.4">
      <c r="A117" s="4">
        <v>44305</v>
      </c>
      <c r="B117" s="8">
        <v>415.21</v>
      </c>
      <c r="C117" s="27">
        <f ca="1">AVERAGE(OFFSET(SPY_Close_Price_PQ[[#This Row],[Close]], 0, 0, $C$1*-1))</f>
        <v>394.73820000000001</v>
      </c>
      <c r="D117" s="27" t="e">
        <f ca="1">AVERAGE(OFFSET(SPY_Close_Price_PQ[[#This Row],[Close]], 0, 0, $D$1*-1))</f>
        <v>#REF!</v>
      </c>
      <c r="E117" s="28" t="e">
        <f t="shared" ca="1" si="1"/>
        <v>#REF!</v>
      </c>
    </row>
    <row r="118" spans="1:5" x14ac:dyDescent="0.4">
      <c r="A118" s="5">
        <v>44306</v>
      </c>
      <c r="B118" s="9">
        <v>412.17</v>
      </c>
      <c r="C118" s="27">
        <f ca="1">AVERAGE(OFFSET(SPY_Close_Price_PQ[[#This Row],[Close]], 0, 0, $C$1*-1))</f>
        <v>395.22739999999999</v>
      </c>
      <c r="D118" s="27" t="e">
        <f ca="1">AVERAGE(OFFSET(SPY_Close_Price_PQ[[#This Row],[Close]], 0, 0, $D$1*-1))</f>
        <v>#REF!</v>
      </c>
      <c r="E118" s="28" t="e">
        <f t="shared" ca="1" si="1"/>
        <v>#REF!</v>
      </c>
    </row>
    <row r="119" spans="1:5" x14ac:dyDescent="0.4">
      <c r="A119" s="4">
        <v>44307</v>
      </c>
      <c r="B119" s="8">
        <v>416.07</v>
      </c>
      <c r="C119" s="27">
        <f ca="1">AVERAGE(OFFSET(SPY_Close_Price_PQ[[#This Row],[Close]], 0, 0, $C$1*-1))</f>
        <v>395.73859999999991</v>
      </c>
      <c r="D119" s="27" t="e">
        <f ca="1">AVERAGE(OFFSET(SPY_Close_Price_PQ[[#This Row],[Close]], 0, 0, $D$1*-1))</f>
        <v>#REF!</v>
      </c>
      <c r="E119" s="28" t="e">
        <f t="shared" ca="1" si="1"/>
        <v>#REF!</v>
      </c>
    </row>
    <row r="120" spans="1:5" x14ac:dyDescent="0.4">
      <c r="A120" s="5">
        <v>44308</v>
      </c>
      <c r="B120" s="9">
        <v>412.27</v>
      </c>
      <c r="C120" s="27">
        <f ca="1">AVERAGE(OFFSET(SPY_Close_Price_PQ[[#This Row],[Close]], 0, 0, $C$1*-1))</f>
        <v>396.17899999999992</v>
      </c>
      <c r="D120" s="27" t="e">
        <f ca="1">AVERAGE(OFFSET(SPY_Close_Price_PQ[[#This Row],[Close]], 0, 0, $D$1*-1))</f>
        <v>#REF!</v>
      </c>
      <c r="E120" s="28" t="e">
        <f t="shared" ca="1" si="1"/>
        <v>#REF!</v>
      </c>
    </row>
    <row r="121" spans="1:5" x14ac:dyDescent="0.4">
      <c r="A121" s="4">
        <v>44309</v>
      </c>
      <c r="B121" s="8">
        <v>416.74</v>
      </c>
      <c r="C121" s="27">
        <f ca="1">AVERAGE(OFFSET(SPY_Close_Price_PQ[[#This Row],[Close]], 0, 0, $C$1*-1))</f>
        <v>396.7122</v>
      </c>
      <c r="D121" s="27" t="e">
        <f ca="1">AVERAGE(OFFSET(SPY_Close_Price_PQ[[#This Row],[Close]], 0, 0, $D$1*-1))</f>
        <v>#REF!</v>
      </c>
      <c r="E121" s="28" t="e">
        <f t="shared" ca="1" si="1"/>
        <v>#REF!</v>
      </c>
    </row>
    <row r="122" spans="1:5" x14ac:dyDescent="0.4">
      <c r="A122" s="5">
        <v>44312</v>
      </c>
      <c r="B122" s="9">
        <v>417.61</v>
      </c>
      <c r="C122" s="27">
        <f ca="1">AVERAGE(OFFSET(SPY_Close_Price_PQ[[#This Row],[Close]], 0, 0, $C$1*-1))</f>
        <v>397.25019999999995</v>
      </c>
      <c r="D122" s="27" t="e">
        <f ca="1">AVERAGE(OFFSET(SPY_Close_Price_PQ[[#This Row],[Close]], 0, 0, $D$1*-1))</f>
        <v>#REF!</v>
      </c>
      <c r="E122" s="28" t="e">
        <f t="shared" ca="1" si="1"/>
        <v>#REF!</v>
      </c>
    </row>
    <row r="123" spans="1:5" x14ac:dyDescent="0.4">
      <c r="A123" s="4">
        <v>44313</v>
      </c>
      <c r="B123" s="8">
        <v>417.52</v>
      </c>
      <c r="C123" s="27">
        <f ca="1">AVERAGE(OFFSET(SPY_Close_Price_PQ[[#This Row],[Close]], 0, 0, $C$1*-1))</f>
        <v>397.74780000000004</v>
      </c>
      <c r="D123" s="27" t="e">
        <f ca="1">AVERAGE(OFFSET(SPY_Close_Price_PQ[[#This Row],[Close]], 0, 0, $D$1*-1))</f>
        <v>#REF!</v>
      </c>
      <c r="E123" s="28" t="e">
        <f t="shared" ca="1" si="1"/>
        <v>#REF!</v>
      </c>
    </row>
    <row r="124" spans="1:5" x14ac:dyDescent="0.4">
      <c r="A124" s="5">
        <v>44314</v>
      </c>
      <c r="B124" s="9">
        <v>417.4</v>
      </c>
      <c r="C124" s="27">
        <f ca="1">AVERAGE(OFFSET(SPY_Close_Price_PQ[[#This Row],[Close]], 0, 0, $C$1*-1))</f>
        <v>398.24980000000011</v>
      </c>
      <c r="D124" s="27" t="e">
        <f ca="1">AVERAGE(OFFSET(SPY_Close_Price_PQ[[#This Row],[Close]], 0, 0, $D$1*-1))</f>
        <v>#REF!</v>
      </c>
      <c r="E124" s="28" t="e">
        <f t="shared" ca="1" si="1"/>
        <v>#REF!</v>
      </c>
    </row>
    <row r="125" spans="1:5" x14ac:dyDescent="0.4">
      <c r="A125" s="4">
        <v>44315</v>
      </c>
      <c r="B125" s="8">
        <v>420.06</v>
      </c>
      <c r="C125" s="27">
        <f ca="1">AVERAGE(OFFSET(SPY_Close_Price_PQ[[#This Row],[Close]], 0, 0, $C$1*-1))</f>
        <v>398.80320000000023</v>
      </c>
      <c r="D125" s="27" t="e">
        <f ca="1">AVERAGE(OFFSET(SPY_Close_Price_PQ[[#This Row],[Close]], 0, 0, $D$1*-1))</f>
        <v>#REF!</v>
      </c>
      <c r="E125" s="28" t="e">
        <f t="shared" ca="1" si="1"/>
        <v>#REF!</v>
      </c>
    </row>
    <row r="126" spans="1:5" x14ac:dyDescent="0.4">
      <c r="A126" s="5">
        <v>44316</v>
      </c>
      <c r="B126" s="9">
        <v>417.3</v>
      </c>
      <c r="C126" s="27">
        <f ca="1">AVERAGE(OFFSET(SPY_Close_Price_PQ[[#This Row],[Close]], 0, 0, $C$1*-1))</f>
        <v>399.3348000000002</v>
      </c>
      <c r="D126" s="27" t="e">
        <f ca="1">AVERAGE(OFFSET(SPY_Close_Price_PQ[[#This Row],[Close]], 0, 0, $D$1*-1))</f>
        <v>#REF!</v>
      </c>
      <c r="E126" s="28" t="e">
        <f t="shared" ca="1" si="1"/>
        <v>#REF!</v>
      </c>
    </row>
    <row r="127" spans="1:5" x14ac:dyDescent="0.4">
      <c r="A127" s="4">
        <v>44319</v>
      </c>
      <c r="B127" s="8">
        <v>418.2</v>
      </c>
      <c r="C127" s="27">
        <f ca="1">AVERAGE(OFFSET(SPY_Close_Price_PQ[[#This Row],[Close]], 0, 0, $C$1*-1))</f>
        <v>399.8982000000002</v>
      </c>
      <c r="D127" s="27" t="e">
        <f ca="1">AVERAGE(OFFSET(SPY_Close_Price_PQ[[#This Row],[Close]], 0, 0, $D$1*-1))</f>
        <v>#REF!</v>
      </c>
      <c r="E127" s="28" t="e">
        <f t="shared" ca="1" si="1"/>
        <v>#REF!</v>
      </c>
    </row>
    <row r="128" spans="1:5" x14ac:dyDescent="0.4">
      <c r="A128" s="5">
        <v>44320</v>
      </c>
      <c r="B128" s="9">
        <v>415.62</v>
      </c>
      <c r="C128" s="27">
        <f ca="1">AVERAGE(OFFSET(SPY_Close_Price_PQ[[#This Row],[Close]], 0, 0, $C$1*-1))</f>
        <v>400.47000000000014</v>
      </c>
      <c r="D128" s="27" t="e">
        <f ca="1">AVERAGE(OFFSET(SPY_Close_Price_PQ[[#This Row],[Close]], 0, 0, $D$1*-1))</f>
        <v>#REF!</v>
      </c>
      <c r="E128" s="28" t="e">
        <f t="shared" ca="1" si="1"/>
        <v>#REF!</v>
      </c>
    </row>
    <row r="129" spans="1:5" x14ac:dyDescent="0.4">
      <c r="A129" s="4">
        <v>44321</v>
      </c>
      <c r="B129" s="8">
        <v>415.75</v>
      </c>
      <c r="C129" s="27">
        <f ca="1">AVERAGE(OFFSET(SPY_Close_Price_PQ[[#This Row],[Close]], 0, 0, $C$1*-1))</f>
        <v>401.03500000000014</v>
      </c>
      <c r="D129" s="27" t="e">
        <f ca="1">AVERAGE(OFFSET(SPY_Close_Price_PQ[[#This Row],[Close]], 0, 0, $D$1*-1))</f>
        <v>#REF!</v>
      </c>
      <c r="E129" s="28" t="e">
        <f t="shared" ca="1" si="1"/>
        <v>#REF!</v>
      </c>
    </row>
    <row r="130" spans="1:5" x14ac:dyDescent="0.4">
      <c r="A130" s="5">
        <v>44322</v>
      </c>
      <c r="B130" s="9">
        <v>419.07</v>
      </c>
      <c r="C130" s="27">
        <f ca="1">AVERAGE(OFFSET(SPY_Close_Price_PQ[[#This Row],[Close]], 0, 0, $C$1*-1))</f>
        <v>401.58100000000013</v>
      </c>
      <c r="D130" s="27" t="e">
        <f ca="1">AVERAGE(OFFSET(SPY_Close_Price_PQ[[#This Row],[Close]], 0, 0, $D$1*-1))</f>
        <v>#REF!</v>
      </c>
      <c r="E130" s="28" t="e">
        <f t="shared" ca="1" si="1"/>
        <v>#REF!</v>
      </c>
    </row>
    <row r="131" spans="1:5" x14ac:dyDescent="0.4">
      <c r="A131" s="4">
        <v>44323</v>
      </c>
      <c r="B131" s="8">
        <v>422.12</v>
      </c>
      <c r="C131" s="27">
        <f ca="1">AVERAGE(OFFSET(SPY_Close_Price_PQ[[#This Row],[Close]], 0, 0, $C$1*-1))</f>
        <v>402.37680000000006</v>
      </c>
      <c r="D131" s="27" t="e">
        <f ca="1">AVERAGE(OFFSET(SPY_Close_Price_PQ[[#This Row],[Close]], 0, 0, $D$1*-1))</f>
        <v>#REF!</v>
      </c>
      <c r="E131" s="28" t="e">
        <f t="shared" ca="1" si="1"/>
        <v>#REF!</v>
      </c>
    </row>
    <row r="132" spans="1:5" x14ac:dyDescent="0.4">
      <c r="A132" s="5">
        <v>44326</v>
      </c>
      <c r="B132" s="9">
        <v>417.94</v>
      </c>
      <c r="C132" s="27">
        <f ca="1">AVERAGE(OFFSET(SPY_Close_Price_PQ[[#This Row],[Close]], 0, 0, $C$1*-1))</f>
        <v>403.12840000000006</v>
      </c>
      <c r="D132" s="27" t="e">
        <f ca="1">AVERAGE(OFFSET(SPY_Close_Price_PQ[[#This Row],[Close]], 0, 0, $D$1*-1))</f>
        <v>#REF!</v>
      </c>
      <c r="E132" s="28" t="e">
        <f t="shared" ref="E132:E195" ca="1" si="2">IF(AND(C131&lt;D131,C132&gt;D132),1,0)</f>
        <v>#REF!</v>
      </c>
    </row>
    <row r="133" spans="1:5" x14ac:dyDescent="0.4">
      <c r="A133" s="4">
        <v>44327</v>
      </c>
      <c r="B133" s="8">
        <v>414.21</v>
      </c>
      <c r="C133" s="27">
        <f ca="1">AVERAGE(OFFSET(SPY_Close_Price_PQ[[#This Row],[Close]], 0, 0, $C$1*-1))</f>
        <v>403.62100000000004</v>
      </c>
      <c r="D133" s="27" t="e">
        <f ca="1">AVERAGE(OFFSET(SPY_Close_Price_PQ[[#This Row],[Close]], 0, 0, $D$1*-1))</f>
        <v>#REF!</v>
      </c>
      <c r="E133" s="28" t="e">
        <f t="shared" ca="1" si="2"/>
        <v>#REF!</v>
      </c>
    </row>
    <row r="134" spans="1:5" x14ac:dyDescent="0.4">
      <c r="A134" s="5">
        <v>44328</v>
      </c>
      <c r="B134" s="9">
        <v>405.41</v>
      </c>
      <c r="C134" s="27">
        <f ca="1">AVERAGE(OFFSET(SPY_Close_Price_PQ[[#This Row],[Close]], 0, 0, $C$1*-1))</f>
        <v>403.99839999999995</v>
      </c>
      <c r="D134" s="27" t="e">
        <f ca="1">AVERAGE(OFFSET(SPY_Close_Price_PQ[[#This Row],[Close]], 0, 0, $D$1*-1))</f>
        <v>#REF!</v>
      </c>
      <c r="E134" s="28" t="e">
        <f t="shared" ca="1" si="2"/>
        <v>#REF!</v>
      </c>
    </row>
    <row r="135" spans="1:5" x14ac:dyDescent="0.4">
      <c r="A135" s="4">
        <v>44329</v>
      </c>
      <c r="B135" s="8">
        <v>410.28</v>
      </c>
      <c r="C135" s="27">
        <f ca="1">AVERAGE(OFFSET(SPY_Close_Price_PQ[[#This Row],[Close]], 0, 0, $C$1*-1))</f>
        <v>404.57559999999995</v>
      </c>
      <c r="D135" s="27" t="e">
        <f ca="1">AVERAGE(OFFSET(SPY_Close_Price_PQ[[#This Row],[Close]], 0, 0, $D$1*-1))</f>
        <v>#REF!</v>
      </c>
      <c r="E135" s="28" t="e">
        <f t="shared" ca="1" si="2"/>
        <v>#REF!</v>
      </c>
    </row>
    <row r="136" spans="1:5" x14ac:dyDescent="0.4">
      <c r="A136" s="5">
        <v>44330</v>
      </c>
      <c r="B136" s="9">
        <v>416.58</v>
      </c>
      <c r="C136" s="27">
        <f ca="1">AVERAGE(OFFSET(SPY_Close_Price_PQ[[#This Row],[Close]], 0, 0, $C$1*-1))</f>
        <v>405.37319999999994</v>
      </c>
      <c r="D136" s="27" t="e">
        <f ca="1">AVERAGE(OFFSET(SPY_Close_Price_PQ[[#This Row],[Close]], 0, 0, $D$1*-1))</f>
        <v>#REF!</v>
      </c>
      <c r="E136" s="28" t="e">
        <f t="shared" ca="1" si="2"/>
        <v>#REF!</v>
      </c>
    </row>
    <row r="137" spans="1:5" x14ac:dyDescent="0.4">
      <c r="A137" s="4">
        <v>44333</v>
      </c>
      <c r="B137" s="8">
        <v>415.52</v>
      </c>
      <c r="C137" s="27">
        <f ca="1">AVERAGE(OFFSET(SPY_Close_Price_PQ[[#This Row],[Close]], 0, 0, $C$1*-1))</f>
        <v>406.01099999999997</v>
      </c>
      <c r="D137" s="27" t="e">
        <f ca="1">AVERAGE(OFFSET(SPY_Close_Price_PQ[[#This Row],[Close]], 0, 0, $D$1*-1))</f>
        <v>#REF!</v>
      </c>
      <c r="E137" s="28" t="e">
        <f t="shared" ca="1" si="2"/>
        <v>#REF!</v>
      </c>
    </row>
    <row r="138" spans="1:5" x14ac:dyDescent="0.4">
      <c r="A138" s="5">
        <v>44334</v>
      </c>
      <c r="B138" s="9">
        <v>411.94</v>
      </c>
      <c r="C138" s="27">
        <f ca="1">AVERAGE(OFFSET(SPY_Close_Price_PQ[[#This Row],[Close]], 0, 0, $C$1*-1))</f>
        <v>406.61539999999991</v>
      </c>
      <c r="D138" s="27" t="e">
        <f ca="1">AVERAGE(OFFSET(SPY_Close_Price_PQ[[#This Row],[Close]], 0, 0, $D$1*-1))</f>
        <v>#REF!</v>
      </c>
      <c r="E138" s="28" t="e">
        <f t="shared" ca="1" si="2"/>
        <v>#REF!</v>
      </c>
    </row>
    <row r="139" spans="1:5" x14ac:dyDescent="0.4">
      <c r="A139" s="4">
        <v>44335</v>
      </c>
      <c r="B139" s="8">
        <v>410.86</v>
      </c>
      <c r="C139" s="27">
        <f ca="1">AVERAGE(OFFSET(SPY_Close_Price_PQ[[#This Row],[Close]], 0, 0, $C$1*-1))</f>
        <v>407.08920000000001</v>
      </c>
      <c r="D139" s="27" t="e">
        <f ca="1">AVERAGE(OFFSET(SPY_Close_Price_PQ[[#This Row],[Close]], 0, 0, $D$1*-1))</f>
        <v>#REF!</v>
      </c>
      <c r="E139" s="28" t="e">
        <f t="shared" ca="1" si="2"/>
        <v>#REF!</v>
      </c>
    </row>
    <row r="140" spans="1:5" x14ac:dyDescent="0.4">
      <c r="A140" s="5">
        <v>44336</v>
      </c>
      <c r="B140" s="9">
        <v>415.28</v>
      </c>
      <c r="C140" s="27">
        <f ca="1">AVERAGE(OFFSET(SPY_Close_Price_PQ[[#This Row],[Close]], 0, 0, $C$1*-1))</f>
        <v>407.6031999999999</v>
      </c>
      <c r="D140" s="27" t="e">
        <f ca="1">AVERAGE(OFFSET(SPY_Close_Price_PQ[[#This Row],[Close]], 0, 0, $D$1*-1))</f>
        <v>#REF!</v>
      </c>
      <c r="E140" s="28" t="e">
        <f t="shared" ca="1" si="2"/>
        <v>#REF!</v>
      </c>
    </row>
    <row r="141" spans="1:5" x14ac:dyDescent="0.4">
      <c r="A141" s="4">
        <v>44337</v>
      </c>
      <c r="B141" s="8">
        <v>414.94</v>
      </c>
      <c r="C141" s="27">
        <f ca="1">AVERAGE(OFFSET(SPY_Close_Price_PQ[[#This Row],[Close]], 0, 0, $C$1*-1))</f>
        <v>408.03139999999991</v>
      </c>
      <c r="D141" s="27" t="e">
        <f ca="1">AVERAGE(OFFSET(SPY_Close_Price_PQ[[#This Row],[Close]], 0, 0, $D$1*-1))</f>
        <v>#REF!</v>
      </c>
      <c r="E141" s="28" t="e">
        <f t="shared" ca="1" si="2"/>
        <v>#REF!</v>
      </c>
    </row>
    <row r="142" spans="1:5" x14ac:dyDescent="0.4">
      <c r="A142" s="5">
        <v>44340</v>
      </c>
      <c r="B142" s="9">
        <v>419.17</v>
      </c>
      <c r="C142" s="27">
        <f ca="1">AVERAGE(OFFSET(SPY_Close_Price_PQ[[#This Row],[Close]], 0, 0, $C$1*-1))</f>
        <v>408.53359999999992</v>
      </c>
      <c r="D142" s="27" t="e">
        <f ca="1">AVERAGE(OFFSET(SPY_Close_Price_PQ[[#This Row],[Close]], 0, 0, $D$1*-1))</f>
        <v>#REF!</v>
      </c>
      <c r="E142" s="28" t="e">
        <f t="shared" ca="1" si="2"/>
        <v>#REF!</v>
      </c>
    </row>
    <row r="143" spans="1:5" x14ac:dyDescent="0.4">
      <c r="A143" s="4">
        <v>44341</v>
      </c>
      <c r="B143" s="8">
        <v>418.24</v>
      </c>
      <c r="C143" s="27">
        <f ca="1">AVERAGE(OFFSET(SPY_Close_Price_PQ[[#This Row],[Close]], 0, 0, $C$1*-1))</f>
        <v>408.97019999999998</v>
      </c>
      <c r="D143" s="27" t="e">
        <f ca="1">AVERAGE(OFFSET(SPY_Close_Price_PQ[[#This Row],[Close]], 0, 0, $D$1*-1))</f>
        <v>#REF!</v>
      </c>
      <c r="E143" s="28" t="e">
        <f t="shared" ca="1" si="2"/>
        <v>#REF!</v>
      </c>
    </row>
    <row r="144" spans="1:5" x14ac:dyDescent="0.4">
      <c r="A144" s="5">
        <v>44342</v>
      </c>
      <c r="B144" s="9">
        <v>419.07</v>
      </c>
      <c r="C144" s="27">
        <f ca="1">AVERAGE(OFFSET(SPY_Close_Price_PQ[[#This Row],[Close]], 0, 0, $C$1*-1))</f>
        <v>409.43339999999995</v>
      </c>
      <c r="D144" s="27" t="e">
        <f ca="1">AVERAGE(OFFSET(SPY_Close_Price_PQ[[#This Row],[Close]], 0, 0, $D$1*-1))</f>
        <v>#REF!</v>
      </c>
      <c r="E144" s="28" t="e">
        <f t="shared" ca="1" si="2"/>
        <v>#REF!</v>
      </c>
    </row>
    <row r="145" spans="1:5" x14ac:dyDescent="0.4">
      <c r="A145" s="4">
        <v>44343</v>
      </c>
      <c r="B145" s="8">
        <v>419.29</v>
      </c>
      <c r="C145" s="27">
        <f ca="1">AVERAGE(OFFSET(SPY_Close_Price_PQ[[#This Row],[Close]], 0, 0, $C$1*-1))</f>
        <v>409.87399999999997</v>
      </c>
      <c r="D145" s="27" t="e">
        <f ca="1">AVERAGE(OFFSET(SPY_Close_Price_PQ[[#This Row],[Close]], 0, 0, $D$1*-1))</f>
        <v>#REF!</v>
      </c>
      <c r="E145" s="28" t="e">
        <f t="shared" ca="1" si="2"/>
        <v>#REF!</v>
      </c>
    </row>
    <row r="146" spans="1:5" x14ac:dyDescent="0.4">
      <c r="A146" s="5">
        <v>44344</v>
      </c>
      <c r="B146" s="9">
        <v>420.04</v>
      </c>
      <c r="C146" s="27">
        <f ca="1">AVERAGE(OFFSET(SPY_Close_Price_PQ[[#This Row],[Close]], 0, 0, $C$1*-1))</f>
        <v>410.44519999999994</v>
      </c>
      <c r="D146" s="27" t="e">
        <f ca="1">AVERAGE(OFFSET(SPY_Close_Price_PQ[[#This Row],[Close]], 0, 0, $D$1*-1))</f>
        <v>#REF!</v>
      </c>
      <c r="E146" s="28" t="e">
        <f t="shared" ca="1" si="2"/>
        <v>#REF!</v>
      </c>
    </row>
    <row r="147" spans="1:5" x14ac:dyDescent="0.4">
      <c r="A147" s="4">
        <v>44348</v>
      </c>
      <c r="B147" s="8">
        <v>419.67</v>
      </c>
      <c r="C147" s="27">
        <f ca="1">AVERAGE(OFFSET(SPY_Close_Price_PQ[[#This Row],[Close]], 0, 0, $C$1*-1))</f>
        <v>411.04899999999992</v>
      </c>
      <c r="D147" s="27" t="e">
        <f ca="1">AVERAGE(OFFSET(SPY_Close_Price_PQ[[#This Row],[Close]], 0, 0, $D$1*-1))</f>
        <v>#REF!</v>
      </c>
      <c r="E147" s="28" t="e">
        <f t="shared" ca="1" si="2"/>
        <v>#REF!</v>
      </c>
    </row>
    <row r="148" spans="1:5" x14ac:dyDescent="0.4">
      <c r="A148" s="5">
        <v>44349</v>
      </c>
      <c r="B148" s="9">
        <v>420.33</v>
      </c>
      <c r="C148" s="27">
        <f ca="1">AVERAGE(OFFSET(SPY_Close_Price_PQ[[#This Row],[Close]], 0, 0, $C$1*-1))</f>
        <v>411.60380000000004</v>
      </c>
      <c r="D148" s="27" t="e">
        <f ca="1">AVERAGE(OFFSET(SPY_Close_Price_PQ[[#This Row],[Close]], 0, 0, $D$1*-1))</f>
        <v>#REF!</v>
      </c>
      <c r="E148" s="28" t="e">
        <f t="shared" ca="1" si="2"/>
        <v>#REF!</v>
      </c>
    </row>
    <row r="149" spans="1:5" x14ac:dyDescent="0.4">
      <c r="A149" s="4">
        <v>44350</v>
      </c>
      <c r="B149" s="8">
        <v>418.77</v>
      </c>
      <c r="C149" s="27">
        <f ca="1">AVERAGE(OFFSET(SPY_Close_Price_PQ[[#This Row],[Close]], 0, 0, $C$1*-1))</f>
        <v>412.18919999999997</v>
      </c>
      <c r="D149" s="27" t="e">
        <f ca="1">AVERAGE(OFFSET(SPY_Close_Price_PQ[[#This Row],[Close]], 0, 0, $D$1*-1))</f>
        <v>#REF!</v>
      </c>
      <c r="E149" s="28" t="e">
        <f t="shared" ca="1" si="2"/>
        <v>#REF!</v>
      </c>
    </row>
    <row r="150" spans="1:5" x14ac:dyDescent="0.4">
      <c r="A150" s="5">
        <v>44351</v>
      </c>
      <c r="B150" s="9">
        <v>422.6</v>
      </c>
      <c r="C150" s="27">
        <f ca="1">AVERAGE(OFFSET(SPY_Close_Price_PQ[[#This Row],[Close]], 0, 0, $C$1*-1))</f>
        <v>412.89080000000001</v>
      </c>
      <c r="D150" s="27" t="e">
        <f ca="1">AVERAGE(OFFSET(SPY_Close_Price_PQ[[#This Row],[Close]], 0, 0, $D$1*-1))</f>
        <v>#REF!</v>
      </c>
      <c r="E150" s="28" t="e">
        <f t="shared" ca="1" si="2"/>
        <v>#REF!</v>
      </c>
    </row>
    <row r="151" spans="1:5" x14ac:dyDescent="0.4">
      <c r="A151" s="4">
        <v>44354</v>
      </c>
      <c r="B151" s="8">
        <v>422.19</v>
      </c>
      <c r="C151" s="27">
        <f ca="1">AVERAGE(OFFSET(SPY_Close_Price_PQ[[#This Row],[Close]], 0, 0, $C$1*-1))</f>
        <v>413.54060000000004</v>
      </c>
      <c r="D151" s="27" t="e">
        <f ca="1">AVERAGE(OFFSET(SPY_Close_Price_PQ[[#This Row],[Close]], 0, 0, $D$1*-1))</f>
        <v>#REF!</v>
      </c>
      <c r="E151" s="28" t="e">
        <f t="shared" ca="1" si="2"/>
        <v>#REF!</v>
      </c>
    </row>
    <row r="152" spans="1:5" x14ac:dyDescent="0.4">
      <c r="A152" s="5">
        <v>44355</v>
      </c>
      <c r="B152" s="9">
        <v>422.28</v>
      </c>
      <c r="C152" s="27">
        <f ca="1">AVERAGE(OFFSET(SPY_Close_Price_PQ[[#This Row],[Close]], 0, 0, $C$1*-1))</f>
        <v>414.06660000000005</v>
      </c>
      <c r="D152" s="27" t="e">
        <f ca="1">AVERAGE(OFFSET(SPY_Close_Price_PQ[[#This Row],[Close]], 0, 0, $D$1*-1))</f>
        <v>#REF!</v>
      </c>
      <c r="E152" s="28" t="e">
        <f t="shared" ca="1" si="2"/>
        <v>#REF!</v>
      </c>
    </row>
    <row r="153" spans="1:5" x14ac:dyDescent="0.4">
      <c r="A153" s="4">
        <v>44356</v>
      </c>
      <c r="B153" s="8">
        <v>421.65</v>
      </c>
      <c r="C153" s="27">
        <f ca="1">AVERAGE(OFFSET(SPY_Close_Price_PQ[[#This Row],[Close]], 0, 0, $C$1*-1))</f>
        <v>414.584</v>
      </c>
      <c r="D153" s="27" t="e">
        <f ca="1">AVERAGE(OFFSET(SPY_Close_Price_PQ[[#This Row],[Close]], 0, 0, $D$1*-1))</f>
        <v>#REF!</v>
      </c>
      <c r="E153" s="28" t="e">
        <f t="shared" ca="1" si="2"/>
        <v>#REF!</v>
      </c>
    </row>
    <row r="154" spans="1:5" x14ac:dyDescent="0.4">
      <c r="A154" s="5">
        <v>44357</v>
      </c>
      <c r="B154" s="9">
        <v>423.61</v>
      </c>
      <c r="C154" s="27">
        <f ca="1">AVERAGE(OFFSET(SPY_Close_Price_PQ[[#This Row],[Close]], 0, 0, $C$1*-1))</f>
        <v>415.16160000000002</v>
      </c>
      <c r="D154" s="27" t="e">
        <f ca="1">AVERAGE(OFFSET(SPY_Close_Price_PQ[[#This Row],[Close]], 0, 0, $D$1*-1))</f>
        <v>#REF!</v>
      </c>
      <c r="E154" s="28" t="e">
        <f t="shared" ca="1" si="2"/>
        <v>#REF!</v>
      </c>
    </row>
    <row r="155" spans="1:5" x14ac:dyDescent="0.4">
      <c r="A155" s="4">
        <v>44358</v>
      </c>
      <c r="B155" s="8">
        <v>424.31</v>
      </c>
      <c r="C155" s="27">
        <f ca="1">AVERAGE(OFFSET(SPY_Close_Price_PQ[[#This Row],[Close]], 0, 0, $C$1*-1))</f>
        <v>415.72120000000001</v>
      </c>
      <c r="D155" s="27" t="e">
        <f ca="1">AVERAGE(OFFSET(SPY_Close_Price_PQ[[#This Row],[Close]], 0, 0, $D$1*-1))</f>
        <v>#REF!</v>
      </c>
      <c r="E155" s="28" t="e">
        <f t="shared" ca="1" si="2"/>
        <v>#REF!</v>
      </c>
    </row>
    <row r="156" spans="1:5" x14ac:dyDescent="0.4">
      <c r="A156" s="5">
        <v>44361</v>
      </c>
      <c r="B156" s="9">
        <v>425.26</v>
      </c>
      <c r="C156" s="27">
        <f ca="1">AVERAGE(OFFSET(SPY_Close_Price_PQ[[#This Row],[Close]], 0, 0, $C$1*-1))</f>
        <v>416.21420000000006</v>
      </c>
      <c r="D156" s="27" t="e">
        <f ca="1">AVERAGE(OFFSET(SPY_Close_Price_PQ[[#This Row],[Close]], 0, 0, $D$1*-1))</f>
        <v>#REF!</v>
      </c>
      <c r="E156" s="28" t="e">
        <f t="shared" ca="1" si="2"/>
        <v>#REF!</v>
      </c>
    </row>
    <row r="157" spans="1:5" x14ac:dyDescent="0.4">
      <c r="A157" s="4">
        <v>44362</v>
      </c>
      <c r="B157" s="8">
        <v>424.48</v>
      </c>
      <c r="C157" s="27">
        <f ca="1">AVERAGE(OFFSET(SPY_Close_Price_PQ[[#This Row],[Close]], 0, 0, $C$1*-1))</f>
        <v>416.5766000000001</v>
      </c>
      <c r="D157" s="27" t="e">
        <f ca="1">AVERAGE(OFFSET(SPY_Close_Price_PQ[[#This Row],[Close]], 0, 0, $D$1*-1))</f>
        <v>#REF!</v>
      </c>
      <c r="E157" s="28" t="e">
        <f t="shared" ca="1" si="2"/>
        <v>#REF!</v>
      </c>
    </row>
    <row r="158" spans="1:5" x14ac:dyDescent="0.4">
      <c r="A158" s="5">
        <v>44363</v>
      </c>
      <c r="B158" s="9">
        <v>422.11</v>
      </c>
      <c r="C158" s="27">
        <f ca="1">AVERAGE(OFFSET(SPY_Close_Price_PQ[[#This Row],[Close]], 0, 0, $C$1*-1))</f>
        <v>416.89640000000009</v>
      </c>
      <c r="D158" s="27" t="e">
        <f ca="1">AVERAGE(OFFSET(SPY_Close_Price_PQ[[#This Row],[Close]], 0, 0, $D$1*-1))</f>
        <v>#REF!</v>
      </c>
      <c r="E158" s="28" t="e">
        <f t="shared" ca="1" si="2"/>
        <v>#REF!</v>
      </c>
    </row>
    <row r="159" spans="1:5" x14ac:dyDescent="0.4">
      <c r="A159" s="4">
        <v>44364</v>
      </c>
      <c r="B159" s="8">
        <v>421.97</v>
      </c>
      <c r="C159" s="27">
        <f ca="1">AVERAGE(OFFSET(SPY_Close_Price_PQ[[#This Row],[Close]], 0, 0, $C$1*-1))</f>
        <v>417.20400000000001</v>
      </c>
      <c r="D159" s="27" t="e">
        <f ca="1">AVERAGE(OFFSET(SPY_Close_Price_PQ[[#This Row],[Close]], 0, 0, $D$1*-1))</f>
        <v>#REF!</v>
      </c>
      <c r="E159" s="28" t="e">
        <f t="shared" ca="1" si="2"/>
        <v>#REF!</v>
      </c>
    </row>
    <row r="160" spans="1:5" x14ac:dyDescent="0.4">
      <c r="A160" s="5">
        <v>44365</v>
      </c>
      <c r="B160" s="9">
        <v>414.92</v>
      </c>
      <c r="C160" s="27">
        <f ca="1">AVERAGE(OFFSET(SPY_Close_Price_PQ[[#This Row],[Close]], 0, 0, $C$1*-1))</f>
        <v>417.33200000000005</v>
      </c>
      <c r="D160" s="27" t="e">
        <f ca="1">AVERAGE(OFFSET(SPY_Close_Price_PQ[[#This Row],[Close]], 0, 0, $D$1*-1))</f>
        <v>#REF!</v>
      </c>
      <c r="E160" s="28" t="e">
        <f t="shared" ca="1" si="2"/>
        <v>#REF!</v>
      </c>
    </row>
    <row r="161" spans="1:5" x14ac:dyDescent="0.4">
      <c r="A161" s="4">
        <v>44368</v>
      </c>
      <c r="B161" s="8">
        <v>420.86</v>
      </c>
      <c r="C161" s="27">
        <f ca="1">AVERAGE(OFFSET(SPY_Close_Price_PQ[[#This Row],[Close]], 0, 0, $C$1*-1))</f>
        <v>417.51940000000008</v>
      </c>
      <c r="D161" s="27" t="e">
        <f ca="1">AVERAGE(OFFSET(SPY_Close_Price_PQ[[#This Row],[Close]], 0, 0, $D$1*-1))</f>
        <v>#REF!</v>
      </c>
      <c r="E161" s="28" t="e">
        <f t="shared" ca="1" si="2"/>
        <v>#REF!</v>
      </c>
    </row>
    <row r="162" spans="1:5" x14ac:dyDescent="0.4">
      <c r="A162" s="5">
        <v>44369</v>
      </c>
      <c r="B162" s="9">
        <v>423.11</v>
      </c>
      <c r="C162" s="27">
        <f ca="1">AVERAGE(OFFSET(SPY_Close_Price_PQ[[#This Row],[Close]], 0, 0, $C$1*-1))</f>
        <v>417.74880000000013</v>
      </c>
      <c r="D162" s="27" t="e">
        <f ca="1">AVERAGE(OFFSET(SPY_Close_Price_PQ[[#This Row],[Close]], 0, 0, $D$1*-1))</f>
        <v>#REF!</v>
      </c>
      <c r="E162" s="28" t="e">
        <f t="shared" ca="1" si="2"/>
        <v>#REF!</v>
      </c>
    </row>
    <row r="163" spans="1:5" x14ac:dyDescent="0.4">
      <c r="A163" s="4">
        <v>44370</v>
      </c>
      <c r="B163" s="8">
        <v>422.6</v>
      </c>
      <c r="C163" s="27">
        <f ca="1">AVERAGE(OFFSET(SPY_Close_Price_PQ[[#This Row],[Close]], 0, 0, $C$1*-1))</f>
        <v>417.94360000000006</v>
      </c>
      <c r="D163" s="27" t="e">
        <f ca="1">AVERAGE(OFFSET(SPY_Close_Price_PQ[[#This Row],[Close]], 0, 0, $D$1*-1))</f>
        <v>#REF!</v>
      </c>
      <c r="E163" s="28" t="e">
        <f t="shared" ca="1" si="2"/>
        <v>#REF!</v>
      </c>
    </row>
    <row r="164" spans="1:5" x14ac:dyDescent="0.4">
      <c r="A164" s="5">
        <v>44371</v>
      </c>
      <c r="B164" s="9">
        <v>425.1</v>
      </c>
      <c r="C164" s="27">
        <f ca="1">AVERAGE(OFFSET(SPY_Close_Price_PQ[[#This Row],[Close]], 0, 0, $C$1*-1))</f>
        <v>418.21660000000003</v>
      </c>
      <c r="D164" s="27" t="e">
        <f ca="1">AVERAGE(OFFSET(SPY_Close_Price_PQ[[#This Row],[Close]], 0, 0, $D$1*-1))</f>
        <v>#REF!</v>
      </c>
      <c r="E164" s="28" t="e">
        <f t="shared" ca="1" si="2"/>
        <v>#REF!</v>
      </c>
    </row>
    <row r="165" spans="1:5" x14ac:dyDescent="0.4">
      <c r="A165" s="4">
        <v>44372</v>
      </c>
      <c r="B165" s="8">
        <v>426.61</v>
      </c>
      <c r="C165" s="27">
        <f ca="1">AVERAGE(OFFSET(SPY_Close_Price_PQ[[#This Row],[Close]], 0, 0, $C$1*-1))</f>
        <v>418.43140000000005</v>
      </c>
      <c r="D165" s="27" t="e">
        <f ca="1">AVERAGE(OFFSET(SPY_Close_Price_PQ[[#This Row],[Close]], 0, 0, $D$1*-1))</f>
        <v>#REF!</v>
      </c>
      <c r="E165" s="28" t="e">
        <f t="shared" ca="1" si="2"/>
        <v>#REF!</v>
      </c>
    </row>
    <row r="166" spans="1:5" x14ac:dyDescent="0.4">
      <c r="A166" s="5">
        <v>44375</v>
      </c>
      <c r="B166" s="9">
        <v>427.47</v>
      </c>
      <c r="C166" s="27">
        <f ca="1">AVERAGE(OFFSET(SPY_Close_Price_PQ[[#This Row],[Close]], 0, 0, $C$1*-1))</f>
        <v>418.63560000000007</v>
      </c>
      <c r="D166" s="27" t="e">
        <f ca="1">AVERAGE(OFFSET(SPY_Close_Price_PQ[[#This Row],[Close]], 0, 0, $D$1*-1))</f>
        <v>#REF!</v>
      </c>
      <c r="E166" s="28" t="e">
        <f t="shared" ca="1" si="2"/>
        <v>#REF!</v>
      </c>
    </row>
    <row r="167" spans="1:5" x14ac:dyDescent="0.4">
      <c r="A167" s="4">
        <v>44376</v>
      </c>
      <c r="B167" s="8">
        <v>427.7</v>
      </c>
      <c r="C167" s="27">
        <f ca="1">AVERAGE(OFFSET(SPY_Close_Price_PQ[[#This Row],[Close]], 0, 0, $C$1*-1))</f>
        <v>418.88540000000006</v>
      </c>
      <c r="D167" s="27" t="e">
        <f ca="1">AVERAGE(OFFSET(SPY_Close_Price_PQ[[#This Row],[Close]], 0, 0, $D$1*-1))</f>
        <v>#REF!</v>
      </c>
      <c r="E167" s="28" t="e">
        <f t="shared" ca="1" si="2"/>
        <v>#REF!</v>
      </c>
    </row>
    <row r="168" spans="1:5" x14ac:dyDescent="0.4">
      <c r="A168" s="5">
        <v>44377</v>
      </c>
      <c r="B168" s="9">
        <v>428.06</v>
      </c>
      <c r="C168" s="27">
        <f ca="1">AVERAGE(OFFSET(SPY_Close_Price_PQ[[#This Row],[Close]], 0, 0, $C$1*-1))</f>
        <v>419.20320000000009</v>
      </c>
      <c r="D168" s="27" t="e">
        <f ca="1">AVERAGE(OFFSET(SPY_Close_Price_PQ[[#This Row],[Close]], 0, 0, $D$1*-1))</f>
        <v>#REF!</v>
      </c>
      <c r="E168" s="28" t="e">
        <f t="shared" ca="1" si="2"/>
        <v>#REF!</v>
      </c>
    </row>
    <row r="169" spans="1:5" x14ac:dyDescent="0.4">
      <c r="A169" s="4">
        <v>44378</v>
      </c>
      <c r="B169" s="8">
        <v>430.43</v>
      </c>
      <c r="C169" s="27">
        <f ca="1">AVERAGE(OFFSET(SPY_Close_Price_PQ[[#This Row],[Close]], 0, 0, $C$1*-1))</f>
        <v>419.49040000000008</v>
      </c>
      <c r="D169" s="27" t="e">
        <f ca="1">AVERAGE(OFFSET(SPY_Close_Price_PQ[[#This Row],[Close]], 0, 0, $D$1*-1))</f>
        <v>#REF!</v>
      </c>
      <c r="E169" s="28" t="e">
        <f t="shared" ca="1" si="2"/>
        <v>#REF!</v>
      </c>
    </row>
    <row r="170" spans="1:5" x14ac:dyDescent="0.4">
      <c r="A170" s="5">
        <v>44379</v>
      </c>
      <c r="B170" s="9">
        <v>433.72</v>
      </c>
      <c r="C170" s="27">
        <f ca="1">AVERAGE(OFFSET(SPY_Close_Price_PQ[[#This Row],[Close]], 0, 0, $C$1*-1))</f>
        <v>419.91940000000011</v>
      </c>
      <c r="D170" s="27" t="e">
        <f ca="1">AVERAGE(OFFSET(SPY_Close_Price_PQ[[#This Row],[Close]], 0, 0, $D$1*-1))</f>
        <v>#REF!</v>
      </c>
      <c r="E170" s="28" t="e">
        <f t="shared" ca="1" si="2"/>
        <v>#REF!</v>
      </c>
    </row>
    <row r="171" spans="1:5" x14ac:dyDescent="0.4">
      <c r="A171" s="4">
        <v>44383</v>
      </c>
      <c r="B171" s="8">
        <v>432.93</v>
      </c>
      <c r="C171" s="27">
        <f ca="1">AVERAGE(OFFSET(SPY_Close_Price_PQ[[#This Row],[Close]], 0, 0, $C$1*-1))</f>
        <v>420.24320000000006</v>
      </c>
      <c r="D171" s="27" t="e">
        <f ca="1">AVERAGE(OFFSET(SPY_Close_Price_PQ[[#This Row],[Close]], 0, 0, $D$1*-1))</f>
        <v>#REF!</v>
      </c>
      <c r="E171" s="28" t="e">
        <f t="shared" ca="1" si="2"/>
        <v>#REF!</v>
      </c>
    </row>
    <row r="172" spans="1:5" x14ac:dyDescent="0.4">
      <c r="A172" s="5">
        <v>44384</v>
      </c>
      <c r="B172" s="9">
        <v>434.46</v>
      </c>
      <c r="C172" s="27">
        <f ca="1">AVERAGE(OFFSET(SPY_Close_Price_PQ[[#This Row],[Close]], 0, 0, $C$1*-1))</f>
        <v>420.58020000000005</v>
      </c>
      <c r="D172" s="27" t="e">
        <f ca="1">AVERAGE(OFFSET(SPY_Close_Price_PQ[[#This Row],[Close]], 0, 0, $D$1*-1))</f>
        <v>#REF!</v>
      </c>
      <c r="E172" s="28" t="e">
        <f t="shared" ca="1" si="2"/>
        <v>#REF!</v>
      </c>
    </row>
    <row r="173" spans="1:5" x14ac:dyDescent="0.4">
      <c r="A173" s="4">
        <v>44385</v>
      </c>
      <c r="B173" s="8">
        <v>430.92</v>
      </c>
      <c r="C173" s="27">
        <f ca="1">AVERAGE(OFFSET(SPY_Close_Price_PQ[[#This Row],[Close]], 0, 0, $C$1*-1))</f>
        <v>420.84820000000008</v>
      </c>
      <c r="D173" s="27" t="e">
        <f ca="1">AVERAGE(OFFSET(SPY_Close_Price_PQ[[#This Row],[Close]], 0, 0, $D$1*-1))</f>
        <v>#REF!</v>
      </c>
      <c r="E173" s="28" t="e">
        <f t="shared" ca="1" si="2"/>
        <v>#REF!</v>
      </c>
    </row>
    <row r="174" spans="1:5" x14ac:dyDescent="0.4">
      <c r="A174" s="5">
        <v>44386</v>
      </c>
      <c r="B174" s="9">
        <v>435.52</v>
      </c>
      <c r="C174" s="27">
        <f ca="1">AVERAGE(OFFSET(SPY_Close_Price_PQ[[#This Row],[Close]], 0, 0, $C$1*-1))</f>
        <v>421.21060000000011</v>
      </c>
      <c r="D174" s="27" t="e">
        <f ca="1">AVERAGE(OFFSET(SPY_Close_Price_PQ[[#This Row],[Close]], 0, 0, $D$1*-1))</f>
        <v>#REF!</v>
      </c>
      <c r="E174" s="28" t="e">
        <f t="shared" ca="1" si="2"/>
        <v>#REF!</v>
      </c>
    </row>
    <row r="175" spans="1:5" x14ac:dyDescent="0.4">
      <c r="A175" s="4">
        <v>44389</v>
      </c>
      <c r="B175" s="8">
        <v>437.08</v>
      </c>
      <c r="C175" s="27">
        <f ca="1">AVERAGE(OFFSET(SPY_Close_Price_PQ[[#This Row],[Close]], 0, 0, $C$1*-1))</f>
        <v>421.55100000000016</v>
      </c>
      <c r="D175" s="27" t="e">
        <f ca="1">AVERAGE(OFFSET(SPY_Close_Price_PQ[[#This Row],[Close]], 0, 0, $D$1*-1))</f>
        <v>#REF!</v>
      </c>
      <c r="E175" s="28" t="e">
        <f t="shared" ca="1" si="2"/>
        <v>#REF!</v>
      </c>
    </row>
    <row r="176" spans="1:5" x14ac:dyDescent="0.4">
      <c r="A176" s="5">
        <v>44390</v>
      </c>
      <c r="B176" s="9">
        <v>435.59</v>
      </c>
      <c r="C176" s="27">
        <f ca="1">AVERAGE(OFFSET(SPY_Close_Price_PQ[[#This Row],[Close]], 0, 0, $C$1*-1))</f>
        <v>421.91680000000008</v>
      </c>
      <c r="D176" s="27" t="e">
        <f ca="1">AVERAGE(OFFSET(SPY_Close_Price_PQ[[#This Row],[Close]], 0, 0, $D$1*-1))</f>
        <v>#REF!</v>
      </c>
      <c r="E176" s="28" t="e">
        <f t="shared" ca="1" si="2"/>
        <v>#REF!</v>
      </c>
    </row>
    <row r="177" spans="1:5" x14ac:dyDescent="0.4">
      <c r="A177" s="4">
        <v>44391</v>
      </c>
      <c r="B177" s="8">
        <v>436.24</v>
      </c>
      <c r="C177" s="27">
        <f ca="1">AVERAGE(OFFSET(SPY_Close_Price_PQ[[#This Row],[Close]], 0, 0, $C$1*-1))</f>
        <v>422.27760000000012</v>
      </c>
      <c r="D177" s="27" t="e">
        <f ca="1">AVERAGE(OFFSET(SPY_Close_Price_PQ[[#This Row],[Close]], 0, 0, $D$1*-1))</f>
        <v>#REF!</v>
      </c>
      <c r="E177" s="28" t="e">
        <f t="shared" ca="1" si="2"/>
        <v>#REF!</v>
      </c>
    </row>
    <row r="178" spans="1:5" x14ac:dyDescent="0.4">
      <c r="A178" s="5">
        <v>44392</v>
      </c>
      <c r="B178" s="9">
        <v>434.75</v>
      </c>
      <c r="C178" s="27">
        <f ca="1">AVERAGE(OFFSET(SPY_Close_Price_PQ[[#This Row],[Close]], 0, 0, $C$1*-1))</f>
        <v>422.66020000000009</v>
      </c>
      <c r="D178" s="27" t="e">
        <f ca="1">AVERAGE(OFFSET(SPY_Close_Price_PQ[[#This Row],[Close]], 0, 0, $D$1*-1))</f>
        <v>#REF!</v>
      </c>
      <c r="E178" s="28" t="e">
        <f t="shared" ca="1" si="2"/>
        <v>#REF!</v>
      </c>
    </row>
    <row r="179" spans="1:5" x14ac:dyDescent="0.4">
      <c r="A179" s="4">
        <v>44393</v>
      </c>
      <c r="B179" s="8">
        <v>431.34</v>
      </c>
      <c r="C179" s="27">
        <f ca="1">AVERAGE(OFFSET(SPY_Close_Price_PQ[[#This Row],[Close]], 0, 0, $C$1*-1))</f>
        <v>422.97200000000004</v>
      </c>
      <c r="D179" s="27" t="e">
        <f ca="1">AVERAGE(OFFSET(SPY_Close_Price_PQ[[#This Row],[Close]], 0, 0, $D$1*-1))</f>
        <v>#REF!</v>
      </c>
      <c r="E179" s="28" t="e">
        <f t="shared" ca="1" si="2"/>
        <v>#REF!</v>
      </c>
    </row>
    <row r="180" spans="1:5" x14ac:dyDescent="0.4">
      <c r="A180" s="5">
        <v>44396</v>
      </c>
      <c r="B180" s="9">
        <v>424.97</v>
      </c>
      <c r="C180" s="27">
        <f ca="1">AVERAGE(OFFSET(SPY_Close_Price_PQ[[#This Row],[Close]], 0, 0, $C$1*-1))</f>
        <v>423.09000000000015</v>
      </c>
      <c r="D180" s="27" t="e">
        <f ca="1">AVERAGE(OFFSET(SPY_Close_Price_PQ[[#This Row],[Close]], 0, 0, $D$1*-1))</f>
        <v>#REF!</v>
      </c>
      <c r="E180" s="28" t="e">
        <f t="shared" ca="1" si="2"/>
        <v>#REF!</v>
      </c>
    </row>
    <row r="181" spans="1:5" x14ac:dyDescent="0.4">
      <c r="A181" s="4">
        <v>44397</v>
      </c>
      <c r="B181" s="8">
        <v>431.06</v>
      </c>
      <c r="C181" s="27">
        <f ca="1">AVERAGE(OFFSET(SPY_Close_Price_PQ[[#This Row],[Close]], 0, 0, $C$1*-1))</f>
        <v>423.26880000000011</v>
      </c>
      <c r="D181" s="27" t="e">
        <f ca="1">AVERAGE(OFFSET(SPY_Close_Price_PQ[[#This Row],[Close]], 0, 0, $D$1*-1))</f>
        <v>#REF!</v>
      </c>
      <c r="E181" s="28" t="e">
        <f t="shared" ca="1" si="2"/>
        <v>#REF!</v>
      </c>
    </row>
    <row r="182" spans="1:5" x14ac:dyDescent="0.4">
      <c r="A182" s="5">
        <v>44398</v>
      </c>
      <c r="B182" s="9">
        <v>434.55</v>
      </c>
      <c r="C182" s="27">
        <f ca="1">AVERAGE(OFFSET(SPY_Close_Price_PQ[[#This Row],[Close]], 0, 0, $C$1*-1))</f>
        <v>423.60100000000006</v>
      </c>
      <c r="D182" s="27" t="e">
        <f ca="1">AVERAGE(OFFSET(SPY_Close_Price_PQ[[#This Row],[Close]], 0, 0, $D$1*-1))</f>
        <v>#REF!</v>
      </c>
      <c r="E182" s="28" t="e">
        <f t="shared" ca="1" si="2"/>
        <v>#REF!</v>
      </c>
    </row>
    <row r="183" spans="1:5" x14ac:dyDescent="0.4">
      <c r="A183" s="4">
        <v>44399</v>
      </c>
      <c r="B183" s="8">
        <v>435.46</v>
      </c>
      <c r="C183" s="27">
        <f ca="1">AVERAGE(OFFSET(SPY_Close_Price_PQ[[#This Row],[Close]], 0, 0, $C$1*-1))</f>
        <v>424.02600000000007</v>
      </c>
      <c r="D183" s="27" t="e">
        <f ca="1">AVERAGE(OFFSET(SPY_Close_Price_PQ[[#This Row],[Close]], 0, 0, $D$1*-1))</f>
        <v>#REF!</v>
      </c>
      <c r="E183" s="28" t="e">
        <f t="shared" ca="1" si="2"/>
        <v>#REF!</v>
      </c>
    </row>
    <row r="184" spans="1:5" x14ac:dyDescent="0.4">
      <c r="A184" s="5">
        <v>44400</v>
      </c>
      <c r="B184" s="9">
        <v>439.94</v>
      </c>
      <c r="C184" s="27">
        <f ca="1">AVERAGE(OFFSET(SPY_Close_Price_PQ[[#This Row],[Close]], 0, 0, $C$1*-1))</f>
        <v>424.71660000000003</v>
      </c>
      <c r="D184" s="27" t="e">
        <f ca="1">AVERAGE(OFFSET(SPY_Close_Price_PQ[[#This Row],[Close]], 0, 0, $D$1*-1))</f>
        <v>#REF!</v>
      </c>
      <c r="E184" s="28" t="e">
        <f t="shared" ca="1" si="2"/>
        <v>#REF!</v>
      </c>
    </row>
    <row r="185" spans="1:5" x14ac:dyDescent="0.4">
      <c r="A185" s="4">
        <v>44403</v>
      </c>
      <c r="B185" s="8">
        <v>441.02</v>
      </c>
      <c r="C185" s="27">
        <f ca="1">AVERAGE(OFFSET(SPY_Close_Price_PQ[[#This Row],[Close]], 0, 0, $C$1*-1))</f>
        <v>425.33140000000009</v>
      </c>
      <c r="D185" s="27" t="e">
        <f ca="1">AVERAGE(OFFSET(SPY_Close_Price_PQ[[#This Row],[Close]], 0, 0, $D$1*-1))</f>
        <v>#REF!</v>
      </c>
      <c r="E185" s="28" t="e">
        <f t="shared" ca="1" si="2"/>
        <v>#REF!</v>
      </c>
    </row>
    <row r="186" spans="1:5" x14ac:dyDescent="0.4">
      <c r="A186" s="5">
        <v>44404</v>
      </c>
      <c r="B186" s="9">
        <v>439.01</v>
      </c>
      <c r="C186" s="27">
        <f ca="1">AVERAGE(OFFSET(SPY_Close_Price_PQ[[#This Row],[Close]], 0, 0, $C$1*-1))</f>
        <v>425.78000000000009</v>
      </c>
      <c r="D186" s="27" t="e">
        <f ca="1">AVERAGE(OFFSET(SPY_Close_Price_PQ[[#This Row],[Close]], 0, 0, $D$1*-1))</f>
        <v>#REF!</v>
      </c>
      <c r="E186" s="28" t="e">
        <f t="shared" ca="1" si="2"/>
        <v>#REF!</v>
      </c>
    </row>
    <row r="187" spans="1:5" x14ac:dyDescent="0.4">
      <c r="A187" s="4">
        <v>44405</v>
      </c>
      <c r="B187" s="8">
        <v>438.83</v>
      </c>
      <c r="C187" s="27">
        <f ca="1">AVERAGE(OFFSET(SPY_Close_Price_PQ[[#This Row],[Close]], 0, 0, $C$1*-1))</f>
        <v>426.24620000000004</v>
      </c>
      <c r="D187" s="27" t="e">
        <f ca="1">AVERAGE(OFFSET(SPY_Close_Price_PQ[[#This Row],[Close]], 0, 0, $D$1*-1))</f>
        <v>#REF!</v>
      </c>
      <c r="E187" s="28" t="e">
        <f t="shared" ca="1" si="2"/>
        <v>#REF!</v>
      </c>
    </row>
    <row r="188" spans="1:5" x14ac:dyDescent="0.4">
      <c r="A188" s="5">
        <v>44406</v>
      </c>
      <c r="B188" s="9">
        <v>440.65</v>
      </c>
      <c r="C188" s="27">
        <f ca="1">AVERAGE(OFFSET(SPY_Close_Price_PQ[[#This Row],[Close]], 0, 0, $C$1*-1))</f>
        <v>426.82040000000006</v>
      </c>
      <c r="D188" s="27" t="e">
        <f ca="1">AVERAGE(OFFSET(SPY_Close_Price_PQ[[#This Row],[Close]], 0, 0, $D$1*-1))</f>
        <v>#REF!</v>
      </c>
      <c r="E188" s="28" t="e">
        <f t="shared" ca="1" si="2"/>
        <v>#REF!</v>
      </c>
    </row>
    <row r="189" spans="1:5" x14ac:dyDescent="0.4">
      <c r="A189" s="4">
        <v>44407</v>
      </c>
      <c r="B189" s="8">
        <v>438.51</v>
      </c>
      <c r="C189" s="27">
        <f ca="1">AVERAGE(OFFSET(SPY_Close_Price_PQ[[#This Row],[Close]], 0, 0, $C$1*-1))</f>
        <v>427.37340000000006</v>
      </c>
      <c r="D189" s="27" t="e">
        <f ca="1">AVERAGE(OFFSET(SPY_Close_Price_PQ[[#This Row],[Close]], 0, 0, $D$1*-1))</f>
        <v>#REF!</v>
      </c>
      <c r="E189" s="28" t="e">
        <f t="shared" ca="1" si="2"/>
        <v>#REF!</v>
      </c>
    </row>
    <row r="190" spans="1:5" x14ac:dyDescent="0.4">
      <c r="A190" s="5">
        <v>44410</v>
      </c>
      <c r="B190" s="9">
        <v>437.59</v>
      </c>
      <c r="C190" s="27">
        <f ca="1">AVERAGE(OFFSET(SPY_Close_Price_PQ[[#This Row],[Close]], 0, 0, $C$1*-1))</f>
        <v>427.81959999999998</v>
      </c>
      <c r="D190" s="27" t="e">
        <f ca="1">AVERAGE(OFFSET(SPY_Close_Price_PQ[[#This Row],[Close]], 0, 0, $D$1*-1))</f>
        <v>#REF!</v>
      </c>
      <c r="E190" s="28" t="e">
        <f t="shared" ca="1" si="2"/>
        <v>#REF!</v>
      </c>
    </row>
    <row r="191" spans="1:5" x14ac:dyDescent="0.4">
      <c r="A191" s="4">
        <v>44411</v>
      </c>
      <c r="B191" s="8">
        <v>441.15</v>
      </c>
      <c r="C191" s="27">
        <f ca="1">AVERAGE(OFFSET(SPY_Close_Price_PQ[[#This Row],[Close]], 0, 0, $C$1*-1))</f>
        <v>428.34380000000004</v>
      </c>
      <c r="D191" s="27" t="e">
        <f ca="1">AVERAGE(OFFSET(SPY_Close_Price_PQ[[#This Row],[Close]], 0, 0, $D$1*-1))</f>
        <v>#REF!</v>
      </c>
      <c r="E191" s="28" t="e">
        <f t="shared" ca="1" si="2"/>
        <v>#REF!</v>
      </c>
    </row>
    <row r="192" spans="1:5" x14ac:dyDescent="0.4">
      <c r="A192" s="5">
        <v>44412</v>
      </c>
      <c r="B192" s="9">
        <v>438.98</v>
      </c>
      <c r="C192" s="27">
        <f ca="1">AVERAGE(OFFSET(SPY_Close_Price_PQ[[#This Row],[Close]], 0, 0, $C$1*-1))</f>
        <v>428.73999999999995</v>
      </c>
      <c r="D192" s="27" t="e">
        <f ca="1">AVERAGE(OFFSET(SPY_Close_Price_PQ[[#This Row],[Close]], 0, 0, $D$1*-1))</f>
        <v>#REF!</v>
      </c>
      <c r="E192" s="28" t="e">
        <f t="shared" ca="1" si="2"/>
        <v>#REF!</v>
      </c>
    </row>
    <row r="193" spans="1:5" x14ac:dyDescent="0.4">
      <c r="A193" s="4">
        <v>44413</v>
      </c>
      <c r="B193" s="8">
        <v>441.76</v>
      </c>
      <c r="C193" s="27">
        <f ca="1">AVERAGE(OFFSET(SPY_Close_Price_PQ[[#This Row],[Close]], 0, 0, $C$1*-1))</f>
        <v>429.21039999999994</v>
      </c>
      <c r="D193" s="27" t="e">
        <f ca="1">AVERAGE(OFFSET(SPY_Close_Price_PQ[[#This Row],[Close]], 0, 0, $D$1*-1))</f>
        <v>#REF!</v>
      </c>
      <c r="E193" s="28" t="e">
        <f t="shared" ca="1" si="2"/>
        <v>#REF!</v>
      </c>
    </row>
    <row r="194" spans="1:5" x14ac:dyDescent="0.4">
      <c r="A194" s="5">
        <v>44414</v>
      </c>
      <c r="B194" s="9">
        <v>442.49</v>
      </c>
      <c r="C194" s="27">
        <f ca="1">AVERAGE(OFFSET(SPY_Close_Price_PQ[[#This Row],[Close]], 0, 0, $C$1*-1))</f>
        <v>429.67879999999997</v>
      </c>
      <c r="D194" s="27" t="e">
        <f ca="1">AVERAGE(OFFSET(SPY_Close_Price_PQ[[#This Row],[Close]], 0, 0, $D$1*-1))</f>
        <v>#REF!</v>
      </c>
      <c r="E194" s="28" t="e">
        <f t="shared" ca="1" si="2"/>
        <v>#REF!</v>
      </c>
    </row>
    <row r="195" spans="1:5" x14ac:dyDescent="0.4">
      <c r="A195" s="4">
        <v>44417</v>
      </c>
      <c r="B195" s="8">
        <v>442.13</v>
      </c>
      <c r="C195" s="27">
        <f ca="1">AVERAGE(OFFSET(SPY_Close_Price_PQ[[#This Row],[Close]], 0, 0, $C$1*-1))</f>
        <v>430.13559999999995</v>
      </c>
      <c r="D195" s="27" t="e">
        <f ca="1">AVERAGE(OFFSET(SPY_Close_Price_PQ[[#This Row],[Close]], 0, 0, $D$1*-1))</f>
        <v>#REF!</v>
      </c>
      <c r="E195" s="28" t="e">
        <f t="shared" ca="1" si="2"/>
        <v>#REF!</v>
      </c>
    </row>
    <row r="196" spans="1:5" x14ac:dyDescent="0.4">
      <c r="A196" s="5">
        <v>44418</v>
      </c>
      <c r="B196" s="9">
        <v>442.68</v>
      </c>
      <c r="C196" s="27">
        <f ca="1">AVERAGE(OFFSET(SPY_Close_Price_PQ[[#This Row],[Close]], 0, 0, $C$1*-1))</f>
        <v>430.58839999999998</v>
      </c>
      <c r="D196" s="27" t="e">
        <f ca="1">AVERAGE(OFFSET(SPY_Close_Price_PQ[[#This Row],[Close]], 0, 0, $D$1*-1))</f>
        <v>#REF!</v>
      </c>
      <c r="E196" s="28" t="e">
        <f t="shared" ref="E196:E259" ca="1" si="3">IF(AND(C195&lt;D195,C196&gt;D196),1,0)</f>
        <v>#REF!</v>
      </c>
    </row>
    <row r="197" spans="1:5" x14ac:dyDescent="0.4">
      <c r="A197" s="4">
        <v>44419</v>
      </c>
      <c r="B197" s="8">
        <v>443.78</v>
      </c>
      <c r="C197" s="27">
        <f ca="1">AVERAGE(OFFSET(SPY_Close_Price_PQ[[#This Row],[Close]], 0, 0, $C$1*-1))</f>
        <v>431.07059999999996</v>
      </c>
      <c r="D197" s="27" t="e">
        <f ca="1">AVERAGE(OFFSET(SPY_Close_Price_PQ[[#This Row],[Close]], 0, 0, $D$1*-1))</f>
        <v>#REF!</v>
      </c>
      <c r="E197" s="28" t="e">
        <f t="shared" ca="1" si="3"/>
        <v>#REF!</v>
      </c>
    </row>
    <row r="198" spans="1:5" x14ac:dyDescent="0.4">
      <c r="A198" s="5">
        <v>44420</v>
      </c>
      <c r="B198" s="9">
        <v>445.11</v>
      </c>
      <c r="C198" s="27">
        <f ca="1">AVERAGE(OFFSET(SPY_Close_Price_PQ[[#This Row],[Close]], 0, 0, $C$1*-1))</f>
        <v>431.56620000000004</v>
      </c>
      <c r="D198" s="27" t="e">
        <f ca="1">AVERAGE(OFFSET(SPY_Close_Price_PQ[[#This Row],[Close]], 0, 0, $D$1*-1))</f>
        <v>#REF!</v>
      </c>
      <c r="E198" s="28" t="e">
        <f t="shared" ca="1" si="3"/>
        <v>#REF!</v>
      </c>
    </row>
    <row r="199" spans="1:5" x14ac:dyDescent="0.4">
      <c r="A199" s="4">
        <v>44421</v>
      </c>
      <c r="B199" s="8">
        <v>445.92</v>
      </c>
      <c r="C199" s="27">
        <f ca="1">AVERAGE(OFFSET(SPY_Close_Price_PQ[[#This Row],[Close]], 0, 0, $C$1*-1))</f>
        <v>432.10919999999993</v>
      </c>
      <c r="D199" s="27" t="e">
        <f ca="1">AVERAGE(OFFSET(SPY_Close_Price_PQ[[#This Row],[Close]], 0, 0, $D$1*-1))</f>
        <v>#REF!</v>
      </c>
      <c r="E199" s="28" t="e">
        <f t="shared" ca="1" si="3"/>
        <v>#REF!</v>
      </c>
    </row>
    <row r="200" spans="1:5" x14ac:dyDescent="0.4">
      <c r="A200" s="5">
        <v>44424</v>
      </c>
      <c r="B200" s="9">
        <v>446.97</v>
      </c>
      <c r="C200" s="27">
        <f ca="1">AVERAGE(OFFSET(SPY_Close_Price_PQ[[#This Row],[Close]], 0, 0, $C$1*-1))</f>
        <v>432.59659999999997</v>
      </c>
      <c r="D200" s="27">
        <f ca="1">AVERAGE(OFFSET(SPY_Close_Price_PQ[[#This Row],[Close]], 0, 0, $D$1*-1))</f>
        <v>399.1408585858585</v>
      </c>
      <c r="E200" s="28" t="e">
        <f t="shared" ca="1" si="3"/>
        <v>#REF!</v>
      </c>
    </row>
    <row r="201" spans="1:5" x14ac:dyDescent="0.4">
      <c r="A201" s="4">
        <v>44425</v>
      </c>
      <c r="B201" s="8">
        <v>444.04</v>
      </c>
      <c r="C201" s="27">
        <f ca="1">AVERAGE(OFFSET(SPY_Close_Price_PQ[[#This Row],[Close]], 0, 0, $C$1*-1))</f>
        <v>433.03359999999998</v>
      </c>
      <c r="D201" s="27">
        <f ca="1">AVERAGE(OFFSET(SPY_Close_Price_PQ[[#This Row],[Close]], 0, 0, $D$1*-1))</f>
        <v>399.36648241206018</v>
      </c>
      <c r="E201" s="28">
        <f t="shared" ca="1" si="3"/>
        <v>0</v>
      </c>
    </row>
    <row r="202" spans="1:5" x14ac:dyDescent="0.4">
      <c r="A202" s="5">
        <v>44426</v>
      </c>
      <c r="B202" s="9">
        <v>439.18</v>
      </c>
      <c r="C202" s="27">
        <f ca="1">AVERAGE(OFFSET(SPY_Close_Price_PQ[[#This Row],[Close]], 0, 0, $C$1*-1))</f>
        <v>433.37160000000006</v>
      </c>
      <c r="D202" s="27">
        <f ca="1">AVERAGE(OFFSET(SPY_Close_Price_PQ[[#This Row],[Close]], 0, 0, $D$1*-1))</f>
        <v>399.56554999999986</v>
      </c>
      <c r="E202" s="28">
        <f t="shared" ca="1" si="3"/>
        <v>0</v>
      </c>
    </row>
    <row r="203" spans="1:5" x14ac:dyDescent="0.4">
      <c r="A203" s="4">
        <v>44427</v>
      </c>
      <c r="B203" s="8">
        <v>439.86</v>
      </c>
      <c r="C203" s="27">
        <f ca="1">AVERAGE(OFFSET(SPY_Close_Price_PQ[[#This Row],[Close]], 0, 0, $C$1*-1))</f>
        <v>433.73580000000004</v>
      </c>
      <c r="D203" s="27">
        <f ca="1">AVERAGE(OFFSET(SPY_Close_Price_PQ[[#This Row],[Close]], 0, 0, $D$1*-1))</f>
        <v>400.1138499999999</v>
      </c>
      <c r="E203" s="28">
        <f t="shared" ca="1" si="3"/>
        <v>0</v>
      </c>
    </row>
    <row r="204" spans="1:5" x14ac:dyDescent="0.4">
      <c r="A204" s="5">
        <v>44428</v>
      </c>
      <c r="B204" s="9">
        <v>443.36</v>
      </c>
      <c r="C204" s="27">
        <f ca="1">AVERAGE(OFFSET(SPY_Close_Price_PQ[[#This Row],[Close]], 0, 0, $C$1*-1))</f>
        <v>434.13080000000002</v>
      </c>
      <c r="D204" s="27">
        <f ca="1">AVERAGE(OFFSET(SPY_Close_Price_PQ[[#This Row],[Close]], 0, 0, $D$1*-1))</f>
        <v>400.65049999999991</v>
      </c>
      <c r="E204" s="28">
        <f t="shared" ca="1" si="3"/>
        <v>0</v>
      </c>
    </row>
    <row r="205" spans="1:5" x14ac:dyDescent="0.4">
      <c r="A205" s="4">
        <v>44431</v>
      </c>
      <c r="B205" s="8">
        <v>447.26</v>
      </c>
      <c r="C205" s="27">
        <f ca="1">AVERAGE(OFFSET(SPY_Close_Price_PQ[[#This Row],[Close]], 0, 0, $C$1*-1))</f>
        <v>434.58980000000003</v>
      </c>
      <c r="D205" s="27">
        <f ca="1">AVERAGE(OFFSET(SPY_Close_Price_PQ[[#This Row],[Close]], 0, 0, $D$1*-1))</f>
        <v>401.1690999999999</v>
      </c>
      <c r="E205" s="28">
        <f t="shared" ca="1" si="3"/>
        <v>0</v>
      </c>
    </row>
    <row r="206" spans="1:5" x14ac:dyDescent="0.4">
      <c r="A206" s="5">
        <v>44432</v>
      </c>
      <c r="B206" s="9">
        <v>447.97</v>
      </c>
      <c r="C206" s="27">
        <f ca="1">AVERAGE(OFFSET(SPY_Close_Price_PQ[[#This Row],[Close]], 0, 0, $C$1*-1))</f>
        <v>435.04400000000004</v>
      </c>
      <c r="D206" s="27">
        <f ca="1">AVERAGE(OFFSET(SPY_Close_Price_PQ[[#This Row],[Close]], 0, 0, $D$1*-1))</f>
        <v>401.65774999999985</v>
      </c>
      <c r="E206" s="28">
        <f t="shared" ca="1" si="3"/>
        <v>0</v>
      </c>
    </row>
    <row r="207" spans="1:5" x14ac:dyDescent="0.4">
      <c r="A207" s="4">
        <v>44433</v>
      </c>
      <c r="B207" s="8">
        <v>448.91</v>
      </c>
      <c r="C207" s="27">
        <f ca="1">AVERAGE(OFFSET(SPY_Close_Price_PQ[[#This Row],[Close]], 0, 0, $C$1*-1))</f>
        <v>435.5326</v>
      </c>
      <c r="D207" s="27">
        <f ca="1">AVERAGE(OFFSET(SPY_Close_Price_PQ[[#This Row],[Close]], 0, 0, $D$1*-1))</f>
        <v>402.15149999999977</v>
      </c>
      <c r="E207" s="28">
        <f t="shared" ca="1" si="3"/>
        <v>0</v>
      </c>
    </row>
    <row r="208" spans="1:5" x14ac:dyDescent="0.4">
      <c r="A208" s="5">
        <v>44434</v>
      </c>
      <c r="B208" s="9">
        <v>446.26</v>
      </c>
      <c r="C208" s="27">
        <f ca="1">AVERAGE(OFFSET(SPY_Close_Price_PQ[[#This Row],[Close]], 0, 0, $C$1*-1))</f>
        <v>436.01559999999989</v>
      </c>
      <c r="D208" s="27">
        <f ca="1">AVERAGE(OFFSET(SPY_Close_Price_PQ[[#This Row],[Close]], 0, 0, $D$1*-1))</f>
        <v>402.60999999999979</v>
      </c>
      <c r="E208" s="28">
        <f t="shared" ca="1" si="3"/>
        <v>0</v>
      </c>
    </row>
    <row r="209" spans="1:5" x14ac:dyDescent="0.4">
      <c r="A209" s="4">
        <v>44435</v>
      </c>
      <c r="B209" s="8">
        <v>450.25</v>
      </c>
      <c r="C209" s="27">
        <f ca="1">AVERAGE(OFFSET(SPY_Close_Price_PQ[[#This Row],[Close]], 0, 0, $C$1*-1))</f>
        <v>436.58119999999997</v>
      </c>
      <c r="D209" s="27">
        <f ca="1">AVERAGE(OFFSET(SPY_Close_Price_PQ[[#This Row],[Close]], 0, 0, $D$1*-1))</f>
        <v>403.09104999999977</v>
      </c>
      <c r="E209" s="28">
        <f t="shared" ca="1" si="3"/>
        <v>0</v>
      </c>
    </row>
    <row r="210" spans="1:5" x14ac:dyDescent="0.4">
      <c r="A210" s="5">
        <v>44438</v>
      </c>
      <c r="B210" s="9">
        <v>452.23</v>
      </c>
      <c r="C210" s="27">
        <f ca="1">AVERAGE(OFFSET(SPY_Close_Price_PQ[[#This Row],[Close]], 0, 0, $C$1*-1))</f>
        <v>437.3273999999999</v>
      </c>
      <c r="D210" s="27">
        <f ca="1">AVERAGE(OFFSET(SPY_Close_Price_PQ[[#This Row],[Close]], 0, 0, $D$1*-1))</f>
        <v>403.56884999999971</v>
      </c>
      <c r="E210" s="28">
        <f t="shared" ca="1" si="3"/>
        <v>0</v>
      </c>
    </row>
    <row r="211" spans="1:5" x14ac:dyDescent="0.4">
      <c r="A211" s="4">
        <v>44439</v>
      </c>
      <c r="B211" s="8">
        <v>451.56</v>
      </c>
      <c r="C211" s="27">
        <f ca="1">AVERAGE(OFFSET(SPY_Close_Price_PQ[[#This Row],[Close]], 0, 0, $C$1*-1))</f>
        <v>437.94140000000004</v>
      </c>
      <c r="D211" s="27">
        <f ca="1">AVERAGE(OFFSET(SPY_Close_Price_PQ[[#This Row],[Close]], 0, 0, $D$1*-1))</f>
        <v>404.06059999999968</v>
      </c>
      <c r="E211" s="28">
        <f t="shared" ca="1" si="3"/>
        <v>0</v>
      </c>
    </row>
    <row r="212" spans="1:5" x14ac:dyDescent="0.4">
      <c r="A212" s="5">
        <v>44440</v>
      </c>
      <c r="B212" s="9">
        <v>451.8</v>
      </c>
      <c r="C212" s="27">
        <f ca="1">AVERAGE(OFFSET(SPY_Close_Price_PQ[[#This Row],[Close]], 0, 0, $C$1*-1))</f>
        <v>438.51519999999999</v>
      </c>
      <c r="D212" s="27">
        <f ca="1">AVERAGE(OFFSET(SPY_Close_Price_PQ[[#This Row],[Close]], 0, 0, $D$1*-1))</f>
        <v>404.52909999999974</v>
      </c>
      <c r="E212" s="28">
        <f t="shared" ca="1" si="3"/>
        <v>0</v>
      </c>
    </row>
    <row r="213" spans="1:5" x14ac:dyDescent="0.4">
      <c r="A213" s="4">
        <v>44441</v>
      </c>
      <c r="B213" s="8">
        <v>453.19</v>
      </c>
      <c r="C213" s="27">
        <f ca="1">AVERAGE(OFFSET(SPY_Close_Price_PQ[[#This Row],[Close]], 0, 0, $C$1*-1))</f>
        <v>439.12699999999995</v>
      </c>
      <c r="D213" s="27">
        <f ca="1">AVERAGE(OFFSET(SPY_Close_Price_PQ[[#This Row],[Close]], 0, 0, $D$1*-1))</f>
        <v>404.98219999999969</v>
      </c>
      <c r="E213" s="28">
        <f t="shared" ca="1" si="3"/>
        <v>0</v>
      </c>
    </row>
    <row r="214" spans="1:5" x14ac:dyDescent="0.4">
      <c r="A214" s="5">
        <v>44442</v>
      </c>
      <c r="B214" s="9">
        <v>453.08</v>
      </c>
      <c r="C214" s="27">
        <f ca="1">AVERAGE(OFFSET(SPY_Close_Price_PQ[[#This Row],[Close]], 0, 0, $C$1*-1))</f>
        <v>439.68660000000006</v>
      </c>
      <c r="D214" s="27">
        <f ca="1">AVERAGE(OFFSET(SPY_Close_Price_PQ[[#This Row],[Close]], 0, 0, $D$1*-1))</f>
        <v>405.44449999999978</v>
      </c>
      <c r="E214" s="28">
        <f t="shared" ca="1" si="3"/>
        <v>0</v>
      </c>
    </row>
    <row r="215" spans="1:5" x14ac:dyDescent="0.4">
      <c r="A215" s="4">
        <v>44446</v>
      </c>
      <c r="B215" s="8">
        <v>451.46</v>
      </c>
      <c r="C215" s="27">
        <f ca="1">AVERAGE(OFFSET(SPY_Close_Price_PQ[[#This Row],[Close]], 0, 0, $C$1*-1))</f>
        <v>440.18360000000001</v>
      </c>
      <c r="D215" s="27">
        <f ca="1">AVERAGE(OFFSET(SPY_Close_Price_PQ[[#This Row],[Close]], 0, 0, $D$1*-1))</f>
        <v>405.92039999999974</v>
      </c>
      <c r="E215" s="28">
        <f t="shared" ca="1" si="3"/>
        <v>0</v>
      </c>
    </row>
    <row r="216" spans="1:5" x14ac:dyDescent="0.4">
      <c r="A216" s="5">
        <v>44447</v>
      </c>
      <c r="B216" s="9">
        <v>450.91</v>
      </c>
      <c r="C216" s="27">
        <f ca="1">AVERAGE(OFFSET(SPY_Close_Price_PQ[[#This Row],[Close]], 0, 0, $C$1*-1))</f>
        <v>440.6524</v>
      </c>
      <c r="D216" s="27">
        <f ca="1">AVERAGE(OFFSET(SPY_Close_Price_PQ[[#This Row],[Close]], 0, 0, $D$1*-1))</f>
        <v>406.38604999999984</v>
      </c>
      <c r="E216" s="28">
        <f t="shared" ca="1" si="3"/>
        <v>0</v>
      </c>
    </row>
    <row r="217" spans="1:5" x14ac:dyDescent="0.4">
      <c r="A217" s="4">
        <v>44448</v>
      </c>
      <c r="B217" s="8">
        <v>448.98</v>
      </c>
      <c r="C217" s="27">
        <f ca="1">AVERAGE(OFFSET(SPY_Close_Price_PQ[[#This Row],[Close]], 0, 0, $C$1*-1))</f>
        <v>441.07800000000003</v>
      </c>
      <c r="D217" s="27">
        <f ca="1">AVERAGE(OFFSET(SPY_Close_Price_PQ[[#This Row],[Close]], 0, 0, $D$1*-1))</f>
        <v>406.85429999999974</v>
      </c>
      <c r="E217" s="28">
        <f t="shared" ca="1" si="3"/>
        <v>0</v>
      </c>
    </row>
    <row r="218" spans="1:5" x14ac:dyDescent="0.4">
      <c r="A218" s="5">
        <v>44449</v>
      </c>
      <c r="B218" s="9">
        <v>445.44</v>
      </c>
      <c r="C218" s="27">
        <f ca="1">AVERAGE(OFFSET(SPY_Close_Price_PQ[[#This Row],[Close]], 0, 0, $C$1*-1))</f>
        <v>441.42559999999997</v>
      </c>
      <c r="D218" s="27">
        <f ca="1">AVERAGE(OFFSET(SPY_Close_Price_PQ[[#This Row],[Close]], 0, 0, $D$1*-1))</f>
        <v>407.29419999999971</v>
      </c>
      <c r="E218" s="28">
        <f t="shared" ca="1" si="3"/>
        <v>0</v>
      </c>
    </row>
    <row r="219" spans="1:5" x14ac:dyDescent="0.4">
      <c r="A219" s="4">
        <v>44452</v>
      </c>
      <c r="B219" s="8">
        <v>446.58</v>
      </c>
      <c r="C219" s="27">
        <f ca="1">AVERAGE(OFFSET(SPY_Close_Price_PQ[[#This Row],[Close]], 0, 0, $C$1*-1))</f>
        <v>441.74860000000001</v>
      </c>
      <c r="D219" s="27">
        <f ca="1">AVERAGE(OFFSET(SPY_Close_Price_PQ[[#This Row],[Close]], 0, 0, $D$1*-1))</f>
        <v>407.71099999999967</v>
      </c>
      <c r="E219" s="28">
        <f t="shared" ca="1" si="3"/>
        <v>0</v>
      </c>
    </row>
    <row r="220" spans="1:5" x14ac:dyDescent="0.4">
      <c r="A220" s="5">
        <v>44453</v>
      </c>
      <c r="B220" s="9">
        <v>444.17</v>
      </c>
      <c r="C220" s="27">
        <f ca="1">AVERAGE(OFFSET(SPY_Close_Price_PQ[[#This Row],[Close]], 0, 0, $C$1*-1))</f>
        <v>441.95759999999996</v>
      </c>
      <c r="D220" s="27">
        <f ca="1">AVERAGE(OFFSET(SPY_Close_Price_PQ[[#This Row],[Close]], 0, 0, $D$1*-1))</f>
        <v>408.11854999999969</v>
      </c>
      <c r="E220" s="28">
        <f t="shared" ca="1" si="3"/>
        <v>0</v>
      </c>
    </row>
    <row r="221" spans="1:5" x14ac:dyDescent="0.4">
      <c r="A221" s="4">
        <v>44454</v>
      </c>
      <c r="B221" s="8">
        <v>447.88</v>
      </c>
      <c r="C221" s="27">
        <f ca="1">AVERAGE(OFFSET(SPY_Close_Price_PQ[[#This Row],[Close]], 0, 0, $C$1*-1))</f>
        <v>442.25660000000005</v>
      </c>
      <c r="D221" s="27">
        <f ca="1">AVERAGE(OFFSET(SPY_Close_Price_PQ[[#This Row],[Close]], 0, 0, $D$1*-1))</f>
        <v>408.53959999999972</v>
      </c>
      <c r="E221" s="28">
        <f t="shared" ca="1" si="3"/>
        <v>0</v>
      </c>
    </row>
    <row r="222" spans="1:5" x14ac:dyDescent="0.4">
      <c r="A222" s="5">
        <v>44455</v>
      </c>
      <c r="B222" s="9">
        <v>447.17</v>
      </c>
      <c r="C222" s="27">
        <f ca="1">AVERAGE(OFFSET(SPY_Close_Price_PQ[[#This Row],[Close]], 0, 0, $C$1*-1))</f>
        <v>442.51079999999996</v>
      </c>
      <c r="D222" s="27">
        <f ca="1">AVERAGE(OFFSET(SPY_Close_Price_PQ[[#This Row],[Close]], 0, 0, $D$1*-1))</f>
        <v>408.96514999999971</v>
      </c>
      <c r="E222" s="28">
        <f t="shared" ca="1" si="3"/>
        <v>0</v>
      </c>
    </row>
    <row r="223" spans="1:5" x14ac:dyDescent="0.4">
      <c r="A223" s="4">
        <v>44456</v>
      </c>
      <c r="B223" s="8">
        <v>441.4</v>
      </c>
      <c r="C223" s="27">
        <f ca="1">AVERAGE(OFFSET(SPY_Close_Price_PQ[[#This Row],[Close]], 0, 0, $C$1*-1))</f>
        <v>442.72039999999993</v>
      </c>
      <c r="D223" s="27">
        <f ca="1">AVERAGE(OFFSET(SPY_Close_Price_PQ[[#This Row],[Close]], 0, 0, $D$1*-1))</f>
        <v>409.34204999999963</v>
      </c>
      <c r="E223" s="28">
        <f t="shared" ca="1" si="3"/>
        <v>0</v>
      </c>
    </row>
    <row r="224" spans="1:5" x14ac:dyDescent="0.4">
      <c r="A224" s="5">
        <v>44459</v>
      </c>
      <c r="B224" s="9">
        <v>434.04</v>
      </c>
      <c r="C224" s="27">
        <f ca="1">AVERAGE(OFFSET(SPY_Close_Price_PQ[[#This Row],[Close]], 0, 0, $C$1*-1))</f>
        <v>442.69080000000002</v>
      </c>
      <c r="D224" s="27">
        <f ca="1">AVERAGE(OFFSET(SPY_Close_Price_PQ[[#This Row],[Close]], 0, 0, $D$1*-1))</f>
        <v>409.67829999999975</v>
      </c>
      <c r="E224" s="28">
        <f t="shared" ca="1" si="3"/>
        <v>0</v>
      </c>
    </row>
    <row r="225" spans="1:5" x14ac:dyDescent="0.4">
      <c r="A225" s="4">
        <v>44460</v>
      </c>
      <c r="B225" s="8">
        <v>433.63</v>
      </c>
      <c r="C225" s="27">
        <f ca="1">AVERAGE(OFFSET(SPY_Close_Price_PQ[[#This Row],[Close]], 0, 0, $C$1*-1))</f>
        <v>442.62180000000001</v>
      </c>
      <c r="D225" s="27">
        <f ca="1">AVERAGE(OFFSET(SPY_Close_Price_PQ[[#This Row],[Close]], 0, 0, $D$1*-1))</f>
        <v>410.01299999999981</v>
      </c>
      <c r="E225" s="28">
        <f t="shared" ca="1" si="3"/>
        <v>0</v>
      </c>
    </row>
    <row r="226" spans="1:5" x14ac:dyDescent="0.4">
      <c r="A226" s="5">
        <v>44461</v>
      </c>
      <c r="B226" s="9">
        <v>437.86</v>
      </c>
      <c r="C226" s="27">
        <f ca="1">AVERAGE(OFFSET(SPY_Close_Price_PQ[[#This Row],[Close]], 0, 0, $C$1*-1))</f>
        <v>442.66720000000004</v>
      </c>
      <c r="D226" s="27">
        <f ca="1">AVERAGE(OFFSET(SPY_Close_Price_PQ[[#This Row],[Close]], 0, 0, $D$1*-1))</f>
        <v>410.35304999999977</v>
      </c>
      <c r="E226" s="28">
        <f t="shared" ca="1" si="3"/>
        <v>0</v>
      </c>
    </row>
    <row r="227" spans="1:5" x14ac:dyDescent="0.4">
      <c r="A227" s="4">
        <v>44462</v>
      </c>
      <c r="B227" s="8">
        <v>443.18</v>
      </c>
      <c r="C227" s="27">
        <f ca="1">AVERAGE(OFFSET(SPY_Close_Price_PQ[[#This Row],[Close]], 0, 0, $C$1*-1))</f>
        <v>442.80600000000004</v>
      </c>
      <c r="D227" s="27">
        <f ca="1">AVERAGE(OFFSET(SPY_Close_Price_PQ[[#This Row],[Close]], 0, 0, $D$1*-1))</f>
        <v>410.72349999999977</v>
      </c>
      <c r="E227" s="28">
        <f t="shared" ca="1" si="3"/>
        <v>0</v>
      </c>
    </row>
    <row r="228" spans="1:5" x14ac:dyDescent="0.4">
      <c r="A228" s="5">
        <v>44463</v>
      </c>
      <c r="B228" s="9">
        <v>443.91</v>
      </c>
      <c r="C228" s="27">
        <f ca="1">AVERAGE(OFFSET(SPY_Close_Price_PQ[[#This Row],[Close]], 0, 0, $C$1*-1))</f>
        <v>442.98920000000004</v>
      </c>
      <c r="D228" s="27">
        <f ca="1">AVERAGE(OFFSET(SPY_Close_Price_PQ[[#This Row],[Close]], 0, 0, $D$1*-1))</f>
        <v>411.09219999999982</v>
      </c>
      <c r="E228" s="28">
        <f t="shared" ca="1" si="3"/>
        <v>0</v>
      </c>
    </row>
    <row r="229" spans="1:5" x14ac:dyDescent="0.4">
      <c r="A229" s="4">
        <v>44466</v>
      </c>
      <c r="B229" s="8">
        <v>442.64</v>
      </c>
      <c r="C229" s="27">
        <f ca="1">AVERAGE(OFFSET(SPY_Close_Price_PQ[[#This Row],[Close]], 0, 0, $C$1*-1))</f>
        <v>443.21520000000004</v>
      </c>
      <c r="D229" s="27">
        <f ca="1">AVERAGE(OFFSET(SPY_Close_Price_PQ[[#This Row],[Close]], 0, 0, $D$1*-1))</f>
        <v>411.47114999999985</v>
      </c>
      <c r="E229" s="28">
        <f t="shared" ca="1" si="3"/>
        <v>0</v>
      </c>
    </row>
    <row r="230" spans="1:5" x14ac:dyDescent="0.4">
      <c r="A230" s="5">
        <v>44467</v>
      </c>
      <c r="B230" s="9">
        <v>433.72</v>
      </c>
      <c r="C230" s="27">
        <f ca="1">AVERAGE(OFFSET(SPY_Close_Price_PQ[[#This Row],[Close]], 0, 0, $C$1*-1))</f>
        <v>443.39020000000005</v>
      </c>
      <c r="D230" s="27">
        <f ca="1">AVERAGE(OFFSET(SPY_Close_Price_PQ[[#This Row],[Close]], 0, 0, $D$1*-1))</f>
        <v>411.80609999999984</v>
      </c>
      <c r="E230" s="28">
        <f t="shared" ca="1" si="3"/>
        <v>0</v>
      </c>
    </row>
    <row r="231" spans="1:5" x14ac:dyDescent="0.4">
      <c r="A231" s="4">
        <v>44468</v>
      </c>
      <c r="B231" s="8">
        <v>434.45</v>
      </c>
      <c r="C231" s="27">
        <f ca="1">AVERAGE(OFFSET(SPY_Close_Price_PQ[[#This Row],[Close]], 0, 0, $C$1*-1))</f>
        <v>443.45800000000008</v>
      </c>
      <c r="D231" s="27">
        <f ca="1">AVERAGE(OFFSET(SPY_Close_Price_PQ[[#This Row],[Close]], 0, 0, $D$1*-1))</f>
        <v>412.14684999999992</v>
      </c>
      <c r="E231" s="28">
        <f t="shared" ca="1" si="3"/>
        <v>0</v>
      </c>
    </row>
    <row r="232" spans="1:5" x14ac:dyDescent="0.4">
      <c r="A232" s="5">
        <v>44469</v>
      </c>
      <c r="B232" s="9">
        <v>429.14</v>
      </c>
      <c r="C232" s="27">
        <f ca="1">AVERAGE(OFFSET(SPY_Close_Price_PQ[[#This Row],[Close]], 0, 0, $C$1*-1))</f>
        <v>443.34980000000002</v>
      </c>
      <c r="D232" s="27">
        <f ca="1">AVERAGE(OFFSET(SPY_Close_Price_PQ[[#This Row],[Close]], 0, 0, $D$1*-1))</f>
        <v>412.46924999999987</v>
      </c>
      <c r="E232" s="28">
        <f t="shared" ca="1" si="3"/>
        <v>0</v>
      </c>
    </row>
    <row r="233" spans="1:5" x14ac:dyDescent="0.4">
      <c r="A233" s="4">
        <v>44470</v>
      </c>
      <c r="B233" s="8">
        <v>434.24</v>
      </c>
      <c r="C233" s="27">
        <f ca="1">AVERAGE(OFFSET(SPY_Close_Price_PQ[[#This Row],[Close]], 0, 0, $C$1*-1))</f>
        <v>443.32540000000006</v>
      </c>
      <c r="D233" s="27">
        <f ca="1">AVERAGE(OFFSET(SPY_Close_Price_PQ[[#This Row],[Close]], 0, 0, $D$1*-1))</f>
        <v>412.79249999999985</v>
      </c>
      <c r="E233" s="28">
        <f t="shared" ca="1" si="3"/>
        <v>0</v>
      </c>
    </row>
    <row r="234" spans="1:5" x14ac:dyDescent="0.4">
      <c r="A234" s="5">
        <v>44473</v>
      </c>
      <c r="B234" s="9">
        <v>428.64</v>
      </c>
      <c r="C234" s="27">
        <f ca="1">AVERAGE(OFFSET(SPY_Close_Price_PQ[[#This Row],[Close]], 0, 0, $C$1*-1))</f>
        <v>443.0994</v>
      </c>
      <c r="D234" s="27">
        <f ca="1">AVERAGE(OFFSET(SPY_Close_Price_PQ[[#This Row],[Close]], 0, 0, $D$1*-1))</f>
        <v>413.08484999999985</v>
      </c>
      <c r="E234" s="28">
        <f t="shared" ca="1" si="3"/>
        <v>0</v>
      </c>
    </row>
    <row r="235" spans="1:5" x14ac:dyDescent="0.4">
      <c r="A235" s="4">
        <v>44474</v>
      </c>
      <c r="B235" s="8">
        <v>433.1</v>
      </c>
      <c r="C235" s="27">
        <f ca="1">AVERAGE(OFFSET(SPY_Close_Price_PQ[[#This Row],[Close]], 0, 0, $C$1*-1))</f>
        <v>442.94099999999997</v>
      </c>
      <c r="D235" s="27">
        <f ca="1">AVERAGE(OFFSET(SPY_Close_Price_PQ[[#This Row],[Close]], 0, 0, $D$1*-1))</f>
        <v>413.38914999999992</v>
      </c>
      <c r="E235" s="28">
        <f t="shared" ca="1" si="3"/>
        <v>0</v>
      </c>
    </row>
    <row r="236" spans="1:5" x14ac:dyDescent="0.4">
      <c r="A236" s="5">
        <v>44475</v>
      </c>
      <c r="B236" s="9">
        <v>434.9</v>
      </c>
      <c r="C236" s="27">
        <f ca="1">AVERAGE(OFFSET(SPY_Close_Price_PQ[[#This Row],[Close]], 0, 0, $C$1*-1))</f>
        <v>442.85880000000003</v>
      </c>
      <c r="D236" s="27">
        <f ca="1">AVERAGE(OFFSET(SPY_Close_Price_PQ[[#This Row],[Close]], 0, 0, $D$1*-1))</f>
        <v>413.71774999999985</v>
      </c>
      <c r="E236" s="28">
        <f t="shared" ca="1" si="3"/>
        <v>0</v>
      </c>
    </row>
    <row r="237" spans="1:5" x14ac:dyDescent="0.4">
      <c r="A237" s="4">
        <v>44476</v>
      </c>
      <c r="B237" s="8">
        <v>438.66</v>
      </c>
      <c r="C237" s="27">
        <f ca="1">AVERAGE(OFFSET(SPY_Close_Price_PQ[[#This Row],[Close]], 0, 0, $C$1*-1))</f>
        <v>442.85540000000003</v>
      </c>
      <c r="D237" s="27">
        <f ca="1">AVERAGE(OFFSET(SPY_Close_Price_PQ[[#This Row],[Close]], 0, 0, $D$1*-1))</f>
        <v>414.07174999999995</v>
      </c>
      <c r="E237" s="28">
        <f t="shared" ca="1" si="3"/>
        <v>0</v>
      </c>
    </row>
    <row r="238" spans="1:5" x14ac:dyDescent="0.4">
      <c r="A238" s="5">
        <v>44477</v>
      </c>
      <c r="B238" s="9">
        <v>437.86</v>
      </c>
      <c r="C238" s="27">
        <f ca="1">AVERAGE(OFFSET(SPY_Close_Price_PQ[[#This Row],[Close]], 0, 0, $C$1*-1))</f>
        <v>442.7996</v>
      </c>
      <c r="D238" s="27">
        <f ca="1">AVERAGE(OFFSET(SPY_Close_Price_PQ[[#This Row],[Close]], 0, 0, $D$1*-1))</f>
        <v>414.42484999999994</v>
      </c>
      <c r="E238" s="28">
        <f t="shared" ca="1" si="3"/>
        <v>0</v>
      </c>
    </row>
    <row r="239" spans="1:5" x14ac:dyDescent="0.4">
      <c r="A239" s="4">
        <v>44480</v>
      </c>
      <c r="B239" s="8">
        <v>434.69</v>
      </c>
      <c r="C239" s="27">
        <f ca="1">AVERAGE(OFFSET(SPY_Close_Price_PQ[[#This Row],[Close]], 0, 0, $C$1*-1))</f>
        <v>442.72319999999991</v>
      </c>
      <c r="D239" s="27">
        <f ca="1">AVERAGE(OFFSET(SPY_Close_Price_PQ[[#This Row],[Close]], 0, 0, $D$1*-1))</f>
        <v>414.76044999999993</v>
      </c>
      <c r="E239" s="28">
        <f t="shared" ca="1" si="3"/>
        <v>0</v>
      </c>
    </row>
    <row r="240" spans="1:5" x14ac:dyDescent="0.4">
      <c r="A240" s="5">
        <v>44481</v>
      </c>
      <c r="B240" s="9">
        <v>433.62</v>
      </c>
      <c r="C240" s="27">
        <f ca="1">AVERAGE(OFFSET(SPY_Close_Price_PQ[[#This Row],[Close]], 0, 0, $C$1*-1))</f>
        <v>442.64379999999989</v>
      </c>
      <c r="D240" s="27">
        <f ca="1">AVERAGE(OFFSET(SPY_Close_Price_PQ[[#This Row],[Close]], 0, 0, $D$1*-1))</f>
        <v>415.08354999999995</v>
      </c>
      <c r="E240" s="28">
        <f t="shared" ca="1" si="3"/>
        <v>0</v>
      </c>
    </row>
    <row r="241" spans="1:5" x14ac:dyDescent="0.4">
      <c r="A241" s="4">
        <v>44482</v>
      </c>
      <c r="B241" s="8">
        <v>435.18</v>
      </c>
      <c r="C241" s="27">
        <f ca="1">AVERAGE(OFFSET(SPY_Close_Price_PQ[[#This Row],[Close]], 0, 0, $C$1*-1))</f>
        <v>442.52439999999996</v>
      </c>
      <c r="D241" s="27">
        <f ca="1">AVERAGE(OFFSET(SPY_Close_Price_PQ[[#This Row],[Close]], 0, 0, $D$1*-1))</f>
        <v>415.39859999999993</v>
      </c>
      <c r="E241" s="28">
        <f t="shared" ca="1" si="3"/>
        <v>0</v>
      </c>
    </row>
    <row r="242" spans="1:5" x14ac:dyDescent="0.4">
      <c r="A242" s="5">
        <v>44483</v>
      </c>
      <c r="B242" s="9">
        <v>442.5</v>
      </c>
      <c r="C242" s="27">
        <f ca="1">AVERAGE(OFFSET(SPY_Close_Price_PQ[[#This Row],[Close]], 0, 0, $C$1*-1))</f>
        <v>442.59479999999996</v>
      </c>
      <c r="D242" s="27">
        <f ca="1">AVERAGE(OFFSET(SPY_Close_Price_PQ[[#This Row],[Close]], 0, 0, $D$1*-1))</f>
        <v>415.75379999999996</v>
      </c>
      <c r="E242" s="28">
        <f t="shared" ca="1" si="3"/>
        <v>0</v>
      </c>
    </row>
    <row r="243" spans="1:5" x14ac:dyDescent="0.4">
      <c r="A243" s="4">
        <v>44484</v>
      </c>
      <c r="B243" s="8">
        <v>445.87</v>
      </c>
      <c r="C243" s="27">
        <f ca="1">AVERAGE(OFFSET(SPY_Close_Price_PQ[[#This Row],[Close]], 0, 0, $C$1*-1))</f>
        <v>442.67699999999996</v>
      </c>
      <c r="D243" s="27">
        <f ca="1">AVERAGE(OFFSET(SPY_Close_Price_PQ[[#This Row],[Close]], 0, 0, $D$1*-1))</f>
        <v>416.12319999999994</v>
      </c>
      <c r="E243" s="28">
        <f t="shared" ca="1" si="3"/>
        <v>0</v>
      </c>
    </row>
    <row r="244" spans="1:5" x14ac:dyDescent="0.4">
      <c r="A244" s="5">
        <v>44487</v>
      </c>
      <c r="B244" s="9">
        <v>447.19</v>
      </c>
      <c r="C244" s="27">
        <f ca="1">AVERAGE(OFFSET(SPY_Close_Price_PQ[[#This Row],[Close]], 0, 0, $C$1*-1))</f>
        <v>442.7709999999999</v>
      </c>
      <c r="D244" s="27">
        <f ca="1">AVERAGE(OFFSET(SPY_Close_Price_PQ[[#This Row],[Close]], 0, 0, $D$1*-1))</f>
        <v>416.4897499999999</v>
      </c>
      <c r="E244" s="28">
        <f t="shared" ca="1" si="3"/>
        <v>0</v>
      </c>
    </row>
    <row r="245" spans="1:5" x14ac:dyDescent="0.4">
      <c r="A245" s="4">
        <v>44488</v>
      </c>
      <c r="B245" s="8">
        <v>450.64</v>
      </c>
      <c r="C245" s="27">
        <f ca="1">AVERAGE(OFFSET(SPY_Close_Price_PQ[[#This Row],[Close]], 0, 0, $C$1*-1))</f>
        <v>442.94119999999998</v>
      </c>
      <c r="D245" s="27">
        <f ca="1">AVERAGE(OFFSET(SPY_Close_Price_PQ[[#This Row],[Close]], 0, 0, $D$1*-1))</f>
        <v>416.89899999999994</v>
      </c>
      <c r="E245" s="28">
        <f t="shared" ca="1" si="3"/>
        <v>0</v>
      </c>
    </row>
    <row r="246" spans="1:5" x14ac:dyDescent="0.4">
      <c r="A246" s="5">
        <v>44489</v>
      </c>
      <c r="B246" s="9">
        <v>452.41</v>
      </c>
      <c r="C246" s="27">
        <f ca="1">AVERAGE(OFFSET(SPY_Close_Price_PQ[[#This Row],[Close]], 0, 0, $C$1*-1))</f>
        <v>443.13579999999985</v>
      </c>
      <c r="D246" s="27">
        <f ca="1">AVERAGE(OFFSET(SPY_Close_Price_PQ[[#This Row],[Close]], 0, 0, $D$1*-1))</f>
        <v>417.30439999999993</v>
      </c>
      <c r="E246" s="28">
        <f t="shared" ca="1" si="3"/>
        <v>0</v>
      </c>
    </row>
    <row r="247" spans="1:5" x14ac:dyDescent="0.4">
      <c r="A247" s="4">
        <v>44490</v>
      </c>
      <c r="B247" s="8">
        <v>453.59</v>
      </c>
      <c r="C247" s="27">
        <f ca="1">AVERAGE(OFFSET(SPY_Close_Price_PQ[[#This Row],[Close]], 0, 0, $C$1*-1))</f>
        <v>443.33199999999988</v>
      </c>
      <c r="D247" s="27">
        <f ca="1">AVERAGE(OFFSET(SPY_Close_Price_PQ[[#This Row],[Close]], 0, 0, $D$1*-1))</f>
        <v>417.70459999999991</v>
      </c>
      <c r="E247" s="28">
        <f t="shared" ca="1" si="3"/>
        <v>0</v>
      </c>
    </row>
    <row r="248" spans="1:5" x14ac:dyDescent="0.4">
      <c r="A248" s="5">
        <v>44491</v>
      </c>
      <c r="B248" s="9">
        <v>453.12</v>
      </c>
      <c r="C248" s="27">
        <f ca="1">AVERAGE(OFFSET(SPY_Close_Price_PQ[[#This Row],[Close]], 0, 0, $C$1*-1))</f>
        <v>443.49219999999985</v>
      </c>
      <c r="D248" s="27">
        <f ca="1">AVERAGE(OFFSET(SPY_Close_Price_PQ[[#This Row],[Close]], 0, 0, $D$1*-1))</f>
        <v>418.07469999999995</v>
      </c>
      <c r="E248" s="28">
        <f t="shared" ca="1" si="3"/>
        <v>0</v>
      </c>
    </row>
    <row r="249" spans="1:5" x14ac:dyDescent="0.4">
      <c r="A249" s="4">
        <v>44494</v>
      </c>
      <c r="B249" s="8">
        <v>455.55</v>
      </c>
      <c r="C249" s="27">
        <f ca="1">AVERAGE(OFFSET(SPY_Close_Price_PQ[[#This Row],[Close]], 0, 0, $C$1*-1))</f>
        <v>443.68479999999988</v>
      </c>
      <c r="D249" s="27">
        <f ca="1">AVERAGE(OFFSET(SPY_Close_Price_PQ[[#This Row],[Close]], 0, 0, $D$1*-1))</f>
        <v>418.44614999999999</v>
      </c>
      <c r="E249" s="28">
        <f t="shared" ca="1" si="3"/>
        <v>0</v>
      </c>
    </row>
    <row r="250" spans="1:5" x14ac:dyDescent="0.4">
      <c r="A250" s="5">
        <v>44495</v>
      </c>
      <c r="B250" s="9">
        <v>455.96</v>
      </c>
      <c r="C250" s="27">
        <f ca="1">AVERAGE(OFFSET(SPY_Close_Price_PQ[[#This Row],[Close]], 0, 0, $C$1*-1))</f>
        <v>443.86459999999983</v>
      </c>
      <c r="D250" s="27">
        <f ca="1">AVERAGE(OFFSET(SPY_Close_Price_PQ[[#This Row],[Close]], 0, 0, $D$1*-1))</f>
        <v>418.83249999999998</v>
      </c>
      <c r="E250" s="28">
        <f t="shared" ca="1" si="3"/>
        <v>0</v>
      </c>
    </row>
    <row r="251" spans="1:5" x14ac:dyDescent="0.4">
      <c r="A251" s="4">
        <v>44496</v>
      </c>
      <c r="B251" s="8">
        <v>453.94</v>
      </c>
      <c r="C251" s="27">
        <f ca="1">AVERAGE(OFFSET(SPY_Close_Price_PQ[[#This Row],[Close]], 0, 0, $C$1*-1))</f>
        <v>444.06259999999975</v>
      </c>
      <c r="D251" s="27">
        <f ca="1">AVERAGE(OFFSET(SPY_Close_Price_PQ[[#This Row],[Close]], 0, 0, $D$1*-1))</f>
        <v>419.20835</v>
      </c>
      <c r="E251" s="28">
        <f t="shared" ca="1" si="3"/>
        <v>0</v>
      </c>
    </row>
    <row r="252" spans="1:5" x14ac:dyDescent="0.4">
      <c r="A252" s="5">
        <v>44497</v>
      </c>
      <c r="B252" s="9">
        <v>458.32</v>
      </c>
      <c r="C252" s="27">
        <f ca="1">AVERAGE(OFFSET(SPY_Close_Price_PQ[[#This Row],[Close]], 0, 0, $C$1*-1))</f>
        <v>444.44539999999978</v>
      </c>
      <c r="D252" s="27">
        <f ca="1">AVERAGE(OFFSET(SPY_Close_Price_PQ[[#This Row],[Close]], 0, 0, $D$1*-1))</f>
        <v>419.60100000000011</v>
      </c>
      <c r="E252" s="28">
        <f t="shared" ca="1" si="3"/>
        <v>0</v>
      </c>
    </row>
    <row r="253" spans="1:5" x14ac:dyDescent="0.4">
      <c r="A253" s="4">
        <v>44498</v>
      </c>
      <c r="B253" s="8">
        <v>459.25</v>
      </c>
      <c r="C253" s="27">
        <f ca="1">AVERAGE(OFFSET(SPY_Close_Price_PQ[[#This Row],[Close]], 0, 0, $C$1*-1))</f>
        <v>444.83319999999986</v>
      </c>
      <c r="D253" s="27">
        <f ca="1">AVERAGE(OFFSET(SPY_Close_Price_PQ[[#This Row],[Close]], 0, 0, $D$1*-1))</f>
        <v>420.00495000000001</v>
      </c>
      <c r="E253" s="28">
        <f t="shared" ca="1" si="3"/>
        <v>0</v>
      </c>
    </row>
    <row r="254" spans="1:5" x14ac:dyDescent="0.4">
      <c r="A254" s="5">
        <v>44501</v>
      </c>
      <c r="B254" s="9">
        <v>460.04</v>
      </c>
      <c r="C254" s="27">
        <f ca="1">AVERAGE(OFFSET(SPY_Close_Price_PQ[[#This Row],[Close]], 0, 0, $C$1*-1))</f>
        <v>445.16679999999985</v>
      </c>
      <c r="D254" s="27">
        <f ca="1">AVERAGE(OFFSET(SPY_Close_Price_PQ[[#This Row],[Close]], 0, 0, $D$1*-1))</f>
        <v>420.42665000000011</v>
      </c>
      <c r="E254" s="28">
        <f t="shared" ca="1" si="3"/>
        <v>0</v>
      </c>
    </row>
    <row r="255" spans="1:5" x14ac:dyDescent="0.4">
      <c r="A255" s="4">
        <v>44502</v>
      </c>
      <c r="B255" s="8">
        <v>461.9</v>
      </c>
      <c r="C255" s="27">
        <f ca="1">AVERAGE(OFFSET(SPY_Close_Price_PQ[[#This Row],[Close]], 0, 0, $C$1*-1))</f>
        <v>445.45959999999991</v>
      </c>
      <c r="D255" s="27">
        <f ca="1">AVERAGE(OFFSET(SPY_Close_Price_PQ[[#This Row],[Close]], 0, 0, $D$1*-1))</f>
        <v>420.84289999999999</v>
      </c>
      <c r="E255" s="28">
        <f t="shared" ca="1" si="3"/>
        <v>0</v>
      </c>
    </row>
    <row r="256" spans="1:5" x14ac:dyDescent="0.4">
      <c r="A256" s="5">
        <v>44503</v>
      </c>
      <c r="B256" s="9">
        <v>464.72</v>
      </c>
      <c r="C256" s="27">
        <f ca="1">AVERAGE(OFFSET(SPY_Close_Price_PQ[[#This Row],[Close]], 0, 0, $C$1*-1))</f>
        <v>445.7946</v>
      </c>
      <c r="D256" s="27">
        <f ca="1">AVERAGE(OFFSET(SPY_Close_Price_PQ[[#This Row],[Close]], 0, 0, $D$1*-1))</f>
        <v>421.24705</v>
      </c>
      <c r="E256" s="28">
        <f t="shared" ca="1" si="3"/>
        <v>0</v>
      </c>
    </row>
    <row r="257" spans="1:5" x14ac:dyDescent="0.4">
      <c r="A257" s="4">
        <v>44504</v>
      </c>
      <c r="B257" s="8">
        <v>466.91</v>
      </c>
      <c r="C257" s="27">
        <f ca="1">AVERAGE(OFFSET(SPY_Close_Price_PQ[[#This Row],[Close]], 0, 0, $C$1*-1))</f>
        <v>446.15460000000002</v>
      </c>
      <c r="D257" s="27">
        <f ca="1">AVERAGE(OFFSET(SPY_Close_Price_PQ[[#This Row],[Close]], 0, 0, $D$1*-1))</f>
        <v>421.66039999999998</v>
      </c>
      <c r="E257" s="28">
        <f t="shared" ca="1" si="3"/>
        <v>0</v>
      </c>
    </row>
    <row r="258" spans="1:5" x14ac:dyDescent="0.4">
      <c r="A258" s="5">
        <v>44505</v>
      </c>
      <c r="B258" s="9">
        <v>468.53</v>
      </c>
      <c r="C258" s="27">
        <f ca="1">AVERAGE(OFFSET(SPY_Close_Price_PQ[[#This Row],[Close]], 0, 0, $C$1*-1))</f>
        <v>446.6</v>
      </c>
      <c r="D258" s="27">
        <f ca="1">AVERAGE(OFFSET(SPY_Close_Price_PQ[[#This Row],[Close]], 0, 0, $D$1*-1))</f>
        <v>422.08864999999997</v>
      </c>
      <c r="E258" s="28">
        <f t="shared" ca="1" si="3"/>
        <v>0</v>
      </c>
    </row>
    <row r="259" spans="1:5" x14ac:dyDescent="0.4">
      <c r="A259" s="4">
        <v>44508</v>
      </c>
      <c r="B259" s="8">
        <v>468.93</v>
      </c>
      <c r="C259" s="27">
        <f ca="1">AVERAGE(OFFSET(SPY_Close_Price_PQ[[#This Row],[Close]], 0, 0, $C$1*-1))</f>
        <v>446.97360000000003</v>
      </c>
      <c r="D259" s="27">
        <f ca="1">AVERAGE(OFFSET(SPY_Close_Price_PQ[[#This Row],[Close]], 0, 0, $D$1*-1))</f>
        <v>422.51134999999994</v>
      </c>
      <c r="E259" s="28">
        <f t="shared" ca="1" si="3"/>
        <v>0</v>
      </c>
    </row>
    <row r="260" spans="1:5" x14ac:dyDescent="0.4">
      <c r="A260" s="5">
        <v>44509</v>
      </c>
      <c r="B260" s="9">
        <v>467.38</v>
      </c>
      <c r="C260" s="27">
        <f ca="1">AVERAGE(OFFSET(SPY_Close_Price_PQ[[#This Row],[Close]], 0, 0, $C$1*-1))</f>
        <v>447.27660000000003</v>
      </c>
      <c r="D260" s="27">
        <f ca="1">AVERAGE(OFFSET(SPY_Close_Price_PQ[[#This Row],[Close]], 0, 0, $D$1*-1))</f>
        <v>422.92930000000001</v>
      </c>
      <c r="E260" s="28">
        <f t="shared" ref="E260:E323" ca="1" si="4">IF(AND(C259&lt;D259,C260&gt;D260),1,0)</f>
        <v>0</v>
      </c>
    </row>
    <row r="261" spans="1:5" x14ac:dyDescent="0.4">
      <c r="A261" s="4">
        <v>44510</v>
      </c>
      <c r="B261" s="8">
        <v>463.62</v>
      </c>
      <c r="C261" s="27">
        <f ca="1">AVERAGE(OFFSET(SPY_Close_Price_PQ[[#This Row],[Close]], 0, 0, $C$1*-1))</f>
        <v>447.51780000000008</v>
      </c>
      <c r="D261" s="27">
        <f ca="1">AVERAGE(OFFSET(SPY_Close_Price_PQ[[#This Row],[Close]], 0, 0, $D$1*-1))</f>
        <v>423.37534999999997</v>
      </c>
      <c r="E261" s="28">
        <f t="shared" ca="1" si="4"/>
        <v>0</v>
      </c>
    </row>
    <row r="262" spans="1:5" x14ac:dyDescent="0.4">
      <c r="A262" s="5">
        <v>44511</v>
      </c>
      <c r="B262" s="9">
        <v>463.77</v>
      </c>
      <c r="C262" s="27">
        <f ca="1">AVERAGE(OFFSET(SPY_Close_Price_PQ[[#This Row],[Close]], 0, 0, $C$1*-1))</f>
        <v>447.75720000000007</v>
      </c>
      <c r="D262" s="27">
        <f ca="1">AVERAGE(OFFSET(SPY_Close_Price_PQ[[#This Row],[Close]], 0, 0, $D$1*-1))</f>
        <v>423.80605000000003</v>
      </c>
      <c r="E262" s="28">
        <f t="shared" ca="1" si="4"/>
        <v>0</v>
      </c>
    </row>
    <row r="263" spans="1:5" x14ac:dyDescent="0.4">
      <c r="A263" s="4">
        <v>44512</v>
      </c>
      <c r="B263" s="8">
        <v>467.27</v>
      </c>
      <c r="C263" s="27">
        <f ca="1">AVERAGE(OFFSET(SPY_Close_Price_PQ[[#This Row],[Close]], 0, 0, $C$1*-1))</f>
        <v>448.03880000000004</v>
      </c>
      <c r="D263" s="27">
        <f ca="1">AVERAGE(OFFSET(SPY_Close_Price_PQ[[#This Row],[Close]], 0, 0, $D$1*-1))</f>
        <v>424.29205000000002</v>
      </c>
      <c r="E263" s="28">
        <f t="shared" ca="1" si="4"/>
        <v>0</v>
      </c>
    </row>
    <row r="264" spans="1:5" x14ac:dyDescent="0.4">
      <c r="A264" s="5">
        <v>44515</v>
      </c>
      <c r="B264" s="9">
        <v>467.43</v>
      </c>
      <c r="C264" s="27">
        <f ca="1">AVERAGE(OFFSET(SPY_Close_Price_PQ[[#This Row],[Close]], 0, 0, $C$1*-1))</f>
        <v>448.32580000000019</v>
      </c>
      <c r="D264" s="27">
        <f ca="1">AVERAGE(OFFSET(SPY_Close_Price_PQ[[#This Row],[Close]], 0, 0, $D$1*-1))</f>
        <v>424.74804999999992</v>
      </c>
      <c r="E264" s="28">
        <f t="shared" ca="1" si="4"/>
        <v>0</v>
      </c>
    </row>
    <row r="265" spans="1:5" x14ac:dyDescent="0.4">
      <c r="A265" s="4">
        <v>44516</v>
      </c>
      <c r="B265" s="8">
        <v>469.28</v>
      </c>
      <c r="C265" s="27">
        <f ca="1">AVERAGE(OFFSET(SPY_Close_Price_PQ[[#This Row],[Close]], 0, 0, $C$1*-1))</f>
        <v>448.68220000000008</v>
      </c>
      <c r="D265" s="27">
        <f ca="1">AVERAGE(OFFSET(SPY_Close_Price_PQ[[#This Row],[Close]], 0, 0, $D$1*-1))</f>
        <v>425.18669999999997</v>
      </c>
      <c r="E265" s="28">
        <f t="shared" ca="1" si="4"/>
        <v>0</v>
      </c>
    </row>
    <row r="266" spans="1:5" x14ac:dyDescent="0.4">
      <c r="A266" s="5">
        <v>44517</v>
      </c>
      <c r="B266" s="9">
        <v>468.14</v>
      </c>
      <c r="C266" s="27">
        <f ca="1">AVERAGE(OFFSET(SPY_Close_Price_PQ[[#This Row],[Close]], 0, 0, $C$1*-1))</f>
        <v>449.02680000000015</v>
      </c>
      <c r="D266" s="27">
        <f ca="1">AVERAGE(OFFSET(SPY_Close_Price_PQ[[#This Row],[Close]], 0, 0, $D$1*-1))</f>
        <v>425.61814999999996</v>
      </c>
      <c r="E266" s="28">
        <f t="shared" ca="1" si="4"/>
        <v>0</v>
      </c>
    </row>
    <row r="267" spans="1:5" x14ac:dyDescent="0.4">
      <c r="A267" s="4">
        <v>44518</v>
      </c>
      <c r="B267" s="8">
        <v>469.73</v>
      </c>
      <c r="C267" s="27">
        <f ca="1">AVERAGE(OFFSET(SPY_Close_Price_PQ[[#This Row],[Close]], 0, 0, $C$1*-1))</f>
        <v>449.44180000000006</v>
      </c>
      <c r="D267" s="27">
        <f ca="1">AVERAGE(OFFSET(SPY_Close_Price_PQ[[#This Row],[Close]], 0, 0, $D$1*-1))</f>
        <v>426.03584999999998</v>
      </c>
      <c r="E267" s="28">
        <f t="shared" ca="1" si="4"/>
        <v>0</v>
      </c>
    </row>
    <row r="268" spans="1:5" x14ac:dyDescent="0.4">
      <c r="A268" s="5">
        <v>44519</v>
      </c>
      <c r="B268" s="9">
        <v>468.89</v>
      </c>
      <c r="C268" s="27">
        <f ca="1">AVERAGE(OFFSET(SPY_Close_Price_PQ[[#This Row],[Close]], 0, 0, $C$1*-1))</f>
        <v>449.91080000000011</v>
      </c>
      <c r="D268" s="27">
        <f ca="1">AVERAGE(OFFSET(SPY_Close_Price_PQ[[#This Row],[Close]], 0, 0, $D$1*-1))</f>
        <v>426.44175000000001</v>
      </c>
      <c r="E268" s="28">
        <f t="shared" ca="1" si="4"/>
        <v>0</v>
      </c>
    </row>
    <row r="269" spans="1:5" x14ac:dyDescent="0.4">
      <c r="A269" s="4">
        <v>44522</v>
      </c>
      <c r="B269" s="8">
        <v>467.57</v>
      </c>
      <c r="C269" s="27">
        <f ca="1">AVERAGE(OFFSET(SPY_Close_Price_PQ[[#This Row],[Close]], 0, 0, $C$1*-1))</f>
        <v>450.3306</v>
      </c>
      <c r="D269" s="27">
        <f ca="1">AVERAGE(OFFSET(SPY_Close_Price_PQ[[#This Row],[Close]], 0, 0, $D$1*-1))</f>
        <v>426.82705000000004</v>
      </c>
      <c r="E269" s="28">
        <f t="shared" ca="1" si="4"/>
        <v>0</v>
      </c>
    </row>
    <row r="270" spans="1:5" x14ac:dyDescent="0.4">
      <c r="A270" s="5">
        <v>44523</v>
      </c>
      <c r="B270" s="9">
        <v>468.19</v>
      </c>
      <c r="C270" s="27">
        <f ca="1">AVERAGE(OFFSET(SPY_Close_Price_PQ[[#This Row],[Close]], 0, 0, $C$1*-1))</f>
        <v>450.81099999999992</v>
      </c>
      <c r="D270" s="27">
        <f ca="1">AVERAGE(OFFSET(SPY_Close_Price_PQ[[#This Row],[Close]], 0, 0, $D$1*-1))</f>
        <v>427.21675000000005</v>
      </c>
      <c r="E270" s="28">
        <f t="shared" ca="1" si="4"/>
        <v>0</v>
      </c>
    </row>
    <row r="271" spans="1:5" x14ac:dyDescent="0.4">
      <c r="A271" s="4">
        <v>44524</v>
      </c>
      <c r="B271" s="8">
        <v>469.44</v>
      </c>
      <c r="C271" s="27">
        <f ca="1">AVERAGE(OFFSET(SPY_Close_Price_PQ[[#This Row],[Close]], 0, 0, $C$1*-1))</f>
        <v>451.24219999999985</v>
      </c>
      <c r="D271" s="27">
        <f ca="1">AVERAGE(OFFSET(SPY_Close_Price_PQ[[#This Row],[Close]], 0, 0, $D$1*-1))</f>
        <v>427.61355000000003</v>
      </c>
      <c r="E271" s="28">
        <f t="shared" ca="1" si="4"/>
        <v>0</v>
      </c>
    </row>
    <row r="272" spans="1:5" x14ac:dyDescent="0.4">
      <c r="A272" s="5">
        <v>44526</v>
      </c>
      <c r="B272" s="9">
        <v>458.97</v>
      </c>
      <c r="C272" s="27">
        <f ca="1">AVERAGE(OFFSET(SPY_Close_Price_PQ[[#This Row],[Close]], 0, 0, $C$1*-1))</f>
        <v>451.4781999999999</v>
      </c>
      <c r="D272" s="27">
        <f ca="1">AVERAGE(OFFSET(SPY_Close_Price_PQ[[#This Row],[Close]], 0, 0, $D$1*-1))</f>
        <v>427.95485000000002</v>
      </c>
      <c r="E272" s="28">
        <f t="shared" ca="1" si="4"/>
        <v>0</v>
      </c>
    </row>
    <row r="273" spans="1:5" x14ac:dyDescent="0.4">
      <c r="A273" s="4">
        <v>44529</v>
      </c>
      <c r="B273" s="8">
        <v>464.6</v>
      </c>
      <c r="C273" s="27">
        <f ca="1">AVERAGE(OFFSET(SPY_Close_Price_PQ[[#This Row],[Close]], 0, 0, $C$1*-1))</f>
        <v>451.94219999999984</v>
      </c>
      <c r="D273" s="27">
        <f ca="1">AVERAGE(OFFSET(SPY_Close_Price_PQ[[#This Row],[Close]], 0, 0, $D$1*-1))</f>
        <v>428.31465000000009</v>
      </c>
      <c r="E273" s="28">
        <f t="shared" ca="1" si="4"/>
        <v>0</v>
      </c>
    </row>
    <row r="274" spans="1:5" x14ac:dyDescent="0.4">
      <c r="A274" s="5">
        <v>44530</v>
      </c>
      <c r="B274" s="9">
        <v>455.56</v>
      </c>
      <c r="C274" s="27">
        <f ca="1">AVERAGE(OFFSET(SPY_Close_Price_PQ[[#This Row],[Close]], 0, 0, $C$1*-1))</f>
        <v>452.37259999999992</v>
      </c>
      <c r="D274" s="27">
        <f ca="1">AVERAGE(OFFSET(SPY_Close_Price_PQ[[#This Row],[Close]], 0, 0, $D$1*-1))</f>
        <v>428.6309500000001</v>
      </c>
      <c r="E274" s="28">
        <f t="shared" ca="1" si="4"/>
        <v>0</v>
      </c>
    </row>
    <row r="275" spans="1:5" x14ac:dyDescent="0.4">
      <c r="A275" s="4">
        <v>44531</v>
      </c>
      <c r="B275" s="8">
        <v>450.5</v>
      </c>
      <c r="C275" s="27">
        <f ca="1">AVERAGE(OFFSET(SPY_Close_Price_PQ[[#This Row],[Close]], 0, 0, $C$1*-1))</f>
        <v>452.70999999999987</v>
      </c>
      <c r="D275" s="27">
        <f ca="1">AVERAGE(OFFSET(SPY_Close_Price_PQ[[#This Row],[Close]], 0, 0, $D$1*-1))</f>
        <v>428.92150000000015</v>
      </c>
      <c r="E275" s="28">
        <f t="shared" ca="1" si="4"/>
        <v>0</v>
      </c>
    </row>
    <row r="276" spans="1:5" x14ac:dyDescent="0.4">
      <c r="A276" s="5">
        <v>44532</v>
      </c>
      <c r="B276" s="9">
        <v>457.4</v>
      </c>
      <c r="C276" s="27">
        <f ca="1">AVERAGE(OFFSET(SPY_Close_Price_PQ[[#This Row],[Close]], 0, 0, $C$1*-1))</f>
        <v>453.10079999999988</v>
      </c>
      <c r="D276" s="27">
        <f ca="1">AVERAGE(OFFSET(SPY_Close_Price_PQ[[#This Row],[Close]], 0, 0, $D$1*-1))</f>
        <v>429.25490000000013</v>
      </c>
      <c r="E276" s="28">
        <f t="shared" ca="1" si="4"/>
        <v>0</v>
      </c>
    </row>
    <row r="277" spans="1:5" x14ac:dyDescent="0.4">
      <c r="A277" s="4">
        <v>44533</v>
      </c>
      <c r="B277" s="8">
        <v>453.42</v>
      </c>
      <c r="C277" s="27">
        <f ca="1">AVERAGE(OFFSET(SPY_Close_Price_PQ[[#This Row],[Close]], 0, 0, $C$1*-1))</f>
        <v>453.30559999999991</v>
      </c>
      <c r="D277" s="27">
        <f ca="1">AVERAGE(OFFSET(SPY_Close_Price_PQ[[#This Row],[Close]], 0, 0, $D$1*-1))</f>
        <v>429.57185000000004</v>
      </c>
      <c r="E277" s="28">
        <f t="shared" ca="1" si="4"/>
        <v>0</v>
      </c>
    </row>
    <row r="278" spans="1:5" x14ac:dyDescent="0.4">
      <c r="A278" s="5">
        <v>44536</v>
      </c>
      <c r="B278" s="9">
        <v>458.79</v>
      </c>
      <c r="C278" s="27">
        <f ca="1">AVERAGE(OFFSET(SPY_Close_Price_PQ[[#This Row],[Close]], 0, 0, $C$1*-1))</f>
        <v>453.6031999999999</v>
      </c>
      <c r="D278" s="27">
        <f ca="1">AVERAGE(OFFSET(SPY_Close_Price_PQ[[#This Row],[Close]], 0, 0, $D$1*-1))</f>
        <v>429.93065000000001</v>
      </c>
      <c r="E278" s="28">
        <f t="shared" ca="1" si="4"/>
        <v>0</v>
      </c>
    </row>
    <row r="279" spans="1:5" x14ac:dyDescent="0.4">
      <c r="A279" s="4">
        <v>44537</v>
      </c>
      <c r="B279" s="8">
        <v>468.28</v>
      </c>
      <c r="C279" s="27">
        <f ca="1">AVERAGE(OFFSET(SPY_Close_Price_PQ[[#This Row],[Close]], 0, 0, $C$1*-1))</f>
        <v>454.11599999999999</v>
      </c>
      <c r="D279" s="27">
        <f ca="1">AVERAGE(OFFSET(SPY_Close_Price_PQ[[#This Row],[Close]], 0, 0, $D$1*-1))</f>
        <v>430.33454999999992</v>
      </c>
      <c r="E279" s="28">
        <f t="shared" ca="1" si="4"/>
        <v>0</v>
      </c>
    </row>
    <row r="280" spans="1:5" x14ac:dyDescent="0.4">
      <c r="A280" s="5">
        <v>44538</v>
      </c>
      <c r="B280" s="9">
        <v>469.52</v>
      </c>
      <c r="C280" s="27">
        <f ca="1">AVERAGE(OFFSET(SPY_Close_Price_PQ[[#This Row],[Close]], 0, 0, $C$1*-1))</f>
        <v>454.83199999999999</v>
      </c>
      <c r="D280" s="27">
        <f ca="1">AVERAGE(OFFSET(SPY_Close_Price_PQ[[#This Row],[Close]], 0, 0, $D$1*-1))</f>
        <v>430.72329999999994</v>
      </c>
      <c r="E280" s="28">
        <f t="shared" ca="1" si="4"/>
        <v>0</v>
      </c>
    </row>
    <row r="281" spans="1:5" x14ac:dyDescent="0.4">
      <c r="A281" s="4">
        <v>44539</v>
      </c>
      <c r="B281" s="8">
        <v>466.35</v>
      </c>
      <c r="C281" s="27">
        <f ca="1">AVERAGE(OFFSET(SPY_Close_Price_PQ[[#This Row],[Close]], 0, 0, $C$1*-1))</f>
        <v>455.46999999999991</v>
      </c>
      <c r="D281" s="27">
        <f ca="1">AVERAGE(OFFSET(SPY_Close_Price_PQ[[#This Row],[Close]], 0, 0, $D$1*-1))</f>
        <v>431.14339999999999</v>
      </c>
      <c r="E281" s="28">
        <f t="shared" ca="1" si="4"/>
        <v>0</v>
      </c>
    </row>
    <row r="282" spans="1:5" x14ac:dyDescent="0.4">
      <c r="A282" s="5">
        <v>44540</v>
      </c>
      <c r="B282" s="9">
        <v>470.74</v>
      </c>
      <c r="C282" s="27">
        <f ca="1">AVERAGE(OFFSET(SPY_Close_Price_PQ[[#This Row],[Close]], 0, 0, $C$1*-1))</f>
        <v>456.30199999999996</v>
      </c>
      <c r="D282" s="27">
        <f ca="1">AVERAGE(OFFSET(SPY_Close_Price_PQ[[#This Row],[Close]], 0, 0, $D$1*-1))</f>
        <v>431.59530000000007</v>
      </c>
      <c r="E282" s="28">
        <f t="shared" ca="1" si="4"/>
        <v>0</v>
      </c>
    </row>
    <row r="283" spans="1:5" x14ac:dyDescent="0.4">
      <c r="A283" s="4">
        <v>44543</v>
      </c>
      <c r="B283" s="8">
        <v>466.57</v>
      </c>
      <c r="C283" s="27">
        <f ca="1">AVERAGE(OFFSET(SPY_Close_Price_PQ[[#This Row],[Close]], 0, 0, $C$1*-1))</f>
        <v>456.9486</v>
      </c>
      <c r="D283" s="27">
        <f ca="1">AVERAGE(OFFSET(SPY_Close_Price_PQ[[#This Row],[Close]], 0, 0, $D$1*-1))</f>
        <v>431.98025000000007</v>
      </c>
      <c r="E283" s="28">
        <f t="shared" ca="1" si="4"/>
        <v>0</v>
      </c>
    </row>
    <row r="284" spans="1:5" x14ac:dyDescent="0.4">
      <c r="A284" s="5">
        <v>44544</v>
      </c>
      <c r="B284" s="9">
        <v>463.36</v>
      </c>
      <c r="C284" s="27">
        <f ca="1">AVERAGE(OFFSET(SPY_Close_Price_PQ[[#This Row],[Close]], 0, 0, $C$1*-1))</f>
        <v>457.64299999999997</v>
      </c>
      <c r="D284" s="27">
        <f ca="1">AVERAGE(OFFSET(SPY_Close_Price_PQ[[#This Row],[Close]], 0, 0, $D$1*-1))</f>
        <v>432.36435000000006</v>
      </c>
      <c r="E284" s="28">
        <f t="shared" ca="1" si="4"/>
        <v>0</v>
      </c>
    </row>
    <row r="285" spans="1:5" x14ac:dyDescent="0.4">
      <c r="A285" s="4">
        <v>44545</v>
      </c>
      <c r="B285" s="8">
        <v>470.6</v>
      </c>
      <c r="C285" s="27">
        <f ca="1">AVERAGE(OFFSET(SPY_Close_Price_PQ[[#This Row],[Close]], 0, 0, $C$1*-1))</f>
        <v>458.39299999999997</v>
      </c>
      <c r="D285" s="27">
        <f ca="1">AVERAGE(OFFSET(SPY_Close_Price_PQ[[#This Row],[Close]], 0, 0, $D$1*-1))</f>
        <v>432.81025000000011</v>
      </c>
      <c r="E285" s="28">
        <f t="shared" ca="1" si="4"/>
        <v>0</v>
      </c>
    </row>
    <row r="286" spans="1:5" x14ac:dyDescent="0.4">
      <c r="A286" s="5">
        <v>44546</v>
      </c>
      <c r="B286" s="9">
        <v>466.45</v>
      </c>
      <c r="C286" s="27">
        <f ca="1">AVERAGE(OFFSET(SPY_Close_Price_PQ[[#This Row],[Close]], 0, 0, $C$1*-1))</f>
        <v>459.024</v>
      </c>
      <c r="D286" s="27">
        <f ca="1">AVERAGE(OFFSET(SPY_Close_Price_PQ[[#This Row],[Close]], 0, 0, $D$1*-1))</f>
        <v>433.25900000000007</v>
      </c>
      <c r="E286" s="28">
        <f t="shared" ca="1" si="4"/>
        <v>0</v>
      </c>
    </row>
    <row r="287" spans="1:5" x14ac:dyDescent="0.4">
      <c r="A287" s="4">
        <v>44547</v>
      </c>
      <c r="B287" s="8">
        <v>459.87</v>
      </c>
      <c r="C287" s="27">
        <f ca="1">AVERAGE(OFFSET(SPY_Close_Price_PQ[[#This Row],[Close]], 0, 0, $C$1*-1))</f>
        <v>459.44819999999999</v>
      </c>
      <c r="D287" s="27">
        <f ca="1">AVERAGE(OFFSET(SPY_Close_Price_PQ[[#This Row],[Close]], 0, 0, $D$1*-1))</f>
        <v>433.64020000000011</v>
      </c>
      <c r="E287" s="28">
        <f t="shared" ca="1" si="4"/>
        <v>0</v>
      </c>
    </row>
    <row r="288" spans="1:5" x14ac:dyDescent="0.4">
      <c r="A288" s="5">
        <v>44550</v>
      </c>
      <c r="B288" s="9">
        <v>454.98</v>
      </c>
      <c r="C288" s="27">
        <f ca="1">AVERAGE(OFFSET(SPY_Close_Price_PQ[[#This Row],[Close]], 0, 0, $C$1*-1))</f>
        <v>459.79059999999998</v>
      </c>
      <c r="D288" s="27">
        <f ca="1">AVERAGE(OFFSET(SPY_Close_Price_PQ[[#This Row],[Close]], 0, 0, $D$1*-1))</f>
        <v>434.00650000000007</v>
      </c>
      <c r="E288" s="28">
        <f t="shared" ca="1" si="4"/>
        <v>0</v>
      </c>
    </row>
    <row r="289" spans="1:5" x14ac:dyDescent="0.4">
      <c r="A289" s="4">
        <v>44551</v>
      </c>
      <c r="B289" s="8">
        <v>463.06</v>
      </c>
      <c r="C289" s="27">
        <f ca="1">AVERAGE(OFFSET(SPY_Close_Price_PQ[[#This Row],[Close]], 0, 0, $C$1*-1))</f>
        <v>460.358</v>
      </c>
      <c r="D289" s="27">
        <f ca="1">AVERAGE(OFFSET(SPY_Close_Price_PQ[[#This Row],[Close]], 0, 0, $D$1*-1))</f>
        <v>434.38595000000015</v>
      </c>
      <c r="E289" s="28">
        <f t="shared" ca="1" si="4"/>
        <v>0</v>
      </c>
    </row>
    <row r="290" spans="1:5" x14ac:dyDescent="0.4">
      <c r="A290" s="5">
        <v>44552</v>
      </c>
      <c r="B290" s="9">
        <v>467.69</v>
      </c>
      <c r="C290" s="27">
        <f ca="1">AVERAGE(OFFSET(SPY_Close_Price_PQ[[#This Row],[Close]], 0, 0, $C$1*-1))</f>
        <v>461.03939999999994</v>
      </c>
      <c r="D290" s="27">
        <f ca="1">AVERAGE(OFFSET(SPY_Close_Price_PQ[[#This Row],[Close]], 0, 0, $D$1*-1))</f>
        <v>434.77650000000017</v>
      </c>
      <c r="E290" s="28">
        <f t="shared" ca="1" si="4"/>
        <v>0</v>
      </c>
    </row>
    <row r="291" spans="1:5" x14ac:dyDescent="0.4">
      <c r="A291" s="4">
        <v>44553</v>
      </c>
      <c r="B291" s="8">
        <v>470.6</v>
      </c>
      <c r="C291" s="27">
        <f ca="1">AVERAGE(OFFSET(SPY_Close_Price_PQ[[#This Row],[Close]], 0, 0, $C$1*-1))</f>
        <v>461.74779999999993</v>
      </c>
      <c r="D291" s="27">
        <f ca="1">AVERAGE(OFFSET(SPY_Close_Price_PQ[[#This Row],[Close]], 0, 0, $D$1*-1))</f>
        <v>435.16185000000019</v>
      </c>
      <c r="E291" s="28">
        <f t="shared" ca="1" si="4"/>
        <v>0</v>
      </c>
    </row>
    <row r="292" spans="1:5" x14ac:dyDescent="0.4">
      <c r="A292" s="5">
        <v>44557</v>
      </c>
      <c r="B292" s="9">
        <v>477.26</v>
      </c>
      <c r="C292" s="27">
        <f ca="1">AVERAGE(OFFSET(SPY_Close_Price_PQ[[#This Row],[Close]], 0, 0, $C$1*-1))</f>
        <v>462.44299999999987</v>
      </c>
      <c r="D292" s="27">
        <f ca="1">AVERAGE(OFFSET(SPY_Close_Price_PQ[[#This Row],[Close]], 0, 0, $D$1*-1))</f>
        <v>435.57785000000018</v>
      </c>
      <c r="E292" s="28">
        <f t="shared" ca="1" si="4"/>
        <v>0</v>
      </c>
    </row>
    <row r="293" spans="1:5" x14ac:dyDescent="0.4">
      <c r="A293" s="4">
        <v>44558</v>
      </c>
      <c r="B293" s="8">
        <v>476.87</v>
      </c>
      <c r="C293" s="27">
        <f ca="1">AVERAGE(OFFSET(SPY_Close_Price_PQ[[#This Row],[Close]], 0, 0, $C$1*-1))</f>
        <v>463.06299999999987</v>
      </c>
      <c r="D293" s="27">
        <f ca="1">AVERAGE(OFFSET(SPY_Close_Price_PQ[[#This Row],[Close]], 0, 0, $D$1*-1))</f>
        <v>435.98015000000021</v>
      </c>
      <c r="E293" s="28">
        <f t="shared" ca="1" si="4"/>
        <v>0</v>
      </c>
    </row>
    <row r="294" spans="1:5" x14ac:dyDescent="0.4">
      <c r="A294" s="5">
        <v>44559</v>
      </c>
      <c r="B294" s="9">
        <v>477.48</v>
      </c>
      <c r="C294" s="27">
        <f ca="1">AVERAGE(OFFSET(SPY_Close_Price_PQ[[#This Row],[Close]], 0, 0, $C$1*-1))</f>
        <v>463.66879999999992</v>
      </c>
      <c r="D294" s="27">
        <f ca="1">AVERAGE(OFFSET(SPY_Close_Price_PQ[[#This Row],[Close]], 0, 0, $D$1*-1))</f>
        <v>436.38800000000015</v>
      </c>
      <c r="E294" s="28">
        <f t="shared" ca="1" si="4"/>
        <v>0</v>
      </c>
    </row>
    <row r="295" spans="1:5" x14ac:dyDescent="0.4">
      <c r="A295" s="4">
        <v>44560</v>
      </c>
      <c r="B295" s="8">
        <v>476.16</v>
      </c>
      <c r="C295" s="27">
        <f ca="1">AVERAGE(OFFSET(SPY_Close_Price_PQ[[#This Row],[Close]], 0, 0, $C$1*-1))</f>
        <v>464.17919999999992</v>
      </c>
      <c r="D295" s="27">
        <f ca="1">AVERAGE(OFFSET(SPY_Close_Price_PQ[[#This Row],[Close]], 0, 0, $D$1*-1))</f>
        <v>436.7825000000002</v>
      </c>
      <c r="E295" s="28">
        <f t="shared" ca="1" si="4"/>
        <v>0</v>
      </c>
    </row>
    <row r="296" spans="1:5" x14ac:dyDescent="0.4">
      <c r="A296" s="5">
        <v>44561</v>
      </c>
      <c r="B296" s="9">
        <v>474.96</v>
      </c>
      <c r="C296" s="27">
        <f ca="1">AVERAGE(OFFSET(SPY_Close_Price_PQ[[#This Row],[Close]], 0, 0, $C$1*-1))</f>
        <v>464.63019999999989</v>
      </c>
      <c r="D296" s="27">
        <f ca="1">AVERAGE(OFFSET(SPY_Close_Price_PQ[[#This Row],[Close]], 0, 0, $D$1*-1))</f>
        <v>437.19990000000018</v>
      </c>
      <c r="E296" s="28">
        <f t="shared" ca="1" si="4"/>
        <v>0</v>
      </c>
    </row>
    <row r="297" spans="1:5" x14ac:dyDescent="0.4">
      <c r="A297" s="4">
        <v>44564</v>
      </c>
      <c r="B297" s="8">
        <v>477.71</v>
      </c>
      <c r="C297" s="27">
        <f ca="1">AVERAGE(OFFSET(SPY_Close_Price_PQ[[#This Row],[Close]], 0, 0, $C$1*-1))</f>
        <v>465.11259999999987</v>
      </c>
      <c r="D297" s="27">
        <f ca="1">AVERAGE(OFFSET(SPY_Close_Price_PQ[[#This Row],[Close]], 0, 0, $D$1*-1))</f>
        <v>437.64105000000023</v>
      </c>
      <c r="E297" s="28">
        <f t="shared" ca="1" si="4"/>
        <v>0</v>
      </c>
    </row>
    <row r="298" spans="1:5" x14ac:dyDescent="0.4">
      <c r="A298" s="5">
        <v>44565</v>
      </c>
      <c r="B298" s="9">
        <v>477.55</v>
      </c>
      <c r="C298" s="27">
        <f ca="1">AVERAGE(OFFSET(SPY_Close_Price_PQ[[#This Row],[Close]], 0, 0, $C$1*-1))</f>
        <v>465.60119999999984</v>
      </c>
      <c r="D298" s="27">
        <f ca="1">AVERAGE(OFFSET(SPY_Close_Price_PQ[[#This Row],[Close]], 0, 0, $D$1*-1))</f>
        <v>438.0658500000003</v>
      </c>
      <c r="E298" s="28">
        <f t="shared" ca="1" si="4"/>
        <v>0</v>
      </c>
    </row>
    <row r="299" spans="1:5" x14ac:dyDescent="0.4">
      <c r="A299" s="4">
        <v>44566</v>
      </c>
      <c r="B299" s="8">
        <v>468.38</v>
      </c>
      <c r="C299" s="27">
        <f ca="1">AVERAGE(OFFSET(SPY_Close_Price_PQ[[#This Row],[Close]], 0, 0, $C$1*-1))</f>
        <v>465.85779999999994</v>
      </c>
      <c r="D299" s="27">
        <f ca="1">AVERAGE(OFFSET(SPY_Close_Price_PQ[[#This Row],[Close]], 0, 0, $D$1*-1))</f>
        <v>438.46025000000031</v>
      </c>
      <c r="E299" s="28">
        <f t="shared" ca="1" si="4"/>
        <v>0</v>
      </c>
    </row>
    <row r="300" spans="1:5" x14ac:dyDescent="0.4">
      <c r="A300" s="5">
        <v>44567</v>
      </c>
      <c r="B300" s="9">
        <v>467.94</v>
      </c>
      <c r="C300" s="27">
        <f ca="1">AVERAGE(OFFSET(SPY_Close_Price_PQ[[#This Row],[Close]], 0, 0, $C$1*-1))</f>
        <v>466.09739999999982</v>
      </c>
      <c r="D300" s="27">
        <f ca="1">AVERAGE(OFFSET(SPY_Close_Price_PQ[[#This Row],[Close]], 0, 0, $D$1*-1))</f>
        <v>438.86235000000028</v>
      </c>
      <c r="E300" s="28">
        <f t="shared" ca="1" si="4"/>
        <v>0</v>
      </c>
    </row>
    <row r="301" spans="1:5" x14ac:dyDescent="0.4">
      <c r="A301" s="4">
        <v>44568</v>
      </c>
      <c r="B301" s="8">
        <v>466.09</v>
      </c>
      <c r="C301" s="27">
        <f ca="1">AVERAGE(OFFSET(SPY_Close_Price_PQ[[#This Row],[Close]], 0, 0, $C$1*-1))</f>
        <v>466.34039999999993</v>
      </c>
      <c r="D301" s="27">
        <f ca="1">AVERAGE(OFFSET(SPY_Close_Price_PQ[[#This Row],[Close]], 0, 0, $D$1*-1))</f>
        <v>439.24430000000035</v>
      </c>
      <c r="E301" s="28">
        <f t="shared" ca="1" si="4"/>
        <v>0</v>
      </c>
    </row>
    <row r="302" spans="1:5" x14ac:dyDescent="0.4">
      <c r="A302" s="5">
        <v>44571</v>
      </c>
      <c r="B302" s="9">
        <v>465.51</v>
      </c>
      <c r="C302" s="27">
        <f ca="1">AVERAGE(OFFSET(SPY_Close_Price_PQ[[#This Row],[Close]], 0, 0, $C$1*-1))</f>
        <v>466.48419999999993</v>
      </c>
      <c r="D302" s="27">
        <f ca="1">AVERAGE(OFFSET(SPY_Close_Price_PQ[[#This Row],[Close]], 0, 0, $D$1*-1))</f>
        <v>439.59195000000034</v>
      </c>
      <c r="E302" s="28">
        <f t="shared" ca="1" si="4"/>
        <v>0</v>
      </c>
    </row>
    <row r="303" spans="1:5" x14ac:dyDescent="0.4">
      <c r="A303" s="4">
        <v>44572</v>
      </c>
      <c r="B303" s="8">
        <v>469.75</v>
      </c>
      <c r="C303" s="27">
        <f ca="1">AVERAGE(OFFSET(SPY_Close_Price_PQ[[#This Row],[Close]], 0, 0, $C$1*-1))</f>
        <v>466.69419999999985</v>
      </c>
      <c r="D303" s="27">
        <f ca="1">AVERAGE(OFFSET(SPY_Close_Price_PQ[[#This Row],[Close]], 0, 0, $D$1*-1))</f>
        <v>439.96180000000038</v>
      </c>
      <c r="E303" s="28">
        <f t="shared" ca="1" si="4"/>
        <v>0</v>
      </c>
    </row>
    <row r="304" spans="1:5" x14ac:dyDescent="0.4">
      <c r="A304" s="5">
        <v>44573</v>
      </c>
      <c r="B304" s="9">
        <v>471.02</v>
      </c>
      <c r="C304" s="27">
        <f ca="1">AVERAGE(OFFSET(SPY_Close_Price_PQ[[#This Row],[Close]], 0, 0, $C$1*-1))</f>
        <v>466.91379999999992</v>
      </c>
      <c r="D304" s="27">
        <f ca="1">AVERAGE(OFFSET(SPY_Close_Price_PQ[[#This Row],[Close]], 0, 0, $D$1*-1))</f>
        <v>440.34325000000041</v>
      </c>
      <c r="E304" s="28">
        <f t="shared" ca="1" si="4"/>
        <v>0</v>
      </c>
    </row>
    <row r="305" spans="1:5" x14ac:dyDescent="0.4">
      <c r="A305" s="4">
        <v>44574</v>
      </c>
      <c r="B305" s="8">
        <v>464.53</v>
      </c>
      <c r="C305" s="27">
        <f ca="1">AVERAGE(OFFSET(SPY_Close_Price_PQ[[#This Row],[Close]], 0, 0, $C$1*-1))</f>
        <v>466.96639999999991</v>
      </c>
      <c r="D305" s="27">
        <f ca="1">AVERAGE(OFFSET(SPY_Close_Price_PQ[[#This Row],[Close]], 0, 0, $D$1*-1))</f>
        <v>440.68425000000042</v>
      </c>
      <c r="E305" s="28">
        <f t="shared" ca="1" si="4"/>
        <v>0</v>
      </c>
    </row>
    <row r="306" spans="1:5" x14ac:dyDescent="0.4">
      <c r="A306" s="5">
        <v>44575</v>
      </c>
      <c r="B306" s="9">
        <v>464.72</v>
      </c>
      <c r="C306" s="27">
        <f ca="1">AVERAGE(OFFSET(SPY_Close_Price_PQ[[#This Row],[Close]], 0, 0, $C$1*-1))</f>
        <v>466.96639999999991</v>
      </c>
      <c r="D306" s="27">
        <f ca="1">AVERAGE(OFFSET(SPY_Close_Price_PQ[[#This Row],[Close]], 0, 0, $D$1*-1))</f>
        <v>441.00480000000039</v>
      </c>
      <c r="E306" s="28">
        <f t="shared" ca="1" si="4"/>
        <v>0</v>
      </c>
    </row>
    <row r="307" spans="1:5" x14ac:dyDescent="0.4">
      <c r="A307" s="4">
        <v>44579</v>
      </c>
      <c r="B307" s="8">
        <v>456.49</v>
      </c>
      <c r="C307" s="27">
        <f ca="1">AVERAGE(OFFSET(SPY_Close_Price_PQ[[#This Row],[Close]], 0, 0, $C$1*-1))</f>
        <v>466.75800000000004</v>
      </c>
      <c r="D307" s="27">
        <f ca="1">AVERAGE(OFFSET(SPY_Close_Price_PQ[[#This Row],[Close]], 0, 0, $D$1*-1))</f>
        <v>441.25545000000039</v>
      </c>
      <c r="E307" s="28">
        <f t="shared" ca="1" si="4"/>
        <v>0</v>
      </c>
    </row>
    <row r="308" spans="1:5" x14ac:dyDescent="0.4">
      <c r="A308" s="5">
        <v>44580</v>
      </c>
      <c r="B308" s="9">
        <v>451.75</v>
      </c>
      <c r="C308" s="27">
        <f ca="1">AVERAGE(OFFSET(SPY_Close_Price_PQ[[#This Row],[Close]], 0, 0, $C$1*-1))</f>
        <v>466.42240000000004</v>
      </c>
      <c r="D308" s="27">
        <f ca="1">AVERAGE(OFFSET(SPY_Close_Price_PQ[[#This Row],[Close]], 0, 0, $D$1*-1))</f>
        <v>441.48360000000042</v>
      </c>
      <c r="E308" s="28">
        <f t="shared" ca="1" si="4"/>
        <v>0</v>
      </c>
    </row>
    <row r="309" spans="1:5" x14ac:dyDescent="0.4">
      <c r="A309" s="4">
        <v>44581</v>
      </c>
      <c r="B309" s="8">
        <v>446.75</v>
      </c>
      <c r="C309" s="27">
        <f ca="1">AVERAGE(OFFSET(SPY_Close_Price_PQ[[#This Row],[Close]], 0, 0, $C$1*-1))</f>
        <v>465.97880000000004</v>
      </c>
      <c r="D309" s="27">
        <f ca="1">AVERAGE(OFFSET(SPY_Close_Price_PQ[[#This Row],[Close]], 0, 0, $D$1*-1))</f>
        <v>441.68440000000038</v>
      </c>
      <c r="E309" s="28">
        <f t="shared" ca="1" si="4"/>
        <v>0</v>
      </c>
    </row>
    <row r="310" spans="1:5" x14ac:dyDescent="0.4">
      <c r="A310" s="5">
        <v>44582</v>
      </c>
      <c r="B310" s="9">
        <v>437.98</v>
      </c>
      <c r="C310" s="27">
        <f ca="1">AVERAGE(OFFSET(SPY_Close_Price_PQ[[#This Row],[Close]], 0, 0, $C$1*-1))</f>
        <v>465.39080000000001</v>
      </c>
      <c r="D310" s="27">
        <f ca="1">AVERAGE(OFFSET(SPY_Close_Price_PQ[[#This Row],[Close]], 0, 0, $D$1*-1))</f>
        <v>441.83170000000041</v>
      </c>
      <c r="E310" s="28">
        <f t="shared" ca="1" si="4"/>
        <v>0</v>
      </c>
    </row>
    <row r="311" spans="1:5" x14ac:dyDescent="0.4">
      <c r="A311" s="4">
        <v>44585</v>
      </c>
      <c r="B311" s="8">
        <v>439.84</v>
      </c>
      <c r="C311" s="27">
        <f ca="1">AVERAGE(OFFSET(SPY_Close_Price_PQ[[#This Row],[Close]], 0, 0, $C$1*-1))</f>
        <v>464.91520000000003</v>
      </c>
      <c r="D311" s="27">
        <f ca="1">AVERAGE(OFFSET(SPY_Close_Price_PQ[[#This Row],[Close]], 0, 0, $D$1*-1))</f>
        <v>441.97345000000035</v>
      </c>
      <c r="E311" s="28">
        <f t="shared" ca="1" si="4"/>
        <v>0</v>
      </c>
    </row>
    <row r="312" spans="1:5" x14ac:dyDescent="0.4">
      <c r="A312" s="5">
        <v>44586</v>
      </c>
      <c r="B312" s="9">
        <v>434.47</v>
      </c>
      <c r="C312" s="27">
        <f ca="1">AVERAGE(OFFSET(SPY_Close_Price_PQ[[#This Row],[Close]], 0, 0, $C$1*-1))</f>
        <v>464.32920000000007</v>
      </c>
      <c r="D312" s="27">
        <f ca="1">AVERAGE(OFFSET(SPY_Close_Price_PQ[[#This Row],[Close]], 0, 0, $D$1*-1))</f>
        <v>442.08760000000041</v>
      </c>
      <c r="E312" s="28">
        <f t="shared" ca="1" si="4"/>
        <v>0</v>
      </c>
    </row>
    <row r="313" spans="1:5" x14ac:dyDescent="0.4">
      <c r="A313" s="4">
        <v>44587</v>
      </c>
      <c r="B313" s="8">
        <v>433.38</v>
      </c>
      <c r="C313" s="27">
        <f ca="1">AVERAGE(OFFSET(SPY_Close_Price_PQ[[#This Row],[Close]], 0, 0, $C$1*-1))</f>
        <v>463.65140000000008</v>
      </c>
      <c r="D313" s="27">
        <f ca="1">AVERAGE(OFFSET(SPY_Close_Price_PQ[[#This Row],[Close]], 0, 0, $D$1*-1))</f>
        <v>442.1902000000004</v>
      </c>
      <c r="E313" s="28">
        <f t="shared" ca="1" si="4"/>
        <v>0</v>
      </c>
    </row>
    <row r="314" spans="1:5" x14ac:dyDescent="0.4">
      <c r="A314" s="5">
        <v>44588</v>
      </c>
      <c r="B314" s="9">
        <v>431.24</v>
      </c>
      <c r="C314" s="27">
        <f ca="1">AVERAGE(OFFSET(SPY_Close_Price_PQ[[#This Row],[Close]], 0, 0, $C$1*-1))</f>
        <v>462.9276000000001</v>
      </c>
      <c r="D314" s="27">
        <f ca="1">AVERAGE(OFFSET(SPY_Close_Price_PQ[[#This Row],[Close]], 0, 0, $D$1*-1))</f>
        <v>442.28915000000046</v>
      </c>
      <c r="E314" s="28">
        <f t="shared" ca="1" si="4"/>
        <v>0</v>
      </c>
    </row>
    <row r="315" spans="1:5" x14ac:dyDescent="0.4">
      <c r="A315" s="4">
        <v>44589</v>
      </c>
      <c r="B315" s="8">
        <v>441.95</v>
      </c>
      <c r="C315" s="27">
        <f ca="1">AVERAGE(OFFSET(SPY_Close_Price_PQ[[#This Row],[Close]], 0, 0, $C$1*-1))</f>
        <v>462.38100000000009</v>
      </c>
      <c r="D315" s="27">
        <f ca="1">AVERAGE(OFFSET(SPY_Close_Price_PQ[[#This Row],[Close]], 0, 0, $D$1*-1))</f>
        <v>442.41955000000036</v>
      </c>
      <c r="E315" s="28">
        <f t="shared" ca="1" si="4"/>
        <v>0</v>
      </c>
    </row>
    <row r="316" spans="1:5" x14ac:dyDescent="0.4">
      <c r="A316" s="5">
        <v>44592</v>
      </c>
      <c r="B316" s="9">
        <v>449.91</v>
      </c>
      <c r="C316" s="27">
        <f ca="1">AVERAGE(OFFSET(SPY_Close_Price_PQ[[#This Row],[Close]], 0, 0, $C$1*-1))</f>
        <v>462.01640000000009</v>
      </c>
      <c r="D316" s="27">
        <f ca="1">AVERAGE(OFFSET(SPY_Close_Price_PQ[[#This Row],[Close]], 0, 0, $D$1*-1))</f>
        <v>442.58280000000042</v>
      </c>
      <c r="E316" s="28">
        <f t="shared" ca="1" si="4"/>
        <v>0</v>
      </c>
    </row>
    <row r="317" spans="1:5" x14ac:dyDescent="0.4">
      <c r="A317" s="4">
        <v>44593</v>
      </c>
      <c r="B317" s="8">
        <v>452.95</v>
      </c>
      <c r="C317" s="27">
        <f ca="1">AVERAGE(OFFSET(SPY_Close_Price_PQ[[#This Row],[Close]], 0, 0, $C$1*-1))</f>
        <v>461.68080000000009</v>
      </c>
      <c r="D317" s="27">
        <f ca="1">AVERAGE(OFFSET(SPY_Close_Price_PQ[[#This Row],[Close]], 0, 0, $D$1*-1))</f>
        <v>442.77150000000046</v>
      </c>
      <c r="E317" s="28">
        <f t="shared" ca="1" si="4"/>
        <v>0</v>
      </c>
    </row>
    <row r="318" spans="1:5" x14ac:dyDescent="0.4">
      <c r="A318" s="5">
        <v>44594</v>
      </c>
      <c r="B318" s="9">
        <v>457.35</v>
      </c>
      <c r="C318" s="27">
        <f ca="1">AVERAGE(OFFSET(SPY_Close_Price_PQ[[#This Row],[Close]], 0, 0, $C$1*-1))</f>
        <v>461.45000000000005</v>
      </c>
      <c r="D318" s="27">
        <f ca="1">AVERAGE(OFFSET(SPY_Close_Price_PQ[[#This Row],[Close]], 0, 0, $D$1*-1))</f>
        <v>442.99740000000043</v>
      </c>
      <c r="E318" s="28">
        <f t="shared" ca="1" si="4"/>
        <v>0</v>
      </c>
    </row>
    <row r="319" spans="1:5" x14ac:dyDescent="0.4">
      <c r="A319" s="4">
        <v>44595</v>
      </c>
      <c r="B319" s="8">
        <v>446.6</v>
      </c>
      <c r="C319" s="27">
        <f ca="1">AVERAGE(OFFSET(SPY_Close_Price_PQ[[#This Row],[Close]], 0, 0, $C$1*-1))</f>
        <v>461.03060000000005</v>
      </c>
      <c r="D319" s="27">
        <f ca="1">AVERAGE(OFFSET(SPY_Close_Price_PQ[[#This Row],[Close]], 0, 0, $D$1*-1))</f>
        <v>443.15005000000048</v>
      </c>
      <c r="E319" s="28">
        <f t="shared" ca="1" si="4"/>
        <v>0</v>
      </c>
    </row>
    <row r="320" spans="1:5" x14ac:dyDescent="0.4">
      <c r="A320" s="5">
        <v>44596</v>
      </c>
      <c r="B320" s="9">
        <v>448.7</v>
      </c>
      <c r="C320" s="27">
        <f ca="1">AVERAGE(OFFSET(SPY_Close_Price_PQ[[#This Row],[Close]], 0, 0, $C$1*-1))</f>
        <v>460.64080000000007</v>
      </c>
      <c r="D320" s="27">
        <f ca="1">AVERAGE(OFFSET(SPY_Close_Price_PQ[[#This Row],[Close]], 0, 0, $D$1*-1))</f>
        <v>443.33220000000046</v>
      </c>
      <c r="E320" s="28">
        <f t="shared" ca="1" si="4"/>
        <v>0</v>
      </c>
    </row>
    <row r="321" spans="1:5" x14ac:dyDescent="0.4">
      <c r="A321" s="4">
        <v>44599</v>
      </c>
      <c r="B321" s="8">
        <v>447.26</v>
      </c>
      <c r="C321" s="27">
        <f ca="1">AVERAGE(OFFSET(SPY_Close_Price_PQ[[#This Row],[Close]], 0, 0, $C$1*-1))</f>
        <v>460.19720000000001</v>
      </c>
      <c r="D321" s="27">
        <f ca="1">AVERAGE(OFFSET(SPY_Close_Price_PQ[[#This Row],[Close]], 0, 0, $D$1*-1))</f>
        <v>443.4848000000004</v>
      </c>
      <c r="E321" s="28">
        <f t="shared" ca="1" si="4"/>
        <v>0</v>
      </c>
    </row>
    <row r="322" spans="1:5" x14ac:dyDescent="0.4">
      <c r="A322" s="5">
        <v>44600</v>
      </c>
      <c r="B322" s="9">
        <v>450.94</v>
      </c>
      <c r="C322" s="27">
        <f ca="1">AVERAGE(OFFSET(SPY_Close_Price_PQ[[#This Row],[Close]], 0, 0, $C$1*-1))</f>
        <v>460.03659999999996</v>
      </c>
      <c r="D322" s="27">
        <f ca="1">AVERAGE(OFFSET(SPY_Close_Price_PQ[[#This Row],[Close]], 0, 0, $D$1*-1))</f>
        <v>443.65145000000041</v>
      </c>
      <c r="E322" s="28">
        <f t="shared" ca="1" si="4"/>
        <v>0</v>
      </c>
    </row>
    <row r="323" spans="1:5" x14ac:dyDescent="0.4">
      <c r="A323" s="4">
        <v>44601</v>
      </c>
      <c r="B323" s="8">
        <v>457.54</v>
      </c>
      <c r="C323" s="27">
        <f ca="1">AVERAGE(OFFSET(SPY_Close_Price_PQ[[#This Row],[Close]], 0, 0, $C$1*-1))</f>
        <v>459.89539999999994</v>
      </c>
      <c r="D323" s="27">
        <f ca="1">AVERAGE(OFFSET(SPY_Close_Price_PQ[[#This Row],[Close]], 0, 0, $D$1*-1))</f>
        <v>443.85155000000037</v>
      </c>
      <c r="E323" s="28">
        <f t="shared" ca="1" si="4"/>
        <v>0</v>
      </c>
    </row>
    <row r="324" spans="1:5" x14ac:dyDescent="0.4">
      <c r="A324" s="5">
        <v>44602</v>
      </c>
      <c r="B324" s="9">
        <v>449.32</v>
      </c>
      <c r="C324" s="27">
        <f ca="1">AVERAGE(OFFSET(SPY_Close_Price_PQ[[#This Row],[Close]], 0, 0, $C$1*-1))</f>
        <v>459.7706</v>
      </c>
      <c r="D324" s="27">
        <f ca="1">AVERAGE(OFFSET(SPY_Close_Price_PQ[[#This Row],[Close]], 0, 0, $D$1*-1))</f>
        <v>444.01115000000044</v>
      </c>
      <c r="E324" s="28">
        <f t="shared" ref="E324:E387" ca="1" si="5">IF(AND(C323&lt;D323,C324&gt;D324),1,0)</f>
        <v>0</v>
      </c>
    </row>
    <row r="325" spans="1:5" x14ac:dyDescent="0.4">
      <c r="A325" s="4">
        <v>44603</v>
      </c>
      <c r="B325" s="8">
        <v>440.46</v>
      </c>
      <c r="C325" s="27">
        <f ca="1">AVERAGE(OFFSET(SPY_Close_Price_PQ[[#This Row],[Close]], 0, 0, $C$1*-1))</f>
        <v>459.56979999999999</v>
      </c>
      <c r="D325" s="27">
        <f ca="1">AVERAGE(OFFSET(SPY_Close_Price_PQ[[#This Row],[Close]], 0, 0, $D$1*-1))</f>
        <v>444.11315000000036</v>
      </c>
      <c r="E325" s="28">
        <f t="shared" ca="1" si="5"/>
        <v>0</v>
      </c>
    </row>
    <row r="326" spans="1:5" x14ac:dyDescent="0.4">
      <c r="A326" s="5">
        <v>44606</v>
      </c>
      <c r="B326" s="9">
        <v>439.02</v>
      </c>
      <c r="C326" s="27">
        <f ca="1">AVERAGE(OFFSET(SPY_Close_Price_PQ[[#This Row],[Close]], 0, 0, $C$1*-1))</f>
        <v>459.20219999999995</v>
      </c>
      <c r="D326" s="27">
        <f ca="1">AVERAGE(OFFSET(SPY_Close_Price_PQ[[#This Row],[Close]], 0, 0, $D$1*-1))</f>
        <v>444.22175000000044</v>
      </c>
      <c r="E326" s="28">
        <f t="shared" ca="1" si="5"/>
        <v>0</v>
      </c>
    </row>
    <row r="327" spans="1:5" x14ac:dyDescent="0.4">
      <c r="A327" s="4">
        <v>44607</v>
      </c>
      <c r="B327" s="8">
        <v>446.1</v>
      </c>
      <c r="C327" s="27">
        <f ca="1">AVERAGE(OFFSET(SPY_Close_Price_PQ[[#This Row],[Close]], 0, 0, $C$1*-1))</f>
        <v>459.05579999999986</v>
      </c>
      <c r="D327" s="27">
        <f ca="1">AVERAGE(OFFSET(SPY_Close_Price_PQ[[#This Row],[Close]], 0, 0, $D$1*-1))</f>
        <v>444.3612500000005</v>
      </c>
      <c r="E327" s="28">
        <f t="shared" ca="1" si="5"/>
        <v>0</v>
      </c>
    </row>
    <row r="328" spans="1:5" x14ac:dyDescent="0.4">
      <c r="A328" s="5">
        <v>44608</v>
      </c>
      <c r="B328" s="9">
        <v>446.6</v>
      </c>
      <c r="C328" s="27">
        <f ca="1">AVERAGE(OFFSET(SPY_Close_Price_PQ[[#This Row],[Close]], 0, 0, $C$1*-1))</f>
        <v>458.81199999999984</v>
      </c>
      <c r="D328" s="27">
        <f ca="1">AVERAGE(OFFSET(SPY_Close_Price_PQ[[#This Row],[Close]], 0, 0, $D$1*-1))</f>
        <v>444.51615000000055</v>
      </c>
      <c r="E328" s="28">
        <f t="shared" ca="1" si="5"/>
        <v>0</v>
      </c>
    </row>
    <row r="329" spans="1:5" x14ac:dyDescent="0.4">
      <c r="A329" s="4">
        <v>44609</v>
      </c>
      <c r="B329" s="8">
        <v>437.06</v>
      </c>
      <c r="C329" s="27">
        <f ca="1">AVERAGE(OFFSET(SPY_Close_Price_PQ[[#This Row],[Close]], 0, 0, $C$1*-1))</f>
        <v>458.1875999999998</v>
      </c>
      <c r="D329" s="27">
        <f ca="1">AVERAGE(OFFSET(SPY_Close_Price_PQ[[#This Row],[Close]], 0, 0, $D$1*-1))</f>
        <v>444.62270000000046</v>
      </c>
      <c r="E329" s="28">
        <f t="shared" ca="1" si="5"/>
        <v>0</v>
      </c>
    </row>
    <row r="330" spans="1:5" x14ac:dyDescent="0.4">
      <c r="A330" s="5">
        <v>44610</v>
      </c>
      <c r="B330" s="9">
        <v>434.23</v>
      </c>
      <c r="C330" s="27">
        <f ca="1">AVERAGE(OFFSET(SPY_Close_Price_PQ[[#This Row],[Close]], 0, 0, $C$1*-1))</f>
        <v>457.48179999999985</v>
      </c>
      <c r="D330" s="27">
        <f ca="1">AVERAGE(OFFSET(SPY_Close_Price_PQ[[#This Row],[Close]], 0, 0, $D$1*-1))</f>
        <v>444.69850000000059</v>
      </c>
      <c r="E330" s="28">
        <f t="shared" ca="1" si="5"/>
        <v>0</v>
      </c>
    </row>
    <row r="331" spans="1:5" x14ac:dyDescent="0.4">
      <c r="A331" s="4">
        <v>44614</v>
      </c>
      <c r="B331" s="8">
        <v>429.57</v>
      </c>
      <c r="C331" s="27">
        <f ca="1">AVERAGE(OFFSET(SPY_Close_Price_PQ[[#This Row],[Close]], 0, 0, $C$1*-1))</f>
        <v>456.74619999999987</v>
      </c>
      <c r="D331" s="27">
        <f ca="1">AVERAGE(OFFSET(SPY_Close_Price_PQ[[#This Row],[Close]], 0, 0, $D$1*-1))</f>
        <v>444.73575000000051</v>
      </c>
      <c r="E331" s="28">
        <f t="shared" ca="1" si="5"/>
        <v>0</v>
      </c>
    </row>
    <row r="332" spans="1:5" x14ac:dyDescent="0.4">
      <c r="A332" s="5">
        <v>44615</v>
      </c>
      <c r="B332" s="9">
        <v>421.95</v>
      </c>
      <c r="C332" s="27">
        <f ca="1">AVERAGE(OFFSET(SPY_Close_Price_PQ[[#This Row],[Close]], 0, 0, $C$1*-1))</f>
        <v>455.77039999999994</v>
      </c>
      <c r="D332" s="27">
        <f ca="1">AVERAGE(OFFSET(SPY_Close_Price_PQ[[#This Row],[Close]], 0, 0, $D$1*-1))</f>
        <v>444.75580000000048</v>
      </c>
      <c r="E332" s="28">
        <f t="shared" ca="1" si="5"/>
        <v>0</v>
      </c>
    </row>
    <row r="333" spans="1:5" x14ac:dyDescent="0.4">
      <c r="A333" s="4">
        <v>44616</v>
      </c>
      <c r="B333" s="8">
        <v>428.3</v>
      </c>
      <c r="C333" s="27">
        <f ca="1">AVERAGE(OFFSET(SPY_Close_Price_PQ[[#This Row],[Close]], 0, 0, $C$1*-1))</f>
        <v>455.00499999999988</v>
      </c>
      <c r="D333" s="27">
        <f ca="1">AVERAGE(OFFSET(SPY_Close_Price_PQ[[#This Row],[Close]], 0, 0, $D$1*-1))</f>
        <v>444.82625000000041</v>
      </c>
      <c r="E333" s="28">
        <f t="shared" ca="1" si="5"/>
        <v>0</v>
      </c>
    </row>
    <row r="334" spans="1:5" x14ac:dyDescent="0.4">
      <c r="A334" s="5">
        <v>44617</v>
      </c>
      <c r="B334" s="9">
        <v>437.75</v>
      </c>
      <c r="C334" s="27">
        <f ca="1">AVERAGE(OFFSET(SPY_Close_Price_PQ[[#This Row],[Close]], 0, 0, $C$1*-1))</f>
        <v>454.49279999999993</v>
      </c>
      <c r="D334" s="27">
        <f ca="1">AVERAGE(OFFSET(SPY_Close_Price_PQ[[#This Row],[Close]], 0, 0, $D$1*-1))</f>
        <v>444.98795000000035</v>
      </c>
      <c r="E334" s="28">
        <f t="shared" ca="1" si="5"/>
        <v>0</v>
      </c>
    </row>
    <row r="335" spans="1:5" x14ac:dyDescent="0.4">
      <c r="A335" s="4">
        <v>44620</v>
      </c>
      <c r="B335" s="8">
        <v>436.63</v>
      </c>
      <c r="C335" s="27">
        <f ca="1">AVERAGE(OFFSET(SPY_Close_Price_PQ[[#This Row],[Close]], 0, 0, $C$1*-1))</f>
        <v>453.81339999999994</v>
      </c>
      <c r="D335" s="27">
        <f ca="1">AVERAGE(OFFSET(SPY_Close_Price_PQ[[#This Row],[Close]], 0, 0, $D$1*-1))</f>
        <v>445.11970000000036</v>
      </c>
      <c r="E335" s="28">
        <f t="shared" ca="1" si="5"/>
        <v>0</v>
      </c>
    </row>
    <row r="336" spans="1:5" x14ac:dyDescent="0.4">
      <c r="A336" s="5">
        <v>44621</v>
      </c>
      <c r="B336" s="9">
        <v>429.98</v>
      </c>
      <c r="C336" s="27">
        <f ca="1">AVERAGE(OFFSET(SPY_Close_Price_PQ[[#This Row],[Close]], 0, 0, $C$1*-1))</f>
        <v>453.084</v>
      </c>
      <c r="D336" s="27">
        <f ca="1">AVERAGE(OFFSET(SPY_Close_Price_PQ[[#This Row],[Close]], 0, 0, $D$1*-1))</f>
        <v>445.18670000000037</v>
      </c>
      <c r="E336" s="28">
        <f t="shared" ca="1" si="5"/>
        <v>0</v>
      </c>
    </row>
    <row r="337" spans="1:5" x14ac:dyDescent="0.4">
      <c r="A337" s="4">
        <v>44622</v>
      </c>
      <c r="B337" s="8">
        <v>437.89</v>
      </c>
      <c r="C337" s="27">
        <f ca="1">AVERAGE(OFFSET(SPY_Close_Price_PQ[[#This Row],[Close]], 0, 0, $C$1*-1))</f>
        <v>452.64439999999996</v>
      </c>
      <c r="D337" s="27">
        <f ca="1">AVERAGE(OFFSET(SPY_Close_Price_PQ[[#This Row],[Close]], 0, 0, $D$1*-1))</f>
        <v>445.29855000000032</v>
      </c>
      <c r="E337" s="28">
        <f t="shared" ca="1" si="5"/>
        <v>0</v>
      </c>
    </row>
    <row r="338" spans="1:5" x14ac:dyDescent="0.4">
      <c r="A338" s="5">
        <v>44623</v>
      </c>
      <c r="B338" s="9">
        <v>435.71</v>
      </c>
      <c r="C338" s="27">
        <f ca="1">AVERAGE(OFFSET(SPY_Close_Price_PQ[[#This Row],[Close]], 0, 0, $C$1*-1))</f>
        <v>452.25900000000001</v>
      </c>
      <c r="D338" s="27">
        <f ca="1">AVERAGE(OFFSET(SPY_Close_Price_PQ[[#This Row],[Close]], 0, 0, $D$1*-1))</f>
        <v>445.41740000000033</v>
      </c>
      <c r="E338" s="28">
        <f t="shared" ca="1" si="5"/>
        <v>0</v>
      </c>
    </row>
    <row r="339" spans="1:5" x14ac:dyDescent="0.4">
      <c r="A339" s="4">
        <v>44624</v>
      </c>
      <c r="B339" s="8">
        <v>432.17</v>
      </c>
      <c r="C339" s="27">
        <f ca="1">AVERAGE(OFFSET(SPY_Close_Price_PQ[[#This Row],[Close]], 0, 0, $C$1*-1))</f>
        <v>451.64119999999997</v>
      </c>
      <c r="D339" s="27">
        <f ca="1">AVERAGE(OFFSET(SPY_Close_Price_PQ[[#This Row],[Close]], 0, 0, $D$1*-1))</f>
        <v>445.52395000000035</v>
      </c>
      <c r="E339" s="28">
        <f t="shared" ca="1" si="5"/>
        <v>0</v>
      </c>
    </row>
    <row r="340" spans="1:5" x14ac:dyDescent="0.4">
      <c r="A340" s="5">
        <v>44627</v>
      </c>
      <c r="B340" s="9">
        <v>419.43</v>
      </c>
      <c r="C340" s="27">
        <f ca="1">AVERAGE(OFFSET(SPY_Close_Price_PQ[[#This Row],[Close]], 0, 0, $C$1*-1))</f>
        <v>450.67599999999993</v>
      </c>
      <c r="D340" s="27">
        <f ca="1">AVERAGE(OFFSET(SPY_Close_Price_PQ[[#This Row],[Close]], 0, 0, $D$1*-1))</f>
        <v>445.54470000000032</v>
      </c>
      <c r="E340" s="28">
        <f t="shared" ca="1" si="5"/>
        <v>0</v>
      </c>
    </row>
    <row r="341" spans="1:5" x14ac:dyDescent="0.4">
      <c r="A341" s="4">
        <v>44628</v>
      </c>
      <c r="B341" s="8">
        <v>416.25</v>
      </c>
      <c r="C341" s="27">
        <f ca="1">AVERAGE(OFFSET(SPY_Close_Price_PQ[[#This Row],[Close]], 0, 0, $C$1*-1))</f>
        <v>449.58899999999994</v>
      </c>
      <c r="D341" s="27">
        <f ca="1">AVERAGE(OFFSET(SPY_Close_Price_PQ[[#This Row],[Close]], 0, 0, $D$1*-1))</f>
        <v>445.55125000000038</v>
      </c>
      <c r="E341" s="28">
        <f t="shared" ca="1" si="5"/>
        <v>0</v>
      </c>
    </row>
    <row r="342" spans="1:5" x14ac:dyDescent="0.4">
      <c r="A342" s="5">
        <v>44629</v>
      </c>
      <c r="B342" s="9">
        <v>427.41</v>
      </c>
      <c r="C342" s="27">
        <f ca="1">AVERAGE(OFFSET(SPY_Close_Price_PQ[[#This Row],[Close]], 0, 0, $C$1*-1))</f>
        <v>448.59199999999998</v>
      </c>
      <c r="D342" s="27">
        <f ca="1">AVERAGE(OFFSET(SPY_Close_Price_PQ[[#This Row],[Close]], 0, 0, $D$1*-1))</f>
        <v>445.59245000000027</v>
      </c>
      <c r="E342" s="28">
        <f t="shared" ca="1" si="5"/>
        <v>0</v>
      </c>
    </row>
    <row r="343" spans="1:5" x14ac:dyDescent="0.4">
      <c r="A343" s="4">
        <v>44630</v>
      </c>
      <c r="B343" s="8">
        <v>425.48</v>
      </c>
      <c r="C343" s="27">
        <f ca="1">AVERAGE(OFFSET(SPY_Close_Price_PQ[[#This Row],[Close]], 0, 0, $C$1*-1))</f>
        <v>447.56419999999997</v>
      </c>
      <c r="D343" s="27">
        <f ca="1">AVERAGE(OFFSET(SPY_Close_Price_PQ[[#This Row],[Close]], 0, 0, $D$1*-1))</f>
        <v>445.62865000000028</v>
      </c>
      <c r="E343" s="28">
        <f t="shared" ca="1" si="5"/>
        <v>0</v>
      </c>
    </row>
    <row r="344" spans="1:5" x14ac:dyDescent="0.4">
      <c r="A344" s="5">
        <v>44631</v>
      </c>
      <c r="B344" s="9">
        <v>420.07</v>
      </c>
      <c r="C344" s="27">
        <f ca="1">AVERAGE(OFFSET(SPY_Close_Price_PQ[[#This Row],[Close]], 0, 0, $C$1*-1))</f>
        <v>446.416</v>
      </c>
      <c r="D344" s="27">
        <f ca="1">AVERAGE(OFFSET(SPY_Close_Price_PQ[[#This Row],[Close]], 0, 0, $D$1*-1))</f>
        <v>445.63365000000027</v>
      </c>
      <c r="E344" s="28">
        <f t="shared" ca="1" si="5"/>
        <v>0</v>
      </c>
    </row>
    <row r="345" spans="1:5" x14ac:dyDescent="0.4">
      <c r="A345" s="4">
        <v>44634</v>
      </c>
      <c r="B345" s="8">
        <v>417</v>
      </c>
      <c r="C345" s="27">
        <f ca="1">AVERAGE(OFFSET(SPY_Close_Price_PQ[[#This Row],[Close]], 0, 0, $C$1*-1))</f>
        <v>445.2328</v>
      </c>
      <c r="D345" s="27">
        <f ca="1">AVERAGE(OFFSET(SPY_Close_Price_PQ[[#This Row],[Close]], 0, 0, $D$1*-1))</f>
        <v>445.6222000000003</v>
      </c>
      <c r="E345" s="28">
        <f t="shared" ca="1" si="5"/>
        <v>0</v>
      </c>
    </row>
    <row r="346" spans="1:5" x14ac:dyDescent="0.4">
      <c r="A346" s="5">
        <v>44635</v>
      </c>
      <c r="B346" s="9">
        <v>426.17</v>
      </c>
      <c r="C346" s="27">
        <f ca="1">AVERAGE(OFFSET(SPY_Close_Price_PQ[[#This Row],[Close]], 0, 0, $C$1*-1))</f>
        <v>444.25699999999995</v>
      </c>
      <c r="D346" s="27">
        <f ca="1">AVERAGE(OFFSET(SPY_Close_Price_PQ[[#This Row],[Close]], 0, 0, $D$1*-1))</f>
        <v>445.6528500000004</v>
      </c>
      <c r="E346" s="28">
        <f t="shared" ca="1" si="5"/>
        <v>0</v>
      </c>
    </row>
    <row r="347" spans="1:5" x14ac:dyDescent="0.4">
      <c r="A347" s="4">
        <v>44636</v>
      </c>
      <c r="B347" s="8">
        <v>435.62</v>
      </c>
      <c r="C347" s="27">
        <f ca="1">AVERAGE(OFFSET(SPY_Close_Price_PQ[[#This Row],[Close]], 0, 0, $C$1*-1))</f>
        <v>443.41519999999997</v>
      </c>
      <c r="D347" s="27">
        <f ca="1">AVERAGE(OFFSET(SPY_Close_Price_PQ[[#This Row],[Close]], 0, 0, $D$1*-1))</f>
        <v>445.73260000000033</v>
      </c>
      <c r="E347" s="28">
        <f t="shared" ca="1" si="5"/>
        <v>0</v>
      </c>
    </row>
    <row r="348" spans="1:5" x14ac:dyDescent="0.4">
      <c r="A348" s="5">
        <v>44637</v>
      </c>
      <c r="B348" s="9">
        <v>441.07</v>
      </c>
      <c r="C348" s="27">
        <f ca="1">AVERAGE(OFFSET(SPY_Close_Price_PQ[[#This Row],[Close]], 0, 0, $C$1*-1))</f>
        <v>442.68559999999991</v>
      </c>
      <c r="D348" s="27">
        <f ca="1">AVERAGE(OFFSET(SPY_Close_Price_PQ[[#This Row],[Close]], 0, 0, $D$1*-1))</f>
        <v>445.83630000000039</v>
      </c>
      <c r="E348" s="28">
        <f t="shared" ca="1" si="5"/>
        <v>0</v>
      </c>
    </row>
    <row r="349" spans="1:5" x14ac:dyDescent="0.4">
      <c r="A349" s="4">
        <v>44638</v>
      </c>
      <c r="B349" s="8">
        <v>444.52</v>
      </c>
      <c r="C349" s="27">
        <f ca="1">AVERAGE(OFFSET(SPY_Close_Price_PQ[[#This Row],[Close]], 0, 0, $C$1*-1))</f>
        <v>442.20839999999987</v>
      </c>
      <c r="D349" s="27">
        <f ca="1">AVERAGE(OFFSET(SPY_Close_Price_PQ[[#This Row],[Close]], 0, 0, $D$1*-1))</f>
        <v>445.96505000000042</v>
      </c>
      <c r="E349" s="28">
        <f t="shared" ca="1" si="5"/>
        <v>0</v>
      </c>
    </row>
    <row r="350" spans="1:5" x14ac:dyDescent="0.4">
      <c r="A350" s="5">
        <v>44641</v>
      </c>
      <c r="B350" s="9">
        <v>444.39</v>
      </c>
      <c r="C350" s="27">
        <f ca="1">AVERAGE(OFFSET(SPY_Close_Price_PQ[[#This Row],[Close]], 0, 0, $C$1*-1))</f>
        <v>441.73739999999992</v>
      </c>
      <c r="D350" s="27">
        <f ca="1">AVERAGE(OFFSET(SPY_Close_Price_PQ[[#This Row],[Close]], 0, 0, $D$1*-1))</f>
        <v>446.07400000000035</v>
      </c>
      <c r="E350" s="28">
        <f t="shared" ca="1" si="5"/>
        <v>0</v>
      </c>
    </row>
    <row r="351" spans="1:5" x14ac:dyDescent="0.4">
      <c r="A351" s="4">
        <v>44642</v>
      </c>
      <c r="B351" s="8">
        <v>449.59</v>
      </c>
      <c r="C351" s="27">
        <f ca="1">AVERAGE(OFFSET(SPY_Close_Price_PQ[[#This Row],[Close]], 0, 0, $C$1*-1))</f>
        <v>441.40739999999988</v>
      </c>
      <c r="D351" s="27">
        <f ca="1">AVERAGE(OFFSET(SPY_Close_Price_PQ[[#This Row],[Close]], 0, 0, $D$1*-1))</f>
        <v>446.21100000000035</v>
      </c>
      <c r="E351" s="28">
        <f t="shared" ca="1" si="5"/>
        <v>0</v>
      </c>
    </row>
    <row r="352" spans="1:5" x14ac:dyDescent="0.4">
      <c r="A352" s="5">
        <v>44643</v>
      </c>
      <c r="B352" s="9">
        <v>443.8</v>
      </c>
      <c r="C352" s="27">
        <f ca="1">AVERAGE(OFFSET(SPY_Close_Price_PQ[[#This Row],[Close]], 0, 0, $C$1*-1))</f>
        <v>440.97319999999985</v>
      </c>
      <c r="D352" s="27">
        <f ca="1">AVERAGE(OFFSET(SPY_Close_Price_PQ[[#This Row],[Close]], 0, 0, $D$1*-1))</f>
        <v>446.31860000000034</v>
      </c>
      <c r="E352" s="28">
        <f t="shared" ca="1" si="5"/>
        <v>0</v>
      </c>
    </row>
    <row r="353" spans="1:5" x14ac:dyDescent="0.4">
      <c r="A353" s="4">
        <v>44644</v>
      </c>
      <c r="B353" s="8">
        <v>450.49</v>
      </c>
      <c r="C353" s="27">
        <f ca="1">AVERAGE(OFFSET(SPY_Close_Price_PQ[[#This Row],[Close]], 0, 0, $C$1*-1))</f>
        <v>440.58799999999991</v>
      </c>
      <c r="D353" s="27">
        <f ca="1">AVERAGE(OFFSET(SPY_Close_Price_PQ[[#This Row],[Close]], 0, 0, $D$1*-1))</f>
        <v>446.46280000000036</v>
      </c>
      <c r="E353" s="28">
        <f t="shared" ca="1" si="5"/>
        <v>0</v>
      </c>
    </row>
    <row r="354" spans="1:5" x14ac:dyDescent="0.4">
      <c r="A354" s="5">
        <v>44645</v>
      </c>
      <c r="B354" s="9">
        <v>452.69</v>
      </c>
      <c r="C354" s="27">
        <f ca="1">AVERAGE(OFFSET(SPY_Close_Price_PQ[[#This Row],[Close]], 0, 0, $C$1*-1))</f>
        <v>440.22139999999985</v>
      </c>
      <c r="D354" s="27">
        <f ca="1">AVERAGE(OFFSET(SPY_Close_Price_PQ[[#This Row],[Close]], 0, 0, $D$1*-1))</f>
        <v>446.60820000000035</v>
      </c>
      <c r="E354" s="28">
        <f t="shared" ca="1" si="5"/>
        <v>0</v>
      </c>
    </row>
    <row r="355" spans="1:5" x14ac:dyDescent="0.4">
      <c r="A355" s="4">
        <v>44648</v>
      </c>
      <c r="B355" s="8">
        <v>455.91</v>
      </c>
      <c r="C355" s="27">
        <f ca="1">AVERAGE(OFFSET(SPY_Close_Price_PQ[[#This Row],[Close]], 0, 0, $C$1*-1))</f>
        <v>440.04899999999986</v>
      </c>
      <c r="D355" s="27">
        <f ca="1">AVERAGE(OFFSET(SPY_Close_Price_PQ[[#This Row],[Close]], 0, 0, $D$1*-1))</f>
        <v>446.76620000000037</v>
      </c>
      <c r="E355" s="28">
        <f t="shared" ca="1" si="5"/>
        <v>0</v>
      </c>
    </row>
    <row r="356" spans="1:5" x14ac:dyDescent="0.4">
      <c r="A356" s="5">
        <v>44649</v>
      </c>
      <c r="B356" s="9">
        <v>461.55</v>
      </c>
      <c r="C356" s="27">
        <f ca="1">AVERAGE(OFFSET(SPY_Close_Price_PQ[[#This Row],[Close]], 0, 0, $C$1*-1))</f>
        <v>439.98559999999981</v>
      </c>
      <c r="D356" s="27">
        <f ca="1">AVERAGE(OFFSET(SPY_Close_Price_PQ[[#This Row],[Close]], 0, 0, $D$1*-1))</f>
        <v>446.94765000000041</v>
      </c>
      <c r="E356" s="28">
        <f t="shared" ca="1" si="5"/>
        <v>0</v>
      </c>
    </row>
    <row r="357" spans="1:5" x14ac:dyDescent="0.4">
      <c r="A357" s="4">
        <v>44650</v>
      </c>
      <c r="B357" s="8">
        <v>458.7</v>
      </c>
      <c r="C357" s="27">
        <f ca="1">AVERAGE(OFFSET(SPY_Close_Price_PQ[[#This Row],[Close]], 0, 0, $C$1*-1))</f>
        <v>440.02979999999991</v>
      </c>
      <c r="D357" s="27">
        <f ca="1">AVERAGE(OFFSET(SPY_Close_Price_PQ[[#This Row],[Close]], 0, 0, $D$1*-1))</f>
        <v>447.11875000000043</v>
      </c>
      <c r="E357" s="28">
        <f t="shared" ca="1" si="5"/>
        <v>0</v>
      </c>
    </row>
    <row r="358" spans="1:5" x14ac:dyDescent="0.4">
      <c r="A358" s="5">
        <v>44651</v>
      </c>
      <c r="B358" s="9">
        <v>451.64</v>
      </c>
      <c r="C358" s="27">
        <f ca="1">AVERAGE(OFFSET(SPY_Close_Price_PQ[[#This Row],[Close]], 0, 0, $C$1*-1))</f>
        <v>440.02759999999989</v>
      </c>
      <c r="D358" s="27">
        <f ca="1">AVERAGE(OFFSET(SPY_Close_Price_PQ[[#This Row],[Close]], 0, 0, $D$1*-1))</f>
        <v>447.26640000000037</v>
      </c>
      <c r="E358" s="28">
        <f t="shared" ca="1" si="5"/>
        <v>0</v>
      </c>
    </row>
    <row r="359" spans="1:5" x14ac:dyDescent="0.4">
      <c r="A359" s="4">
        <v>44652</v>
      </c>
      <c r="B359" s="8">
        <v>452.92</v>
      </c>
      <c r="C359" s="27">
        <f ca="1">AVERAGE(OFFSET(SPY_Close_Price_PQ[[#This Row],[Close]], 0, 0, $C$1*-1))</f>
        <v>440.15099999999984</v>
      </c>
      <c r="D359" s="27">
        <f ca="1">AVERAGE(OFFSET(SPY_Close_Price_PQ[[#This Row],[Close]], 0, 0, $D$1*-1))</f>
        <v>447.42115000000041</v>
      </c>
      <c r="E359" s="28">
        <f t="shared" ca="1" si="5"/>
        <v>0</v>
      </c>
    </row>
    <row r="360" spans="1:5" x14ac:dyDescent="0.4">
      <c r="A360" s="5">
        <v>44655</v>
      </c>
      <c r="B360" s="9">
        <v>456.8</v>
      </c>
      <c r="C360" s="27">
        <f ca="1">AVERAGE(OFFSET(SPY_Close_Price_PQ[[#This Row],[Close]], 0, 0, $C$1*-1))</f>
        <v>440.52739999999983</v>
      </c>
      <c r="D360" s="27">
        <f ca="1">AVERAGE(OFFSET(SPY_Close_Price_PQ[[#This Row],[Close]], 0, 0, $D$1*-1))</f>
        <v>447.63055000000037</v>
      </c>
      <c r="E360" s="28">
        <f t="shared" ca="1" si="5"/>
        <v>0</v>
      </c>
    </row>
    <row r="361" spans="1:5" x14ac:dyDescent="0.4">
      <c r="A361" s="4">
        <v>44656</v>
      </c>
      <c r="B361" s="8">
        <v>451.03</v>
      </c>
      <c r="C361" s="27">
        <f ca="1">AVERAGE(OFFSET(SPY_Close_Price_PQ[[#This Row],[Close]], 0, 0, $C$1*-1))</f>
        <v>440.75119999999981</v>
      </c>
      <c r="D361" s="27">
        <f ca="1">AVERAGE(OFFSET(SPY_Close_Price_PQ[[#This Row],[Close]], 0, 0, $D$1*-1))</f>
        <v>447.78140000000036</v>
      </c>
      <c r="E361" s="28">
        <f t="shared" ca="1" si="5"/>
        <v>0</v>
      </c>
    </row>
    <row r="362" spans="1:5" x14ac:dyDescent="0.4">
      <c r="A362" s="5">
        <v>44657</v>
      </c>
      <c r="B362" s="9">
        <v>446.52</v>
      </c>
      <c r="C362" s="27">
        <f ca="1">AVERAGE(OFFSET(SPY_Close_Price_PQ[[#This Row],[Close]], 0, 0, $C$1*-1))</f>
        <v>440.99219999999985</v>
      </c>
      <c r="D362" s="27">
        <f ca="1">AVERAGE(OFFSET(SPY_Close_Price_PQ[[#This Row],[Close]], 0, 0, $D$1*-1))</f>
        <v>447.89845000000037</v>
      </c>
      <c r="E362" s="28">
        <f t="shared" ca="1" si="5"/>
        <v>0</v>
      </c>
    </row>
    <row r="363" spans="1:5" x14ac:dyDescent="0.4">
      <c r="A363" s="4">
        <v>44658</v>
      </c>
      <c r="B363" s="8">
        <v>448.77</v>
      </c>
      <c r="C363" s="27">
        <f ca="1">AVERAGE(OFFSET(SPY_Close_Price_PQ[[#This Row],[Close]], 0, 0, $C$1*-1))</f>
        <v>441.29999999999984</v>
      </c>
      <c r="D363" s="27">
        <f ca="1">AVERAGE(OFFSET(SPY_Close_Price_PQ[[#This Row],[Close]], 0, 0, $D$1*-1))</f>
        <v>448.02930000000038</v>
      </c>
      <c r="E363" s="28">
        <f t="shared" ca="1" si="5"/>
        <v>0</v>
      </c>
    </row>
    <row r="364" spans="1:5" x14ac:dyDescent="0.4">
      <c r="A364" s="5">
        <v>44659</v>
      </c>
      <c r="B364" s="9">
        <v>447.57</v>
      </c>
      <c r="C364" s="27">
        <f ca="1">AVERAGE(OFFSET(SPY_Close_Price_PQ[[#This Row],[Close]], 0, 0, $C$1*-1))</f>
        <v>441.62659999999988</v>
      </c>
      <c r="D364" s="27">
        <f ca="1">AVERAGE(OFFSET(SPY_Close_Price_PQ[[#This Row],[Close]], 0, 0, $D$1*-1))</f>
        <v>448.14165000000042</v>
      </c>
      <c r="E364" s="28">
        <f t="shared" ca="1" si="5"/>
        <v>0</v>
      </c>
    </row>
    <row r="365" spans="1:5" x14ac:dyDescent="0.4">
      <c r="A365" s="4">
        <v>44662</v>
      </c>
      <c r="B365" s="8">
        <v>439.92</v>
      </c>
      <c r="C365" s="27">
        <f ca="1">AVERAGE(OFFSET(SPY_Close_Price_PQ[[#This Row],[Close]], 0, 0, $C$1*-1))</f>
        <v>441.58599999999984</v>
      </c>
      <c r="D365" s="27">
        <f ca="1">AVERAGE(OFFSET(SPY_Close_Price_PQ[[#This Row],[Close]], 0, 0, $D$1*-1))</f>
        <v>448.20820000000043</v>
      </c>
      <c r="E365" s="28">
        <f t="shared" ca="1" si="5"/>
        <v>0</v>
      </c>
    </row>
    <row r="366" spans="1:5" x14ac:dyDescent="0.4">
      <c r="A366" s="5">
        <v>44663</v>
      </c>
      <c r="B366" s="9">
        <v>438.29</v>
      </c>
      <c r="C366" s="27">
        <f ca="1">AVERAGE(OFFSET(SPY_Close_Price_PQ[[#This Row],[Close]], 0, 0, $C$1*-1))</f>
        <v>441.35359999999986</v>
      </c>
      <c r="D366" s="27">
        <f ca="1">AVERAGE(OFFSET(SPY_Close_Price_PQ[[#This Row],[Close]], 0, 0, $D$1*-1))</f>
        <v>448.26230000000032</v>
      </c>
      <c r="E366" s="28">
        <f t="shared" ca="1" si="5"/>
        <v>0</v>
      </c>
    </row>
    <row r="367" spans="1:5" x14ac:dyDescent="0.4">
      <c r="A367" s="4">
        <v>44664</v>
      </c>
      <c r="B367" s="8">
        <v>443.31</v>
      </c>
      <c r="C367" s="27">
        <f ca="1">AVERAGE(OFFSET(SPY_Close_Price_PQ[[#This Row],[Close]], 0, 0, $C$1*-1))</f>
        <v>441.16079999999994</v>
      </c>
      <c r="D367" s="27">
        <f ca="1">AVERAGE(OFFSET(SPY_Close_Price_PQ[[#This Row],[Close]], 0, 0, $D$1*-1))</f>
        <v>448.34035000000034</v>
      </c>
      <c r="E367" s="28">
        <f t="shared" ca="1" si="5"/>
        <v>0</v>
      </c>
    </row>
    <row r="368" spans="1:5" x14ac:dyDescent="0.4">
      <c r="A368" s="5">
        <v>44665</v>
      </c>
      <c r="B368" s="9">
        <v>437.79</v>
      </c>
      <c r="C368" s="27">
        <f ca="1">AVERAGE(OFFSET(SPY_Close_Price_PQ[[#This Row],[Close]], 0, 0, $C$1*-1))</f>
        <v>440.76959999999991</v>
      </c>
      <c r="D368" s="27">
        <f ca="1">AVERAGE(OFFSET(SPY_Close_Price_PQ[[#This Row],[Close]], 0, 0, $D$1*-1))</f>
        <v>448.38900000000029</v>
      </c>
      <c r="E368" s="28">
        <f t="shared" ca="1" si="5"/>
        <v>0</v>
      </c>
    </row>
    <row r="369" spans="1:5" x14ac:dyDescent="0.4">
      <c r="A369" s="4">
        <v>44669</v>
      </c>
      <c r="B369" s="8">
        <v>437.97</v>
      </c>
      <c r="C369" s="27">
        <f ca="1">AVERAGE(OFFSET(SPY_Close_Price_PQ[[#This Row],[Close]], 0, 0, $C$1*-1))</f>
        <v>440.59699999999998</v>
      </c>
      <c r="D369" s="27">
        <f ca="1">AVERAGE(OFFSET(SPY_Close_Price_PQ[[#This Row],[Close]], 0, 0, $D$1*-1))</f>
        <v>448.42670000000027</v>
      </c>
      <c r="E369" s="28">
        <f t="shared" ca="1" si="5"/>
        <v>0</v>
      </c>
    </row>
    <row r="370" spans="1:5" x14ac:dyDescent="0.4">
      <c r="A370" s="5">
        <v>44670</v>
      </c>
      <c r="B370" s="9">
        <v>445.04</v>
      </c>
      <c r="C370" s="27">
        <f ca="1">AVERAGE(OFFSET(SPY_Close_Price_PQ[[#This Row],[Close]], 0, 0, $C$1*-1))</f>
        <v>440.52379999999999</v>
      </c>
      <c r="D370" s="27">
        <f ca="1">AVERAGE(OFFSET(SPY_Close_Price_PQ[[#This Row],[Close]], 0, 0, $D$1*-1))</f>
        <v>448.48330000000016</v>
      </c>
      <c r="E370" s="28">
        <f t="shared" ca="1" si="5"/>
        <v>0</v>
      </c>
    </row>
    <row r="371" spans="1:5" x14ac:dyDescent="0.4">
      <c r="A371" s="4">
        <v>44671</v>
      </c>
      <c r="B371" s="8">
        <v>444.71</v>
      </c>
      <c r="C371" s="27">
        <f ca="1">AVERAGE(OFFSET(SPY_Close_Price_PQ[[#This Row],[Close]], 0, 0, $C$1*-1))</f>
        <v>440.47280000000001</v>
      </c>
      <c r="D371" s="27">
        <f ca="1">AVERAGE(OFFSET(SPY_Close_Price_PQ[[#This Row],[Close]], 0, 0, $D$1*-1))</f>
        <v>448.54220000000021</v>
      </c>
      <c r="E371" s="28">
        <f t="shared" ca="1" si="5"/>
        <v>0</v>
      </c>
    </row>
    <row r="372" spans="1:5" x14ac:dyDescent="0.4">
      <c r="A372" s="5">
        <v>44672</v>
      </c>
      <c r="B372" s="9">
        <v>438.06</v>
      </c>
      <c r="C372" s="27">
        <f ca="1">AVERAGE(OFFSET(SPY_Close_Price_PQ[[#This Row],[Close]], 0, 0, $C$1*-1))</f>
        <v>440.21520000000004</v>
      </c>
      <c r="D372" s="27">
        <f ca="1">AVERAGE(OFFSET(SPY_Close_Price_PQ[[#This Row],[Close]], 0, 0, $D$1*-1))</f>
        <v>448.56020000000018</v>
      </c>
      <c r="E372" s="28">
        <f t="shared" ca="1" si="5"/>
        <v>0</v>
      </c>
    </row>
    <row r="373" spans="1:5" x14ac:dyDescent="0.4">
      <c r="A373" s="4">
        <v>44673</v>
      </c>
      <c r="B373" s="8">
        <v>426.04</v>
      </c>
      <c r="C373" s="27">
        <f ca="1">AVERAGE(OFFSET(SPY_Close_Price_PQ[[#This Row],[Close]], 0, 0, $C$1*-1))</f>
        <v>439.58520000000004</v>
      </c>
      <c r="D373" s="27">
        <f ca="1">AVERAGE(OFFSET(SPY_Close_Price_PQ[[#This Row],[Close]], 0, 0, $D$1*-1))</f>
        <v>448.53580000000011</v>
      </c>
      <c r="E373" s="28">
        <f t="shared" ca="1" si="5"/>
        <v>0</v>
      </c>
    </row>
    <row r="374" spans="1:5" x14ac:dyDescent="0.4">
      <c r="A374" s="5">
        <v>44676</v>
      </c>
      <c r="B374" s="9">
        <v>428.51</v>
      </c>
      <c r="C374" s="27">
        <f ca="1">AVERAGE(OFFSET(SPY_Close_Price_PQ[[#This Row],[Close]], 0, 0, $C$1*-1))</f>
        <v>439.16900000000004</v>
      </c>
      <c r="D374" s="27">
        <f ca="1">AVERAGE(OFFSET(SPY_Close_Price_PQ[[#This Row],[Close]], 0, 0, $D$1*-1))</f>
        <v>448.5007500000001</v>
      </c>
      <c r="E374" s="28">
        <f t="shared" ca="1" si="5"/>
        <v>0</v>
      </c>
    </row>
    <row r="375" spans="1:5" x14ac:dyDescent="0.4">
      <c r="A375" s="4">
        <v>44677</v>
      </c>
      <c r="B375" s="8">
        <v>416.1</v>
      </c>
      <c r="C375" s="27">
        <f ca="1">AVERAGE(OFFSET(SPY_Close_Price_PQ[[#This Row],[Close]], 0, 0, $C$1*-1))</f>
        <v>438.68180000000001</v>
      </c>
      <c r="D375" s="27">
        <f ca="1">AVERAGE(OFFSET(SPY_Close_Price_PQ[[#This Row],[Close]], 0, 0, $D$1*-1))</f>
        <v>448.39585000000011</v>
      </c>
      <c r="E375" s="28">
        <f t="shared" ca="1" si="5"/>
        <v>0</v>
      </c>
    </row>
    <row r="376" spans="1:5" x14ac:dyDescent="0.4">
      <c r="A376" s="5">
        <v>44678</v>
      </c>
      <c r="B376" s="9">
        <v>417.27</v>
      </c>
      <c r="C376" s="27">
        <f ca="1">AVERAGE(OFFSET(SPY_Close_Price_PQ[[#This Row],[Close]], 0, 0, $C$1*-1))</f>
        <v>438.24680000000006</v>
      </c>
      <c r="D376" s="27">
        <f ca="1">AVERAGE(OFFSET(SPY_Close_Price_PQ[[#This Row],[Close]], 0, 0, $D$1*-1))</f>
        <v>448.30425000000008</v>
      </c>
      <c r="E376" s="28">
        <f t="shared" ca="1" si="5"/>
        <v>0</v>
      </c>
    </row>
    <row r="377" spans="1:5" x14ac:dyDescent="0.4">
      <c r="A377" s="4">
        <v>44679</v>
      </c>
      <c r="B377" s="8">
        <v>427.81</v>
      </c>
      <c r="C377" s="27">
        <f ca="1">AVERAGE(OFFSET(SPY_Close_Price_PQ[[#This Row],[Close]], 0, 0, $C$1*-1))</f>
        <v>437.88100000000009</v>
      </c>
      <c r="D377" s="27">
        <f ca="1">AVERAGE(OFFSET(SPY_Close_Price_PQ[[#This Row],[Close]], 0, 0, $D$1*-1))</f>
        <v>448.26210000000015</v>
      </c>
      <c r="E377" s="28">
        <f t="shared" ca="1" si="5"/>
        <v>0</v>
      </c>
    </row>
    <row r="378" spans="1:5" x14ac:dyDescent="0.4">
      <c r="A378" s="5">
        <v>44680</v>
      </c>
      <c r="B378" s="9">
        <v>412</v>
      </c>
      <c r="C378" s="27">
        <f ca="1">AVERAGE(OFFSET(SPY_Close_Price_PQ[[#This Row],[Close]], 0, 0, $C$1*-1))</f>
        <v>437.18900000000008</v>
      </c>
      <c r="D378" s="27">
        <f ca="1">AVERAGE(OFFSET(SPY_Close_Price_PQ[[#This Row],[Close]], 0, 0, $D$1*-1))</f>
        <v>448.14835000000016</v>
      </c>
      <c r="E378" s="28">
        <f t="shared" ca="1" si="5"/>
        <v>0</v>
      </c>
    </row>
    <row r="379" spans="1:5" x14ac:dyDescent="0.4">
      <c r="A379" s="4">
        <v>44683</v>
      </c>
      <c r="B379" s="8">
        <v>414.48</v>
      </c>
      <c r="C379" s="27">
        <f ca="1">AVERAGE(OFFSET(SPY_Close_Price_PQ[[#This Row],[Close]], 0, 0, $C$1*-1))</f>
        <v>436.73740000000004</v>
      </c>
      <c r="D379" s="27">
        <f ca="1">AVERAGE(OFFSET(SPY_Close_Price_PQ[[#This Row],[Close]], 0, 0, $D$1*-1))</f>
        <v>448.06405000000012</v>
      </c>
      <c r="E379" s="28">
        <f t="shared" ca="1" si="5"/>
        <v>0</v>
      </c>
    </row>
    <row r="380" spans="1:5" x14ac:dyDescent="0.4">
      <c r="A380" s="5">
        <v>44684</v>
      </c>
      <c r="B380" s="9">
        <v>416.38</v>
      </c>
      <c r="C380" s="27">
        <f ca="1">AVERAGE(OFFSET(SPY_Close_Price_PQ[[#This Row],[Close]], 0, 0, $C$1*-1))</f>
        <v>436.38040000000001</v>
      </c>
      <c r="D380" s="27">
        <f ca="1">AVERAGE(OFFSET(SPY_Close_Price_PQ[[#This Row],[Close]], 0, 0, $D$1*-1))</f>
        <v>448.0211000000001</v>
      </c>
      <c r="E380" s="28">
        <f t="shared" ca="1" si="5"/>
        <v>0</v>
      </c>
    </row>
    <row r="381" spans="1:5" x14ac:dyDescent="0.4">
      <c r="A381" s="4">
        <v>44685</v>
      </c>
      <c r="B381" s="8">
        <v>429.06</v>
      </c>
      <c r="C381" s="27">
        <f ca="1">AVERAGE(OFFSET(SPY_Close_Price_PQ[[#This Row],[Close]], 0, 0, $C$1*-1))</f>
        <v>436.37020000000007</v>
      </c>
      <c r="D381" s="27">
        <f ca="1">AVERAGE(OFFSET(SPY_Close_Price_PQ[[#This Row],[Close]], 0, 0, $D$1*-1))</f>
        <v>448.01110000000006</v>
      </c>
      <c r="E381" s="28">
        <f t="shared" ca="1" si="5"/>
        <v>0</v>
      </c>
    </row>
    <row r="382" spans="1:5" x14ac:dyDescent="0.4">
      <c r="A382" s="5">
        <v>44686</v>
      </c>
      <c r="B382" s="9">
        <v>413.81</v>
      </c>
      <c r="C382" s="27">
        <f ca="1">AVERAGE(OFFSET(SPY_Close_Price_PQ[[#This Row],[Close]], 0, 0, $C$1*-1))</f>
        <v>436.20740000000006</v>
      </c>
      <c r="D382" s="27">
        <f ca="1">AVERAGE(OFFSET(SPY_Close_Price_PQ[[#This Row],[Close]], 0, 0, $D$1*-1))</f>
        <v>447.9074</v>
      </c>
      <c r="E382" s="28">
        <f t="shared" ca="1" si="5"/>
        <v>0</v>
      </c>
    </row>
    <row r="383" spans="1:5" x14ac:dyDescent="0.4">
      <c r="A383" s="4">
        <v>44687</v>
      </c>
      <c r="B383" s="8">
        <v>411.34</v>
      </c>
      <c r="C383" s="27">
        <f ca="1">AVERAGE(OFFSET(SPY_Close_Price_PQ[[#This Row],[Close]], 0, 0, $C$1*-1))</f>
        <v>435.86820000000012</v>
      </c>
      <c r="D383" s="27">
        <f ca="1">AVERAGE(OFFSET(SPY_Close_Price_PQ[[#This Row],[Close]], 0, 0, $D$1*-1))</f>
        <v>447.78679999999991</v>
      </c>
      <c r="E383" s="28">
        <f t="shared" ca="1" si="5"/>
        <v>0</v>
      </c>
    </row>
    <row r="384" spans="1:5" x14ac:dyDescent="0.4">
      <c r="A384" s="5">
        <v>44690</v>
      </c>
      <c r="B384" s="9">
        <v>398.17</v>
      </c>
      <c r="C384" s="27">
        <f ca="1">AVERAGE(OFFSET(SPY_Close_Price_PQ[[#This Row],[Close]], 0, 0, $C$1*-1))</f>
        <v>435.07660000000004</v>
      </c>
      <c r="D384" s="27">
        <f ca="1">AVERAGE(OFFSET(SPY_Close_Price_PQ[[#This Row],[Close]], 0, 0, $D$1*-1))</f>
        <v>447.57794999999993</v>
      </c>
      <c r="E384" s="28">
        <f t="shared" ca="1" si="5"/>
        <v>0</v>
      </c>
    </row>
    <row r="385" spans="1:5" x14ac:dyDescent="0.4">
      <c r="A385" s="4">
        <v>44691</v>
      </c>
      <c r="B385" s="8">
        <v>399.09</v>
      </c>
      <c r="C385" s="27">
        <f ca="1">AVERAGE(OFFSET(SPY_Close_Price_PQ[[#This Row],[Close]], 0, 0, $C$1*-1))</f>
        <v>434.32580000000002</v>
      </c>
      <c r="D385" s="27">
        <f ca="1">AVERAGE(OFFSET(SPY_Close_Price_PQ[[#This Row],[Close]], 0, 0, $D$1*-1))</f>
        <v>447.36829999999986</v>
      </c>
      <c r="E385" s="28">
        <f t="shared" ca="1" si="5"/>
        <v>0</v>
      </c>
    </row>
    <row r="386" spans="1:5" x14ac:dyDescent="0.4">
      <c r="A386" s="5">
        <v>44692</v>
      </c>
      <c r="B386" s="9">
        <v>392.75</v>
      </c>
      <c r="C386" s="27">
        <f ca="1">AVERAGE(OFFSET(SPY_Close_Price_PQ[[#This Row],[Close]], 0, 0, $C$1*-1))</f>
        <v>433.58120000000002</v>
      </c>
      <c r="D386" s="27">
        <f ca="1">AVERAGE(OFFSET(SPY_Close_Price_PQ[[#This Row],[Close]], 0, 0, $D$1*-1))</f>
        <v>447.13699999999989</v>
      </c>
      <c r="E386" s="28">
        <f t="shared" ca="1" si="5"/>
        <v>0</v>
      </c>
    </row>
    <row r="387" spans="1:5" x14ac:dyDescent="0.4">
      <c r="A387" s="4">
        <v>44693</v>
      </c>
      <c r="B387" s="8">
        <v>392.34</v>
      </c>
      <c r="C387" s="27">
        <f ca="1">AVERAGE(OFFSET(SPY_Close_Price_PQ[[#This Row],[Close]], 0, 0, $C$1*-1))</f>
        <v>432.67020000000014</v>
      </c>
      <c r="D387" s="27">
        <f ca="1">AVERAGE(OFFSET(SPY_Close_Price_PQ[[#This Row],[Close]], 0, 0, $D$1*-1))</f>
        <v>446.90454999999986</v>
      </c>
      <c r="E387" s="28">
        <f t="shared" ca="1" si="5"/>
        <v>0</v>
      </c>
    </row>
    <row r="388" spans="1:5" x14ac:dyDescent="0.4">
      <c r="A388" s="5">
        <v>44694</v>
      </c>
      <c r="B388" s="9">
        <v>401.72</v>
      </c>
      <c r="C388" s="27">
        <f ca="1">AVERAGE(OFFSET(SPY_Close_Price_PQ[[#This Row],[Close]], 0, 0, $C$1*-1))</f>
        <v>431.99040000000014</v>
      </c>
      <c r="D388" s="27">
        <f ca="1">AVERAGE(OFFSET(SPY_Close_Price_PQ[[#This Row],[Close]], 0, 0, $D$1*-1))</f>
        <v>446.70989999999983</v>
      </c>
      <c r="E388" s="28">
        <f t="shared" ref="E388:E451" ca="1" si="6">IF(AND(C387&lt;D387,C388&gt;D388),1,0)</f>
        <v>0</v>
      </c>
    </row>
    <row r="389" spans="1:5" x14ac:dyDescent="0.4">
      <c r="A389" s="4">
        <v>44697</v>
      </c>
      <c r="B389" s="8">
        <v>400.09</v>
      </c>
      <c r="C389" s="27">
        <f ca="1">AVERAGE(OFFSET(SPY_Close_Price_PQ[[#This Row],[Close]], 0, 0, $C$1*-1))</f>
        <v>431.3488000000001</v>
      </c>
      <c r="D389" s="27">
        <f ca="1">AVERAGE(OFFSET(SPY_Close_Price_PQ[[#This Row],[Close]], 0, 0, $D$1*-1))</f>
        <v>446.51779999999985</v>
      </c>
      <c r="E389" s="28">
        <f t="shared" ca="1" si="6"/>
        <v>0</v>
      </c>
    </row>
    <row r="390" spans="1:5" x14ac:dyDescent="0.4">
      <c r="A390" s="5">
        <v>44698</v>
      </c>
      <c r="B390" s="9">
        <v>408.32</v>
      </c>
      <c r="C390" s="27">
        <f ca="1">AVERAGE(OFFSET(SPY_Close_Price_PQ[[#This Row],[Close]], 0, 0, $C$1*-1))</f>
        <v>431.12660000000011</v>
      </c>
      <c r="D390" s="27">
        <f ca="1">AVERAGE(OFFSET(SPY_Close_Price_PQ[[#This Row],[Close]], 0, 0, $D$1*-1))</f>
        <v>446.37144999999987</v>
      </c>
      <c r="E390" s="28">
        <f t="shared" ca="1" si="6"/>
        <v>0</v>
      </c>
    </row>
    <row r="391" spans="1:5" x14ac:dyDescent="0.4">
      <c r="A391" s="4">
        <v>44699</v>
      </c>
      <c r="B391" s="8">
        <v>391.86</v>
      </c>
      <c r="C391" s="27">
        <f ca="1">AVERAGE(OFFSET(SPY_Close_Price_PQ[[#This Row],[Close]], 0, 0, $C$1*-1))</f>
        <v>430.63880000000012</v>
      </c>
      <c r="D391" s="27">
        <f ca="1">AVERAGE(OFFSET(SPY_Close_Price_PQ[[#This Row],[Close]], 0, 0, $D$1*-1))</f>
        <v>446.12499999999994</v>
      </c>
      <c r="E391" s="28">
        <f t="shared" ca="1" si="6"/>
        <v>0</v>
      </c>
    </row>
    <row r="392" spans="1:5" x14ac:dyDescent="0.4">
      <c r="A392" s="5">
        <v>44700</v>
      </c>
      <c r="B392" s="9">
        <v>389.46</v>
      </c>
      <c r="C392" s="27">
        <f ca="1">AVERAGE(OFFSET(SPY_Close_Price_PQ[[#This Row],[Close]], 0, 0, $C$1*-1))</f>
        <v>429.8798000000001</v>
      </c>
      <c r="D392" s="27">
        <f ca="1">AVERAGE(OFFSET(SPY_Close_Price_PQ[[#This Row],[Close]], 0, 0, $D$1*-1))</f>
        <v>445.87739999999997</v>
      </c>
      <c r="E392" s="28">
        <f t="shared" ca="1" si="6"/>
        <v>0</v>
      </c>
    </row>
    <row r="393" spans="1:5" x14ac:dyDescent="0.4">
      <c r="A393" s="4">
        <v>44701</v>
      </c>
      <c r="B393" s="8">
        <v>389.63</v>
      </c>
      <c r="C393" s="27">
        <f ca="1">AVERAGE(OFFSET(SPY_Close_Price_PQ[[#This Row],[Close]], 0, 0, $C$1*-1))</f>
        <v>429.16280000000006</v>
      </c>
      <c r="D393" s="27">
        <f ca="1">AVERAGE(OFFSET(SPY_Close_Price_PQ[[#This Row],[Close]], 0, 0, $D$1*-1))</f>
        <v>445.61674999999997</v>
      </c>
      <c r="E393" s="28">
        <f t="shared" ca="1" si="6"/>
        <v>0</v>
      </c>
    </row>
    <row r="394" spans="1:5" x14ac:dyDescent="0.4">
      <c r="A394" s="5">
        <v>44704</v>
      </c>
      <c r="B394" s="9">
        <v>396.92</v>
      </c>
      <c r="C394" s="27">
        <f ca="1">AVERAGE(OFFSET(SPY_Close_Price_PQ[[#This Row],[Close]], 0, 0, $C$1*-1))</f>
        <v>428.69979999999998</v>
      </c>
      <c r="D394" s="27">
        <f ca="1">AVERAGE(OFFSET(SPY_Close_Price_PQ[[#This Row],[Close]], 0, 0, $D$1*-1))</f>
        <v>445.38889999999992</v>
      </c>
      <c r="E394" s="28">
        <f t="shared" ca="1" si="6"/>
        <v>0</v>
      </c>
    </row>
    <row r="395" spans="1:5" x14ac:dyDescent="0.4">
      <c r="A395" s="4">
        <v>44705</v>
      </c>
      <c r="B395" s="8">
        <v>393.89</v>
      </c>
      <c r="C395" s="27">
        <f ca="1">AVERAGE(OFFSET(SPY_Close_Price_PQ[[#This Row],[Close]], 0, 0, $C$1*-1))</f>
        <v>428.23759999999993</v>
      </c>
      <c r="D395" s="27">
        <f ca="1">AVERAGE(OFFSET(SPY_Close_Price_PQ[[#This Row],[Close]], 0, 0, $D$1*-1))</f>
        <v>445.14769999999999</v>
      </c>
      <c r="E395" s="28">
        <f t="shared" ca="1" si="6"/>
        <v>0</v>
      </c>
    </row>
    <row r="396" spans="1:5" x14ac:dyDescent="0.4">
      <c r="A396" s="5">
        <v>44706</v>
      </c>
      <c r="B396" s="9">
        <v>397.37</v>
      </c>
      <c r="C396" s="27">
        <f ca="1">AVERAGE(OFFSET(SPY_Close_Price_PQ[[#This Row],[Close]], 0, 0, $C$1*-1))</f>
        <v>427.66159999999996</v>
      </c>
      <c r="D396" s="27">
        <f ca="1">AVERAGE(OFFSET(SPY_Close_Price_PQ[[#This Row],[Close]], 0, 0, $D$1*-1))</f>
        <v>444.9211499999999</v>
      </c>
      <c r="E396" s="28">
        <f t="shared" ca="1" si="6"/>
        <v>0</v>
      </c>
    </row>
    <row r="397" spans="1:5" x14ac:dyDescent="0.4">
      <c r="A397" s="4">
        <v>44707</v>
      </c>
      <c r="B397" s="8">
        <v>405.31</v>
      </c>
      <c r="C397" s="27">
        <f ca="1">AVERAGE(OFFSET(SPY_Close_Price_PQ[[#This Row],[Close]], 0, 0, $C$1*-1))</f>
        <v>427.05540000000002</v>
      </c>
      <c r="D397" s="27">
        <f ca="1">AVERAGE(OFFSET(SPY_Close_Price_PQ[[#This Row],[Close]], 0, 0, $D$1*-1))</f>
        <v>444.72879999999992</v>
      </c>
      <c r="E397" s="28">
        <f t="shared" ca="1" si="6"/>
        <v>0</v>
      </c>
    </row>
    <row r="398" spans="1:5" x14ac:dyDescent="0.4">
      <c r="A398" s="5">
        <v>44708</v>
      </c>
      <c r="B398" s="9">
        <v>415.26</v>
      </c>
      <c r="C398" s="27">
        <f ca="1">AVERAGE(OFFSET(SPY_Close_Price_PQ[[#This Row],[Close]], 0, 0, $C$1*-1))</f>
        <v>426.53919999999999</v>
      </c>
      <c r="D398" s="27">
        <f ca="1">AVERAGE(OFFSET(SPY_Close_Price_PQ[[#This Row],[Close]], 0, 0, $D$1*-1))</f>
        <v>444.57954999999987</v>
      </c>
      <c r="E398" s="28">
        <f t="shared" ca="1" si="6"/>
        <v>0</v>
      </c>
    </row>
    <row r="399" spans="1:5" x14ac:dyDescent="0.4">
      <c r="A399" s="4">
        <v>44712</v>
      </c>
      <c r="B399" s="8">
        <v>412.93</v>
      </c>
      <c r="C399" s="27">
        <f ca="1">AVERAGE(OFFSET(SPY_Close_Price_PQ[[#This Row],[Close]], 0, 0, $C$1*-1))</f>
        <v>425.90739999999988</v>
      </c>
      <c r="D399" s="27">
        <f ca="1">AVERAGE(OFFSET(SPY_Close_Price_PQ[[#This Row],[Close]], 0, 0, $D$1*-1))</f>
        <v>444.41459999999984</v>
      </c>
      <c r="E399" s="28">
        <f t="shared" ca="1" si="6"/>
        <v>0</v>
      </c>
    </row>
    <row r="400" spans="1:5" x14ac:dyDescent="0.4">
      <c r="A400" s="5">
        <v>44713</v>
      </c>
      <c r="B400" s="9">
        <v>409.59</v>
      </c>
      <c r="C400" s="27">
        <f ca="1">AVERAGE(OFFSET(SPY_Close_Price_PQ[[#This Row],[Close]], 0, 0, $C$1*-1))</f>
        <v>425.21139999999991</v>
      </c>
      <c r="D400" s="27">
        <f ca="1">AVERAGE(OFFSET(SPY_Close_Price_PQ[[#This Row],[Close]], 0, 0, $D$1*-1))</f>
        <v>444.2276999999998</v>
      </c>
      <c r="E400" s="28">
        <f t="shared" ca="1" si="6"/>
        <v>0</v>
      </c>
    </row>
    <row r="401" spans="1:5" x14ac:dyDescent="0.4">
      <c r="A401" s="4">
        <v>44714</v>
      </c>
      <c r="B401" s="8">
        <v>417.39</v>
      </c>
      <c r="C401" s="27">
        <f ca="1">AVERAGE(OFFSET(SPY_Close_Price_PQ[[#This Row],[Close]], 0, 0, $C$1*-1))</f>
        <v>424.56739999999991</v>
      </c>
      <c r="D401" s="27">
        <f ca="1">AVERAGE(OFFSET(SPY_Close_Price_PQ[[#This Row],[Close]], 0, 0, $D$1*-1))</f>
        <v>444.09444999999977</v>
      </c>
      <c r="E401" s="28">
        <f t="shared" ca="1" si="6"/>
        <v>0</v>
      </c>
    </row>
    <row r="402" spans="1:5" x14ac:dyDescent="0.4">
      <c r="A402" s="5">
        <v>44715</v>
      </c>
      <c r="B402" s="9">
        <v>410.54</v>
      </c>
      <c r="C402" s="27">
        <f ca="1">AVERAGE(OFFSET(SPY_Close_Price_PQ[[#This Row],[Close]], 0, 0, $C$1*-1))</f>
        <v>423.90219999999994</v>
      </c>
      <c r="D402" s="27">
        <f ca="1">AVERAGE(OFFSET(SPY_Close_Price_PQ[[#This Row],[Close]], 0, 0, $D$1*-1))</f>
        <v>443.95124999999979</v>
      </c>
      <c r="E402" s="28">
        <f t="shared" ca="1" si="6"/>
        <v>0</v>
      </c>
    </row>
    <row r="403" spans="1:5" x14ac:dyDescent="0.4">
      <c r="A403" s="4">
        <v>44718</v>
      </c>
      <c r="B403" s="8">
        <v>411.79</v>
      </c>
      <c r="C403" s="27">
        <f ca="1">AVERAGE(OFFSET(SPY_Close_Price_PQ[[#This Row],[Close]], 0, 0, $C$1*-1))</f>
        <v>423.12819999999999</v>
      </c>
      <c r="D403" s="27">
        <f ca="1">AVERAGE(OFFSET(SPY_Close_Price_PQ[[#This Row],[Close]], 0, 0, $D$1*-1))</f>
        <v>443.81089999999972</v>
      </c>
      <c r="E403" s="28">
        <f t="shared" ca="1" si="6"/>
        <v>0</v>
      </c>
    </row>
    <row r="404" spans="1:5" x14ac:dyDescent="0.4">
      <c r="A404" s="5">
        <v>44719</v>
      </c>
      <c r="B404" s="9">
        <v>415.74</v>
      </c>
      <c r="C404" s="27">
        <f ca="1">AVERAGE(OFFSET(SPY_Close_Price_PQ[[#This Row],[Close]], 0, 0, $C$1*-1))</f>
        <v>422.38919999999996</v>
      </c>
      <c r="D404" s="27">
        <f ca="1">AVERAGE(OFFSET(SPY_Close_Price_PQ[[#This Row],[Close]], 0, 0, $D$1*-1))</f>
        <v>443.67279999999977</v>
      </c>
      <c r="E404" s="28">
        <f t="shared" ca="1" si="6"/>
        <v>0</v>
      </c>
    </row>
    <row r="405" spans="1:5" x14ac:dyDescent="0.4">
      <c r="A405" s="4">
        <v>44720</v>
      </c>
      <c r="B405" s="8">
        <v>411.22</v>
      </c>
      <c r="C405" s="27">
        <f ca="1">AVERAGE(OFFSET(SPY_Close_Price_PQ[[#This Row],[Close]], 0, 0, $C$1*-1))</f>
        <v>421.49540000000002</v>
      </c>
      <c r="D405" s="27">
        <f ca="1">AVERAGE(OFFSET(SPY_Close_Price_PQ[[#This Row],[Close]], 0, 0, $D$1*-1))</f>
        <v>443.49259999999975</v>
      </c>
      <c r="E405" s="28">
        <f t="shared" ca="1" si="6"/>
        <v>0</v>
      </c>
    </row>
    <row r="406" spans="1:5" x14ac:dyDescent="0.4">
      <c r="A406" s="5">
        <v>44721</v>
      </c>
      <c r="B406" s="9">
        <v>401.44</v>
      </c>
      <c r="C406" s="27">
        <f ca="1">AVERAGE(OFFSET(SPY_Close_Price_PQ[[#This Row],[Close]], 0, 0, $C$1*-1))</f>
        <v>420.29320000000001</v>
      </c>
      <c r="D406" s="27">
        <f ca="1">AVERAGE(OFFSET(SPY_Close_Price_PQ[[#This Row],[Close]], 0, 0, $D$1*-1))</f>
        <v>443.25994999999972</v>
      </c>
      <c r="E406" s="28">
        <f t="shared" ca="1" si="6"/>
        <v>0</v>
      </c>
    </row>
    <row r="407" spans="1:5" x14ac:dyDescent="0.4">
      <c r="A407" s="4">
        <v>44722</v>
      </c>
      <c r="B407" s="8">
        <v>389.8</v>
      </c>
      <c r="C407" s="27">
        <f ca="1">AVERAGE(OFFSET(SPY_Close_Price_PQ[[#This Row],[Close]], 0, 0, $C$1*-1))</f>
        <v>418.91519999999997</v>
      </c>
      <c r="D407" s="27">
        <f ca="1">AVERAGE(OFFSET(SPY_Close_Price_PQ[[#This Row],[Close]], 0, 0, $D$1*-1))</f>
        <v>442.96439999999978</v>
      </c>
      <c r="E407" s="28">
        <f t="shared" ca="1" si="6"/>
        <v>0</v>
      </c>
    </row>
    <row r="408" spans="1:5" x14ac:dyDescent="0.4">
      <c r="A408" s="5">
        <v>44725</v>
      </c>
      <c r="B408" s="9">
        <v>375</v>
      </c>
      <c r="C408" s="27">
        <f ca="1">AVERAGE(OFFSET(SPY_Close_Price_PQ[[#This Row],[Close]], 0, 0, $C$1*-1))</f>
        <v>417.38239999999996</v>
      </c>
      <c r="D408" s="27">
        <f ca="1">AVERAGE(OFFSET(SPY_Close_Price_PQ[[#This Row],[Close]], 0, 0, $D$1*-1))</f>
        <v>442.60809999999975</v>
      </c>
      <c r="E408" s="28">
        <f t="shared" ca="1" si="6"/>
        <v>0</v>
      </c>
    </row>
    <row r="409" spans="1:5" x14ac:dyDescent="0.4">
      <c r="A409" s="4">
        <v>44726</v>
      </c>
      <c r="B409" s="8">
        <v>373.87</v>
      </c>
      <c r="C409" s="27">
        <f ca="1">AVERAGE(OFFSET(SPY_Close_Price_PQ[[#This Row],[Close]], 0, 0, $C$1*-1))</f>
        <v>415.8014</v>
      </c>
      <c r="D409" s="27">
        <f ca="1">AVERAGE(OFFSET(SPY_Close_Price_PQ[[#This Row],[Close]], 0, 0, $D$1*-1))</f>
        <v>442.22619999999972</v>
      </c>
      <c r="E409" s="28">
        <f t="shared" ca="1" si="6"/>
        <v>0</v>
      </c>
    </row>
    <row r="410" spans="1:5" x14ac:dyDescent="0.4">
      <c r="A410" s="5">
        <v>44727</v>
      </c>
      <c r="B410" s="9">
        <v>379.2</v>
      </c>
      <c r="C410" s="27">
        <f ca="1">AVERAGE(OFFSET(SPY_Close_Price_PQ[[#This Row],[Close]], 0, 0, $C$1*-1))</f>
        <v>414.24940000000004</v>
      </c>
      <c r="D410" s="27">
        <f ca="1">AVERAGE(OFFSET(SPY_Close_Price_PQ[[#This Row],[Close]], 0, 0, $D$1*-1))</f>
        <v>441.86104999999975</v>
      </c>
      <c r="E410" s="28">
        <f t="shared" ca="1" si="6"/>
        <v>0</v>
      </c>
    </row>
    <row r="411" spans="1:5" x14ac:dyDescent="0.4">
      <c r="A411" s="4">
        <v>44728</v>
      </c>
      <c r="B411" s="8">
        <v>366.65</v>
      </c>
      <c r="C411" s="27">
        <f ca="1">AVERAGE(OFFSET(SPY_Close_Price_PQ[[#This Row],[Close]], 0, 0, $C$1*-1))</f>
        <v>412.56180000000006</v>
      </c>
      <c r="D411" s="27">
        <f ca="1">AVERAGE(OFFSET(SPY_Close_Price_PQ[[#This Row],[Close]], 0, 0, $D$1*-1))</f>
        <v>441.43649999999974</v>
      </c>
      <c r="E411" s="28">
        <f t="shared" ca="1" si="6"/>
        <v>0</v>
      </c>
    </row>
    <row r="412" spans="1:5" x14ac:dyDescent="0.4">
      <c r="A412" s="5">
        <v>44729</v>
      </c>
      <c r="B412" s="9">
        <v>365.86</v>
      </c>
      <c r="C412" s="27">
        <f ca="1">AVERAGE(OFFSET(SPY_Close_Price_PQ[[#This Row],[Close]], 0, 0, $C$1*-1))</f>
        <v>410.94860000000006</v>
      </c>
      <c r="D412" s="27">
        <f ca="1">AVERAGE(OFFSET(SPY_Close_Price_PQ[[#This Row],[Close]], 0, 0, $D$1*-1))</f>
        <v>441.00679999999977</v>
      </c>
      <c r="E412" s="28">
        <f t="shared" ca="1" si="6"/>
        <v>0</v>
      </c>
    </row>
    <row r="413" spans="1:5" x14ac:dyDescent="0.4">
      <c r="A413" s="4">
        <v>44733</v>
      </c>
      <c r="B413" s="8">
        <v>375.07</v>
      </c>
      <c r="C413" s="27">
        <f ca="1">AVERAGE(OFFSET(SPY_Close_Price_PQ[[#This Row],[Close]], 0, 0, $C$1*-1))</f>
        <v>409.47460000000007</v>
      </c>
      <c r="D413" s="27">
        <f ca="1">AVERAGE(OFFSET(SPY_Close_Price_PQ[[#This Row],[Close]], 0, 0, $D$1*-1))</f>
        <v>440.61619999999982</v>
      </c>
      <c r="E413" s="28">
        <f t="shared" ca="1" si="6"/>
        <v>0</v>
      </c>
    </row>
    <row r="414" spans="1:5" x14ac:dyDescent="0.4">
      <c r="A414" s="5">
        <v>44734</v>
      </c>
      <c r="B414" s="9">
        <v>374.39</v>
      </c>
      <c r="C414" s="27">
        <f ca="1">AVERAGE(OFFSET(SPY_Close_Price_PQ[[#This Row],[Close]], 0, 0, $C$1*-1))</f>
        <v>408.01100000000008</v>
      </c>
      <c r="D414" s="27">
        <f ca="1">AVERAGE(OFFSET(SPY_Close_Price_PQ[[#This Row],[Close]], 0, 0, $D$1*-1))</f>
        <v>440.22274999999979</v>
      </c>
      <c r="E414" s="28">
        <f t="shared" ca="1" si="6"/>
        <v>0</v>
      </c>
    </row>
    <row r="415" spans="1:5" x14ac:dyDescent="0.4">
      <c r="A415" s="4">
        <v>44735</v>
      </c>
      <c r="B415" s="8">
        <v>378.06</v>
      </c>
      <c r="C415" s="27">
        <f ca="1">AVERAGE(OFFSET(SPY_Close_Price_PQ[[#This Row],[Close]], 0, 0, $C$1*-1))</f>
        <v>406.77380000000005</v>
      </c>
      <c r="D415" s="27">
        <f ca="1">AVERAGE(OFFSET(SPY_Close_Price_PQ[[#This Row],[Close]], 0, 0, $D$1*-1))</f>
        <v>439.85574999999977</v>
      </c>
      <c r="E415" s="28">
        <f t="shared" ca="1" si="6"/>
        <v>0</v>
      </c>
    </row>
    <row r="416" spans="1:5" x14ac:dyDescent="0.4">
      <c r="A416" s="5">
        <v>44736</v>
      </c>
      <c r="B416" s="9">
        <v>390.08</v>
      </c>
      <c r="C416" s="27">
        <f ca="1">AVERAGE(OFFSET(SPY_Close_Price_PQ[[#This Row],[Close]], 0, 0, $C$1*-1))</f>
        <v>405.80960000000005</v>
      </c>
      <c r="D416" s="27">
        <f ca="1">AVERAGE(OFFSET(SPY_Close_Price_PQ[[#This Row],[Close]], 0, 0, $D$1*-1))</f>
        <v>439.55159999999972</v>
      </c>
      <c r="E416" s="28">
        <f t="shared" ca="1" si="6"/>
        <v>0</v>
      </c>
    </row>
    <row r="417" spans="1:5" x14ac:dyDescent="0.4">
      <c r="A417" s="4">
        <v>44739</v>
      </c>
      <c r="B417" s="8">
        <v>388.59</v>
      </c>
      <c r="C417" s="27">
        <f ca="1">AVERAGE(OFFSET(SPY_Close_Price_PQ[[#This Row],[Close]], 0, 0, $C$1*-1))</f>
        <v>404.7152000000001</v>
      </c>
      <c r="D417" s="27">
        <f ca="1">AVERAGE(OFFSET(SPY_Close_Price_PQ[[#This Row],[Close]], 0, 0, $D$1*-1))</f>
        <v>439.24964999999969</v>
      </c>
      <c r="E417" s="28">
        <f t="shared" ca="1" si="6"/>
        <v>0</v>
      </c>
    </row>
    <row r="418" spans="1:5" x14ac:dyDescent="0.4">
      <c r="A418" s="5">
        <v>44740</v>
      </c>
      <c r="B418" s="9">
        <v>380.65</v>
      </c>
      <c r="C418" s="27">
        <f ca="1">AVERAGE(OFFSET(SPY_Close_Price_PQ[[#This Row],[Close]], 0, 0, $C$1*-1))</f>
        <v>403.57240000000013</v>
      </c>
      <c r="D418" s="27">
        <f ca="1">AVERAGE(OFFSET(SPY_Close_Price_PQ[[#This Row],[Close]], 0, 0, $D$1*-1))</f>
        <v>438.92569999999961</v>
      </c>
      <c r="E418" s="28">
        <f t="shared" ca="1" si="6"/>
        <v>0</v>
      </c>
    </row>
    <row r="419" spans="1:5" x14ac:dyDescent="0.4">
      <c r="A419" s="4">
        <v>44741</v>
      </c>
      <c r="B419" s="8">
        <v>380.34</v>
      </c>
      <c r="C419" s="27">
        <f ca="1">AVERAGE(OFFSET(SPY_Close_Price_PQ[[#This Row],[Close]], 0, 0, $C$1*-1))</f>
        <v>402.41980000000012</v>
      </c>
      <c r="D419" s="27">
        <f ca="1">AVERAGE(OFFSET(SPY_Close_Price_PQ[[#This Row],[Close]], 0, 0, $D$1*-1))</f>
        <v>438.59449999999958</v>
      </c>
      <c r="E419" s="28">
        <f t="shared" ca="1" si="6"/>
        <v>0</v>
      </c>
    </row>
    <row r="420" spans="1:5" x14ac:dyDescent="0.4">
      <c r="A420" s="5">
        <v>44742</v>
      </c>
      <c r="B420" s="9">
        <v>377.25</v>
      </c>
      <c r="C420" s="27">
        <f ca="1">AVERAGE(OFFSET(SPY_Close_Price_PQ[[#This Row],[Close]], 0, 0, $C$1*-1))</f>
        <v>401.06400000000014</v>
      </c>
      <c r="D420" s="27">
        <f ca="1">AVERAGE(OFFSET(SPY_Close_Price_PQ[[#This Row],[Close]], 0, 0, $D$1*-1))</f>
        <v>438.25989999999956</v>
      </c>
      <c r="E420" s="28">
        <f t="shared" ca="1" si="6"/>
        <v>0</v>
      </c>
    </row>
    <row r="421" spans="1:5" x14ac:dyDescent="0.4">
      <c r="A421" s="4">
        <v>44743</v>
      </c>
      <c r="B421" s="8">
        <v>381.24</v>
      </c>
      <c r="C421" s="27">
        <f ca="1">AVERAGE(OFFSET(SPY_Close_Price_PQ[[#This Row],[Close]], 0, 0, $C$1*-1))</f>
        <v>399.79460000000012</v>
      </c>
      <c r="D421" s="27">
        <f ca="1">AVERAGE(OFFSET(SPY_Close_Price_PQ[[#This Row],[Close]], 0, 0, $D$1*-1))</f>
        <v>437.92669999999964</v>
      </c>
      <c r="E421" s="28">
        <f t="shared" ca="1" si="6"/>
        <v>0</v>
      </c>
    </row>
    <row r="422" spans="1:5" x14ac:dyDescent="0.4">
      <c r="A422" s="5">
        <v>44747</v>
      </c>
      <c r="B422" s="9">
        <v>381.96</v>
      </c>
      <c r="C422" s="27">
        <f ca="1">AVERAGE(OFFSET(SPY_Close_Price_PQ[[#This Row],[Close]], 0, 0, $C$1*-1))</f>
        <v>398.67260000000016</v>
      </c>
      <c r="D422" s="27">
        <f ca="1">AVERAGE(OFFSET(SPY_Close_Price_PQ[[#This Row],[Close]], 0, 0, $D$1*-1))</f>
        <v>437.60064999999963</v>
      </c>
      <c r="E422" s="28">
        <f t="shared" ca="1" si="6"/>
        <v>0</v>
      </c>
    </row>
    <row r="423" spans="1:5" x14ac:dyDescent="0.4">
      <c r="A423" s="4">
        <v>44748</v>
      </c>
      <c r="B423" s="8">
        <v>383.25</v>
      </c>
      <c r="C423" s="27">
        <f ca="1">AVERAGE(OFFSET(SPY_Close_Price_PQ[[#This Row],[Close]], 0, 0, $C$1*-1))</f>
        <v>397.81680000000017</v>
      </c>
      <c r="D423" s="27">
        <f ca="1">AVERAGE(OFFSET(SPY_Close_Price_PQ[[#This Row],[Close]], 0, 0, $D$1*-1))</f>
        <v>437.30989999999963</v>
      </c>
      <c r="E423" s="28">
        <f t="shared" ca="1" si="6"/>
        <v>0</v>
      </c>
    </row>
    <row r="424" spans="1:5" x14ac:dyDescent="0.4">
      <c r="A424" s="5">
        <v>44749</v>
      </c>
      <c r="B424" s="9">
        <v>388.99</v>
      </c>
      <c r="C424" s="27">
        <f ca="1">AVERAGE(OFFSET(SPY_Close_Price_PQ[[#This Row],[Close]], 0, 0, $C$1*-1))</f>
        <v>397.02640000000014</v>
      </c>
      <c r="D424" s="27">
        <f ca="1">AVERAGE(OFFSET(SPY_Close_Price_PQ[[#This Row],[Close]], 0, 0, $D$1*-1))</f>
        <v>437.08464999999967</v>
      </c>
      <c r="E424" s="28">
        <f t="shared" ca="1" si="6"/>
        <v>0</v>
      </c>
    </row>
    <row r="425" spans="1:5" x14ac:dyDescent="0.4">
      <c r="A425" s="4">
        <v>44750</v>
      </c>
      <c r="B425" s="8">
        <v>388.67</v>
      </c>
      <c r="C425" s="27">
        <f ca="1">AVERAGE(OFFSET(SPY_Close_Price_PQ[[#This Row],[Close]], 0, 0, $C$1*-1))</f>
        <v>396.47780000000006</v>
      </c>
      <c r="D425" s="27">
        <f ca="1">AVERAGE(OFFSET(SPY_Close_Price_PQ[[#This Row],[Close]], 0, 0, $D$1*-1))</f>
        <v>436.85984999999965</v>
      </c>
      <c r="E425" s="28">
        <f t="shared" ca="1" si="6"/>
        <v>0</v>
      </c>
    </row>
    <row r="426" spans="1:5" x14ac:dyDescent="0.4">
      <c r="A426" s="5">
        <v>44753</v>
      </c>
      <c r="B426" s="9">
        <v>384.23</v>
      </c>
      <c r="C426" s="27">
        <f ca="1">AVERAGE(OFFSET(SPY_Close_Price_PQ[[#This Row],[Close]], 0, 0, $C$1*-1))</f>
        <v>395.81700000000006</v>
      </c>
      <c r="D426" s="27">
        <f ca="1">AVERAGE(OFFSET(SPY_Close_Price_PQ[[#This Row],[Close]], 0, 0, $D$1*-1))</f>
        <v>436.59169999999961</v>
      </c>
      <c r="E426" s="28">
        <f t="shared" ca="1" si="6"/>
        <v>0</v>
      </c>
    </row>
    <row r="427" spans="1:5" x14ac:dyDescent="0.4">
      <c r="A427" s="4">
        <v>44754</v>
      </c>
      <c r="B427" s="8">
        <v>380.83</v>
      </c>
      <c r="C427" s="27">
        <f ca="1">AVERAGE(OFFSET(SPY_Close_Price_PQ[[#This Row],[Close]], 0, 0, $C$1*-1))</f>
        <v>394.87740000000008</v>
      </c>
      <c r="D427" s="27">
        <f ca="1">AVERAGE(OFFSET(SPY_Close_Price_PQ[[#This Row],[Close]], 0, 0, $D$1*-1))</f>
        <v>436.27994999999964</v>
      </c>
      <c r="E427" s="28">
        <f t="shared" ca="1" si="6"/>
        <v>0</v>
      </c>
    </row>
    <row r="428" spans="1:5" x14ac:dyDescent="0.4">
      <c r="A428" s="5">
        <v>44755</v>
      </c>
      <c r="B428" s="9">
        <v>378.83</v>
      </c>
      <c r="C428" s="27">
        <f ca="1">AVERAGE(OFFSET(SPY_Close_Price_PQ[[#This Row],[Close]], 0, 0, $C$1*-1))</f>
        <v>394.21400000000011</v>
      </c>
      <c r="D428" s="27">
        <f ca="1">AVERAGE(OFFSET(SPY_Close_Price_PQ[[#This Row],[Close]], 0, 0, $D$1*-1))</f>
        <v>435.95454999999964</v>
      </c>
      <c r="E428" s="28">
        <f t="shared" ca="1" si="6"/>
        <v>0</v>
      </c>
    </row>
    <row r="429" spans="1:5" x14ac:dyDescent="0.4">
      <c r="A429" s="4">
        <v>44756</v>
      </c>
      <c r="B429" s="8">
        <v>377.91</v>
      </c>
      <c r="C429" s="27">
        <f ca="1">AVERAGE(OFFSET(SPY_Close_Price_PQ[[#This Row],[Close]], 0, 0, $C$1*-1))</f>
        <v>393.4826000000001</v>
      </c>
      <c r="D429" s="27">
        <f ca="1">AVERAGE(OFFSET(SPY_Close_Price_PQ[[#This Row],[Close]], 0, 0, $D$1*-1))</f>
        <v>435.63089999999977</v>
      </c>
      <c r="E429" s="28">
        <f t="shared" ca="1" si="6"/>
        <v>0</v>
      </c>
    </row>
    <row r="430" spans="1:5" x14ac:dyDescent="0.4">
      <c r="A430" s="5">
        <v>44757</v>
      </c>
      <c r="B430" s="9">
        <v>385.13</v>
      </c>
      <c r="C430" s="27">
        <f ca="1">AVERAGE(OFFSET(SPY_Close_Price_PQ[[#This Row],[Close]], 0, 0, $C$1*-1))</f>
        <v>392.85760000000016</v>
      </c>
      <c r="D430" s="27">
        <f ca="1">AVERAGE(OFFSET(SPY_Close_Price_PQ[[#This Row],[Close]], 0, 0, $D$1*-1))</f>
        <v>435.38794999999971</v>
      </c>
      <c r="E430" s="28">
        <f t="shared" ca="1" si="6"/>
        <v>0</v>
      </c>
    </row>
    <row r="431" spans="1:5" x14ac:dyDescent="0.4">
      <c r="A431" s="4">
        <v>44760</v>
      </c>
      <c r="B431" s="8">
        <v>381.95</v>
      </c>
      <c r="C431" s="27">
        <f ca="1">AVERAGE(OFFSET(SPY_Close_Price_PQ[[#This Row],[Close]], 0, 0, $C$1*-1))</f>
        <v>391.91540000000015</v>
      </c>
      <c r="D431" s="27">
        <f ca="1">AVERAGE(OFFSET(SPY_Close_Price_PQ[[#This Row],[Close]], 0, 0, $D$1*-1))</f>
        <v>435.12544999999972</v>
      </c>
      <c r="E431" s="28">
        <f t="shared" ca="1" si="6"/>
        <v>0</v>
      </c>
    </row>
    <row r="432" spans="1:5" x14ac:dyDescent="0.4">
      <c r="A432" s="5">
        <v>44761</v>
      </c>
      <c r="B432" s="9">
        <v>392.27</v>
      </c>
      <c r="C432" s="27">
        <f ca="1">AVERAGE(OFFSET(SPY_Close_Price_PQ[[#This Row],[Close]], 0, 0, $C$1*-1))</f>
        <v>391.48460000000006</v>
      </c>
      <c r="D432" s="27">
        <f ca="1">AVERAGE(OFFSET(SPY_Close_Price_PQ[[#This Row],[Close]], 0, 0, $D$1*-1))</f>
        <v>434.94109999999966</v>
      </c>
      <c r="E432" s="28">
        <f t="shared" ca="1" si="6"/>
        <v>0</v>
      </c>
    </row>
    <row r="433" spans="1:5" x14ac:dyDescent="0.4">
      <c r="A433" s="4">
        <v>44762</v>
      </c>
      <c r="B433" s="8">
        <v>394.77</v>
      </c>
      <c r="C433" s="27">
        <f ca="1">AVERAGE(OFFSET(SPY_Close_Price_PQ[[#This Row],[Close]], 0, 0, $C$1*-1))</f>
        <v>391.15320000000008</v>
      </c>
      <c r="D433" s="27">
        <f ca="1">AVERAGE(OFFSET(SPY_Close_Price_PQ[[#This Row],[Close]], 0, 0, $D$1*-1))</f>
        <v>434.74374999999981</v>
      </c>
      <c r="E433" s="28">
        <f t="shared" ca="1" si="6"/>
        <v>0</v>
      </c>
    </row>
    <row r="434" spans="1:5" x14ac:dyDescent="0.4">
      <c r="A434" s="5">
        <v>44763</v>
      </c>
      <c r="B434" s="9">
        <v>398.79</v>
      </c>
      <c r="C434" s="27">
        <f ca="1">AVERAGE(OFFSET(SPY_Close_Price_PQ[[#This Row],[Close]], 0, 0, $C$1*-1))</f>
        <v>391.1656000000001</v>
      </c>
      <c r="D434" s="27">
        <f ca="1">AVERAGE(OFFSET(SPY_Close_Price_PQ[[#This Row],[Close]], 0, 0, $D$1*-1))</f>
        <v>434.5944999999997</v>
      </c>
      <c r="E434" s="28">
        <f t="shared" ca="1" si="6"/>
        <v>0</v>
      </c>
    </row>
    <row r="435" spans="1:5" x14ac:dyDescent="0.4">
      <c r="A435" s="4">
        <v>44764</v>
      </c>
      <c r="B435" s="8">
        <v>395.09</v>
      </c>
      <c r="C435" s="27">
        <f ca="1">AVERAGE(OFFSET(SPY_Close_Price_PQ[[#This Row],[Close]], 0, 0, $C$1*-1))</f>
        <v>391.08560000000011</v>
      </c>
      <c r="D435" s="27">
        <f ca="1">AVERAGE(OFFSET(SPY_Close_Price_PQ[[#This Row],[Close]], 0, 0, $D$1*-1))</f>
        <v>434.40444999999971</v>
      </c>
      <c r="E435" s="28">
        <f t="shared" ca="1" si="6"/>
        <v>0</v>
      </c>
    </row>
    <row r="436" spans="1:5" x14ac:dyDescent="0.4">
      <c r="A436" s="5">
        <v>44767</v>
      </c>
      <c r="B436" s="9">
        <v>395.57</v>
      </c>
      <c r="C436" s="27">
        <f ca="1">AVERAGE(OFFSET(SPY_Close_Price_PQ[[#This Row],[Close]], 0, 0, $C$1*-1))</f>
        <v>391.14200000000005</v>
      </c>
      <c r="D436" s="27">
        <f ca="1">AVERAGE(OFFSET(SPY_Close_Price_PQ[[#This Row],[Close]], 0, 0, $D$1*-1))</f>
        <v>434.20779999999979</v>
      </c>
      <c r="E436" s="28">
        <f t="shared" ca="1" si="6"/>
        <v>0</v>
      </c>
    </row>
    <row r="437" spans="1:5" x14ac:dyDescent="0.4">
      <c r="A437" s="4">
        <v>44768</v>
      </c>
      <c r="B437" s="8">
        <v>390.89</v>
      </c>
      <c r="C437" s="27">
        <f ca="1">AVERAGE(OFFSET(SPY_Close_Price_PQ[[#This Row],[Close]], 0, 0, $C$1*-1))</f>
        <v>391.11300000000006</v>
      </c>
      <c r="D437" s="27">
        <f ca="1">AVERAGE(OFFSET(SPY_Close_Price_PQ[[#This Row],[Close]], 0, 0, $D$1*-1))</f>
        <v>433.96894999999972</v>
      </c>
      <c r="E437" s="28">
        <f t="shared" ca="1" si="6"/>
        <v>0</v>
      </c>
    </row>
    <row r="438" spans="1:5" x14ac:dyDescent="0.4">
      <c r="A438" s="5">
        <v>44769</v>
      </c>
      <c r="B438" s="9">
        <v>401.04</v>
      </c>
      <c r="C438" s="27">
        <f ca="1">AVERAGE(OFFSET(SPY_Close_Price_PQ[[#This Row],[Close]], 0, 0, $C$1*-1))</f>
        <v>391.0994</v>
      </c>
      <c r="D438" s="27">
        <f ca="1">AVERAGE(OFFSET(SPY_Close_Price_PQ[[#This Row],[Close]], 0, 0, $D$1*-1))</f>
        <v>433.78484999999972</v>
      </c>
      <c r="E438" s="28">
        <f t="shared" ca="1" si="6"/>
        <v>0</v>
      </c>
    </row>
    <row r="439" spans="1:5" x14ac:dyDescent="0.4">
      <c r="A439" s="4">
        <v>44770</v>
      </c>
      <c r="B439" s="8">
        <v>406.07</v>
      </c>
      <c r="C439" s="27">
        <f ca="1">AVERAGE(OFFSET(SPY_Close_Price_PQ[[#This Row],[Close]], 0, 0, $C$1*-1))</f>
        <v>391.21899999999994</v>
      </c>
      <c r="D439" s="27">
        <f ca="1">AVERAGE(OFFSET(SPY_Close_Price_PQ[[#This Row],[Close]], 0, 0, $D$1*-1))</f>
        <v>433.64174999999972</v>
      </c>
      <c r="E439" s="28">
        <f t="shared" ca="1" si="6"/>
        <v>0</v>
      </c>
    </row>
    <row r="440" spans="1:5" x14ac:dyDescent="0.4">
      <c r="A440" s="5">
        <v>44771</v>
      </c>
      <c r="B440" s="9">
        <v>411.99</v>
      </c>
      <c r="C440" s="27">
        <f ca="1">AVERAGE(OFFSET(SPY_Close_Price_PQ[[#This Row],[Close]], 0, 0, $C$1*-1))</f>
        <v>391.29239999999999</v>
      </c>
      <c r="D440" s="27">
        <f ca="1">AVERAGE(OFFSET(SPY_Close_Price_PQ[[#This Row],[Close]], 0, 0, $D$1*-1))</f>
        <v>433.53359999999969</v>
      </c>
      <c r="E440" s="28">
        <f t="shared" ca="1" si="6"/>
        <v>0</v>
      </c>
    </row>
    <row r="441" spans="1:5" x14ac:dyDescent="0.4">
      <c r="A441" s="4">
        <v>44774</v>
      </c>
      <c r="B441" s="8">
        <v>410.77</v>
      </c>
      <c r="C441" s="27">
        <f ca="1">AVERAGE(OFFSET(SPY_Close_Price_PQ[[#This Row],[Close]], 0, 0, $C$1*-1))</f>
        <v>391.67059999999998</v>
      </c>
      <c r="D441" s="27">
        <f ca="1">AVERAGE(OFFSET(SPY_Close_Price_PQ[[#This Row],[Close]], 0, 0, $D$1*-1))</f>
        <v>433.41154999999975</v>
      </c>
      <c r="E441" s="28">
        <f t="shared" ca="1" si="6"/>
        <v>0</v>
      </c>
    </row>
    <row r="442" spans="1:5" x14ac:dyDescent="0.4">
      <c r="A442" s="5">
        <v>44775</v>
      </c>
      <c r="B442" s="9">
        <v>408.06</v>
      </c>
      <c r="C442" s="27">
        <f ca="1">AVERAGE(OFFSET(SPY_Close_Price_PQ[[#This Row],[Close]], 0, 0, $C$1*-1))</f>
        <v>392.04259999999999</v>
      </c>
      <c r="D442" s="27">
        <f ca="1">AVERAGE(OFFSET(SPY_Close_Price_PQ[[#This Row],[Close]], 0, 0, $D$1*-1))</f>
        <v>433.23934999999977</v>
      </c>
      <c r="E442" s="28">
        <f t="shared" ca="1" si="6"/>
        <v>0</v>
      </c>
    </row>
    <row r="443" spans="1:5" x14ac:dyDescent="0.4">
      <c r="A443" s="4">
        <v>44776</v>
      </c>
      <c r="B443" s="8">
        <v>414.45</v>
      </c>
      <c r="C443" s="27">
        <f ca="1">AVERAGE(OFFSET(SPY_Close_Price_PQ[[#This Row],[Close]], 0, 0, $C$1*-1))</f>
        <v>392.53899999999999</v>
      </c>
      <c r="D443" s="27">
        <f ca="1">AVERAGE(OFFSET(SPY_Close_Price_PQ[[#This Row],[Close]], 0, 0, $D$1*-1))</f>
        <v>433.08224999999976</v>
      </c>
      <c r="E443" s="28">
        <f t="shared" ca="1" si="6"/>
        <v>0</v>
      </c>
    </row>
    <row r="444" spans="1:5" x14ac:dyDescent="0.4">
      <c r="A444" s="5">
        <v>44777</v>
      </c>
      <c r="B444" s="9">
        <v>414.17</v>
      </c>
      <c r="C444" s="27">
        <f ca="1">AVERAGE(OFFSET(SPY_Close_Price_PQ[[#This Row],[Close]], 0, 0, $C$1*-1))</f>
        <v>392.88400000000001</v>
      </c>
      <c r="D444" s="27">
        <f ca="1">AVERAGE(OFFSET(SPY_Close_Price_PQ[[#This Row],[Close]], 0, 0, $D$1*-1))</f>
        <v>432.91714999999976</v>
      </c>
      <c r="E444" s="28">
        <f t="shared" ca="1" si="6"/>
        <v>0</v>
      </c>
    </row>
    <row r="445" spans="1:5" x14ac:dyDescent="0.4">
      <c r="A445" s="4">
        <v>44778</v>
      </c>
      <c r="B445" s="8">
        <v>413.47</v>
      </c>
      <c r="C445" s="27">
        <f ca="1">AVERAGE(OFFSET(SPY_Close_Price_PQ[[#This Row],[Close]], 0, 0, $C$1*-1))</f>
        <v>393.27560000000005</v>
      </c>
      <c r="D445" s="27">
        <f ca="1">AVERAGE(OFFSET(SPY_Close_Price_PQ[[#This Row],[Close]], 0, 0, $D$1*-1))</f>
        <v>432.73129999999975</v>
      </c>
      <c r="E445" s="28">
        <f t="shared" ca="1" si="6"/>
        <v>0</v>
      </c>
    </row>
    <row r="446" spans="1:5" x14ac:dyDescent="0.4">
      <c r="A446" s="5">
        <v>44781</v>
      </c>
      <c r="B446" s="9">
        <v>412.99</v>
      </c>
      <c r="C446" s="27">
        <f ca="1">AVERAGE(OFFSET(SPY_Close_Price_PQ[[#This Row],[Close]], 0, 0, $C$1*-1))</f>
        <v>393.58800000000002</v>
      </c>
      <c r="D446" s="27">
        <f ca="1">AVERAGE(OFFSET(SPY_Close_Price_PQ[[#This Row],[Close]], 0, 0, $D$1*-1))</f>
        <v>432.53419999999977</v>
      </c>
      <c r="E446" s="28">
        <f t="shared" ca="1" si="6"/>
        <v>0</v>
      </c>
    </row>
    <row r="447" spans="1:5" x14ac:dyDescent="0.4">
      <c r="A447" s="4">
        <v>44782</v>
      </c>
      <c r="B447" s="8">
        <v>411.35</v>
      </c>
      <c r="C447" s="27">
        <f ca="1">AVERAGE(OFFSET(SPY_Close_Price_PQ[[#This Row],[Close]], 0, 0, $C$1*-1))</f>
        <v>393.70880000000011</v>
      </c>
      <c r="D447" s="27">
        <f ca="1">AVERAGE(OFFSET(SPY_Close_Price_PQ[[#This Row],[Close]], 0, 0, $D$1*-1))</f>
        <v>432.32299999999981</v>
      </c>
      <c r="E447" s="28">
        <f t="shared" ca="1" si="6"/>
        <v>0</v>
      </c>
    </row>
    <row r="448" spans="1:5" x14ac:dyDescent="0.4">
      <c r="A448" s="5">
        <v>44783</v>
      </c>
      <c r="B448" s="9">
        <v>419.99</v>
      </c>
      <c r="C448" s="27">
        <f ca="1">AVERAGE(OFFSET(SPY_Close_Price_PQ[[#This Row],[Close]], 0, 0, $C$1*-1))</f>
        <v>393.80340000000001</v>
      </c>
      <c r="D448" s="27">
        <f ca="1">AVERAGE(OFFSET(SPY_Close_Price_PQ[[#This Row],[Close]], 0, 0, $D$1*-1))</f>
        <v>432.15734999999978</v>
      </c>
      <c r="E448" s="28">
        <f t="shared" ca="1" si="6"/>
        <v>0</v>
      </c>
    </row>
    <row r="449" spans="1:5" x14ac:dyDescent="0.4">
      <c r="A449" s="4">
        <v>44784</v>
      </c>
      <c r="B449" s="8">
        <v>419.99</v>
      </c>
      <c r="C449" s="27">
        <f ca="1">AVERAGE(OFFSET(SPY_Close_Price_PQ[[#This Row],[Close]], 0, 0, $C$1*-1))</f>
        <v>393.94460000000004</v>
      </c>
      <c r="D449" s="27">
        <f ca="1">AVERAGE(OFFSET(SPY_Close_Price_PQ[[#This Row],[Close]], 0, 0, $D$1*-1))</f>
        <v>431.97954999999985</v>
      </c>
      <c r="E449" s="28">
        <f t="shared" ca="1" si="6"/>
        <v>0</v>
      </c>
    </row>
    <row r="450" spans="1:5" x14ac:dyDescent="0.4">
      <c r="A450" s="5">
        <v>44785</v>
      </c>
      <c r="B450" s="9">
        <v>427.1</v>
      </c>
      <c r="C450" s="27">
        <f ca="1">AVERAGE(OFFSET(SPY_Close_Price_PQ[[#This Row],[Close]], 0, 0, $C$1*-1))</f>
        <v>394.29480000000001</v>
      </c>
      <c r="D450" s="27">
        <f ca="1">AVERAGE(OFFSET(SPY_Close_Price_PQ[[#This Row],[Close]], 0, 0, $D$1*-1))</f>
        <v>431.83524999999986</v>
      </c>
      <c r="E450" s="28">
        <f t="shared" ca="1" si="6"/>
        <v>0</v>
      </c>
    </row>
    <row r="451" spans="1:5" x14ac:dyDescent="0.4">
      <c r="A451" s="4">
        <v>44788</v>
      </c>
      <c r="B451" s="8">
        <v>428.86</v>
      </c>
      <c r="C451" s="27">
        <f ca="1">AVERAGE(OFFSET(SPY_Close_Price_PQ[[#This Row],[Close]], 0, 0, $C$1*-1))</f>
        <v>394.52420000000006</v>
      </c>
      <c r="D451" s="27">
        <f ca="1">AVERAGE(OFFSET(SPY_Close_Price_PQ[[#This Row],[Close]], 0, 0, $D$1*-1))</f>
        <v>431.70984999999996</v>
      </c>
      <c r="E451" s="28">
        <f t="shared" ca="1" si="6"/>
        <v>0</v>
      </c>
    </row>
    <row r="452" spans="1:5" x14ac:dyDescent="0.4">
      <c r="A452" s="5">
        <v>44789</v>
      </c>
      <c r="B452" s="9">
        <v>429.7</v>
      </c>
      <c r="C452" s="27">
        <f ca="1">AVERAGE(OFFSET(SPY_Close_Price_PQ[[#This Row],[Close]], 0, 0, $C$1*-1))</f>
        <v>394.90740000000011</v>
      </c>
      <c r="D452" s="27">
        <f ca="1">AVERAGE(OFFSET(SPY_Close_Price_PQ[[#This Row],[Close]], 0, 0, $D$1*-1))</f>
        <v>431.56674999999996</v>
      </c>
      <c r="E452" s="28">
        <f t="shared" ref="E452:E515" ca="1" si="7">IF(AND(C451&lt;D451,C452&gt;D452),1,0)</f>
        <v>0</v>
      </c>
    </row>
    <row r="453" spans="1:5" x14ac:dyDescent="0.4">
      <c r="A453" s="4">
        <v>44790</v>
      </c>
      <c r="B453" s="8">
        <v>426.65</v>
      </c>
      <c r="C453" s="27">
        <f ca="1">AVERAGE(OFFSET(SPY_Close_Price_PQ[[#This Row],[Close]], 0, 0, $C$1*-1))</f>
        <v>395.20460000000008</v>
      </c>
      <c r="D453" s="27">
        <f ca="1">AVERAGE(OFFSET(SPY_Close_Price_PQ[[#This Row],[Close]], 0, 0, $D$1*-1))</f>
        <v>431.40374999999995</v>
      </c>
      <c r="E453" s="28">
        <f t="shared" ca="1" si="7"/>
        <v>0</v>
      </c>
    </row>
    <row r="454" spans="1:5" x14ac:dyDescent="0.4">
      <c r="A454" s="5">
        <v>44791</v>
      </c>
      <c r="B454" s="9">
        <v>427.89</v>
      </c>
      <c r="C454" s="27">
        <f ca="1">AVERAGE(OFFSET(SPY_Close_Price_PQ[[#This Row],[Close]], 0, 0, $C$1*-1))</f>
        <v>395.44760000000008</v>
      </c>
      <c r="D454" s="27">
        <f ca="1">AVERAGE(OFFSET(SPY_Close_Price_PQ[[#This Row],[Close]], 0, 0, $D$1*-1))</f>
        <v>431.24299999999994</v>
      </c>
      <c r="E454" s="28">
        <f t="shared" ca="1" si="7"/>
        <v>0</v>
      </c>
    </row>
    <row r="455" spans="1:5" x14ac:dyDescent="0.4">
      <c r="A455" s="4">
        <v>44792</v>
      </c>
      <c r="B455" s="8">
        <v>422.14</v>
      </c>
      <c r="C455" s="27">
        <f ca="1">AVERAGE(OFFSET(SPY_Close_Price_PQ[[#This Row],[Close]], 0, 0, $C$1*-1))</f>
        <v>395.66600000000005</v>
      </c>
      <c r="D455" s="27">
        <f ca="1">AVERAGE(OFFSET(SPY_Close_Price_PQ[[#This Row],[Close]], 0, 0, $D$1*-1))</f>
        <v>431.04419999999999</v>
      </c>
      <c r="E455" s="28">
        <f t="shared" ca="1" si="7"/>
        <v>0</v>
      </c>
    </row>
    <row r="456" spans="1:5" x14ac:dyDescent="0.4">
      <c r="A456" s="5">
        <v>44795</v>
      </c>
      <c r="B456" s="9">
        <v>413.35</v>
      </c>
      <c r="C456" s="27">
        <f ca="1">AVERAGE(OFFSET(SPY_Close_Price_PQ[[#This Row],[Close]], 0, 0, $C$1*-1))</f>
        <v>395.90420000000006</v>
      </c>
      <c r="D456" s="27">
        <f ca="1">AVERAGE(OFFSET(SPY_Close_Price_PQ[[#This Row],[Close]], 0, 0, $D$1*-1))</f>
        <v>430.78735</v>
      </c>
      <c r="E456" s="28">
        <f t="shared" ca="1" si="7"/>
        <v>0</v>
      </c>
    </row>
    <row r="457" spans="1:5" x14ac:dyDescent="0.4">
      <c r="A457" s="4">
        <v>44796</v>
      </c>
      <c r="B457" s="8">
        <v>412.35</v>
      </c>
      <c r="C457" s="27">
        <f ca="1">AVERAGE(OFFSET(SPY_Close_Price_PQ[[#This Row],[Close]], 0, 0, $C$1*-1))</f>
        <v>396.35519999999997</v>
      </c>
      <c r="D457" s="27">
        <f ca="1">AVERAGE(OFFSET(SPY_Close_Price_PQ[[#This Row],[Close]], 0, 0, $D$1*-1))</f>
        <v>430.51455000000004</v>
      </c>
      <c r="E457" s="28">
        <f t="shared" ca="1" si="7"/>
        <v>0</v>
      </c>
    </row>
    <row r="458" spans="1:5" x14ac:dyDescent="0.4">
      <c r="A458" s="5">
        <v>44797</v>
      </c>
      <c r="B458" s="9">
        <v>413.67</v>
      </c>
      <c r="C458" s="27">
        <f ca="1">AVERAGE(OFFSET(SPY_Close_Price_PQ[[#This Row],[Close]], 0, 0, $C$1*-1))</f>
        <v>397.12859999999995</v>
      </c>
      <c r="D458" s="27">
        <f ca="1">AVERAGE(OFFSET(SPY_Close_Price_PQ[[#This Row],[Close]], 0, 0, $D$1*-1))</f>
        <v>430.24025</v>
      </c>
      <c r="E458" s="28">
        <f t="shared" ca="1" si="7"/>
        <v>0</v>
      </c>
    </row>
    <row r="459" spans="1:5" x14ac:dyDescent="0.4">
      <c r="A459" s="4">
        <v>44798</v>
      </c>
      <c r="B459" s="8">
        <v>419.51</v>
      </c>
      <c r="C459" s="27">
        <f ca="1">AVERAGE(OFFSET(SPY_Close_Price_PQ[[#This Row],[Close]], 0, 0, $C$1*-1))</f>
        <v>398.0413999999999</v>
      </c>
      <c r="D459" s="27">
        <f ca="1">AVERAGE(OFFSET(SPY_Close_Price_PQ[[#This Row],[Close]], 0, 0, $D$1*-1))</f>
        <v>429.99315000000001</v>
      </c>
      <c r="E459" s="28">
        <f t="shared" ca="1" si="7"/>
        <v>0</v>
      </c>
    </row>
    <row r="460" spans="1:5" x14ac:dyDescent="0.4">
      <c r="A460" s="5">
        <v>44799</v>
      </c>
      <c r="B460" s="9">
        <v>405.31</v>
      </c>
      <c r="C460" s="27">
        <f ca="1">AVERAGE(OFFSET(SPY_Close_Price_PQ[[#This Row],[Close]], 0, 0, $C$1*-1))</f>
        <v>398.56359999999995</v>
      </c>
      <c r="D460" s="27">
        <f ca="1">AVERAGE(OFFSET(SPY_Close_Price_PQ[[#This Row],[Close]], 0, 0, $D$1*-1))</f>
        <v>429.68279999999999</v>
      </c>
      <c r="E460" s="28">
        <f t="shared" ca="1" si="7"/>
        <v>0</v>
      </c>
    </row>
    <row r="461" spans="1:5" x14ac:dyDescent="0.4">
      <c r="A461" s="4">
        <v>44802</v>
      </c>
      <c r="B461" s="8">
        <v>402.63</v>
      </c>
      <c r="C461" s="27">
        <f ca="1">AVERAGE(OFFSET(SPY_Close_Price_PQ[[#This Row],[Close]], 0, 0, $C$1*-1))</f>
        <v>399.28320000000002</v>
      </c>
      <c r="D461" s="27">
        <f ca="1">AVERAGE(OFFSET(SPY_Close_Price_PQ[[#This Row],[Close]], 0, 0, $D$1*-1))</f>
        <v>429.37785000000008</v>
      </c>
      <c r="E461" s="28">
        <f t="shared" ca="1" si="7"/>
        <v>0</v>
      </c>
    </row>
    <row r="462" spans="1:5" x14ac:dyDescent="0.4">
      <c r="A462" s="5">
        <v>44803</v>
      </c>
      <c r="B462" s="9">
        <v>398.21</v>
      </c>
      <c r="C462" s="27">
        <f ca="1">AVERAGE(OFFSET(SPY_Close_Price_PQ[[#This Row],[Close]], 0, 0, $C$1*-1))</f>
        <v>399.93019999999996</v>
      </c>
      <c r="D462" s="27">
        <f ca="1">AVERAGE(OFFSET(SPY_Close_Price_PQ[[#This Row],[Close]], 0, 0, $D$1*-1))</f>
        <v>429.05005000000011</v>
      </c>
      <c r="E462" s="28">
        <f t="shared" ca="1" si="7"/>
        <v>0</v>
      </c>
    </row>
    <row r="463" spans="1:5" x14ac:dyDescent="0.4">
      <c r="A463" s="4">
        <v>44804</v>
      </c>
      <c r="B463" s="8">
        <v>395.18</v>
      </c>
      <c r="C463" s="27">
        <f ca="1">AVERAGE(OFFSET(SPY_Close_Price_PQ[[#This Row],[Close]], 0, 0, $C$1*-1))</f>
        <v>400.33239999999989</v>
      </c>
      <c r="D463" s="27">
        <f ca="1">AVERAGE(OFFSET(SPY_Close_Price_PQ[[#This Row],[Close]], 0, 0, $D$1*-1))</f>
        <v>428.68960000000004</v>
      </c>
      <c r="E463" s="28">
        <f t="shared" ca="1" si="7"/>
        <v>0</v>
      </c>
    </row>
    <row r="464" spans="1:5" x14ac:dyDescent="0.4">
      <c r="A464" s="5">
        <v>44805</v>
      </c>
      <c r="B464" s="9">
        <v>396.42</v>
      </c>
      <c r="C464" s="27">
        <f ca="1">AVERAGE(OFFSET(SPY_Close_Price_PQ[[#This Row],[Close]], 0, 0, $C$1*-1))</f>
        <v>400.77299999999991</v>
      </c>
      <c r="D464" s="27">
        <f ca="1">AVERAGE(OFFSET(SPY_Close_Price_PQ[[#This Row],[Close]], 0, 0, $D$1*-1))</f>
        <v>428.33455000000009</v>
      </c>
      <c r="E464" s="28">
        <f t="shared" ca="1" si="7"/>
        <v>0</v>
      </c>
    </row>
    <row r="465" spans="1:5" x14ac:dyDescent="0.4">
      <c r="A465" s="4">
        <v>44806</v>
      </c>
      <c r="B465" s="8">
        <v>392.24</v>
      </c>
      <c r="C465" s="27">
        <f ca="1">AVERAGE(OFFSET(SPY_Close_Price_PQ[[#This Row],[Close]], 0, 0, $C$1*-1))</f>
        <v>401.05659999999995</v>
      </c>
      <c r="D465" s="27">
        <f ca="1">AVERAGE(OFFSET(SPY_Close_Price_PQ[[#This Row],[Close]], 0, 0, $D$1*-1))</f>
        <v>427.94935000000004</v>
      </c>
      <c r="E465" s="28">
        <f t="shared" ca="1" si="7"/>
        <v>0</v>
      </c>
    </row>
    <row r="466" spans="1:5" x14ac:dyDescent="0.4">
      <c r="A466" s="5">
        <v>44810</v>
      </c>
      <c r="B466" s="9">
        <v>390.76</v>
      </c>
      <c r="C466" s="27">
        <f ca="1">AVERAGE(OFFSET(SPY_Close_Price_PQ[[#This Row],[Close]], 0, 0, $C$1*-1))</f>
        <v>401.07019999999994</v>
      </c>
      <c r="D466" s="27">
        <f ca="1">AVERAGE(OFFSET(SPY_Close_Price_PQ[[#This Row],[Close]], 0, 0, $D$1*-1))</f>
        <v>427.56245000000001</v>
      </c>
      <c r="E466" s="28">
        <f t="shared" ca="1" si="7"/>
        <v>0</v>
      </c>
    </row>
    <row r="467" spans="1:5" x14ac:dyDescent="0.4">
      <c r="A467" s="4">
        <v>44811</v>
      </c>
      <c r="B467" s="8">
        <v>397.78</v>
      </c>
      <c r="C467" s="27">
        <f ca="1">AVERAGE(OFFSET(SPY_Close_Price_PQ[[#This Row],[Close]], 0, 0, $C$1*-1))</f>
        <v>401.25399999999996</v>
      </c>
      <c r="D467" s="27">
        <f ca="1">AVERAGE(OFFSET(SPY_Close_Price_PQ[[#This Row],[Close]], 0, 0, $D$1*-1))</f>
        <v>427.20270000000005</v>
      </c>
      <c r="E467" s="28">
        <f t="shared" ca="1" si="7"/>
        <v>0</v>
      </c>
    </row>
    <row r="468" spans="1:5" x14ac:dyDescent="0.4">
      <c r="A468" s="5">
        <v>44812</v>
      </c>
      <c r="B468" s="9">
        <v>400.38</v>
      </c>
      <c r="C468" s="27">
        <f ca="1">AVERAGE(OFFSET(SPY_Close_Price_PQ[[#This Row],[Close]], 0, 0, $C$1*-1))</f>
        <v>401.64859999999999</v>
      </c>
      <c r="D468" s="27">
        <f ca="1">AVERAGE(OFFSET(SPY_Close_Price_PQ[[#This Row],[Close]], 0, 0, $D$1*-1))</f>
        <v>426.86015000000009</v>
      </c>
      <c r="E468" s="28">
        <f t="shared" ca="1" si="7"/>
        <v>0</v>
      </c>
    </row>
    <row r="469" spans="1:5" x14ac:dyDescent="0.4">
      <c r="A469" s="4">
        <v>44813</v>
      </c>
      <c r="B469" s="8">
        <v>406.6</v>
      </c>
      <c r="C469" s="27">
        <f ca="1">AVERAGE(OFFSET(SPY_Close_Price_PQ[[#This Row],[Close]], 0, 0, $C$1*-1))</f>
        <v>402.17379999999997</v>
      </c>
      <c r="D469" s="27">
        <f ca="1">AVERAGE(OFFSET(SPY_Close_Price_PQ[[#This Row],[Close]], 0, 0, $D$1*-1))</f>
        <v>426.55530000000016</v>
      </c>
      <c r="E469" s="28">
        <f t="shared" ca="1" si="7"/>
        <v>0</v>
      </c>
    </row>
    <row r="470" spans="1:5" x14ac:dyDescent="0.4">
      <c r="A470" s="5">
        <v>44816</v>
      </c>
      <c r="B470" s="9">
        <v>410.97</v>
      </c>
      <c r="C470" s="27">
        <f ca="1">AVERAGE(OFFSET(SPY_Close_Price_PQ[[#This Row],[Close]], 0, 0, $C$1*-1))</f>
        <v>402.84819999999991</v>
      </c>
      <c r="D470" s="27">
        <f ca="1">AVERAGE(OFFSET(SPY_Close_Price_PQ[[#This Row],[Close]], 0, 0, $D$1*-1))</f>
        <v>426.26920000000007</v>
      </c>
      <c r="E470" s="28">
        <f t="shared" ca="1" si="7"/>
        <v>0</v>
      </c>
    </row>
    <row r="471" spans="1:5" x14ac:dyDescent="0.4">
      <c r="A471" s="4">
        <v>44817</v>
      </c>
      <c r="B471" s="8">
        <v>393.1</v>
      </c>
      <c r="C471" s="27">
        <f ca="1">AVERAGE(OFFSET(SPY_Close_Price_PQ[[#This Row],[Close]], 0, 0, $C$1*-1))</f>
        <v>403.08539999999994</v>
      </c>
      <c r="D471" s="27">
        <f ca="1">AVERAGE(OFFSET(SPY_Close_Price_PQ[[#This Row],[Close]], 0, 0, $D$1*-1))</f>
        <v>425.88749999999999</v>
      </c>
      <c r="E471" s="28">
        <f t="shared" ca="1" si="7"/>
        <v>0</v>
      </c>
    </row>
    <row r="472" spans="1:5" x14ac:dyDescent="0.4">
      <c r="A472" s="5">
        <v>44818</v>
      </c>
      <c r="B472" s="9">
        <v>394.6</v>
      </c>
      <c r="C472" s="27">
        <f ca="1">AVERAGE(OFFSET(SPY_Close_Price_PQ[[#This Row],[Close]], 0, 0, $C$1*-1))</f>
        <v>403.33819999999986</v>
      </c>
      <c r="D472" s="27">
        <f ca="1">AVERAGE(OFFSET(SPY_Close_Price_PQ[[#This Row],[Close]], 0, 0, $D$1*-1))</f>
        <v>425.56565000000001</v>
      </c>
      <c r="E472" s="28">
        <f t="shared" ca="1" si="7"/>
        <v>0</v>
      </c>
    </row>
    <row r="473" spans="1:5" x14ac:dyDescent="0.4">
      <c r="A473" s="4">
        <v>44819</v>
      </c>
      <c r="B473" s="8">
        <v>390.12</v>
      </c>
      <c r="C473" s="27">
        <f ca="1">AVERAGE(OFFSET(SPY_Close_Price_PQ[[#This Row],[Close]], 0, 0, $C$1*-1))</f>
        <v>403.47559999999982</v>
      </c>
      <c r="D473" s="27">
        <f ca="1">AVERAGE(OFFSET(SPY_Close_Price_PQ[[#This Row],[Close]], 0, 0, $D$1*-1))</f>
        <v>425.19325000000003</v>
      </c>
      <c r="E473" s="28">
        <f t="shared" ca="1" si="7"/>
        <v>0</v>
      </c>
    </row>
    <row r="474" spans="1:5" x14ac:dyDescent="0.4">
      <c r="A474" s="5">
        <v>44820</v>
      </c>
      <c r="B474" s="9">
        <v>385.56</v>
      </c>
      <c r="C474" s="27">
        <f ca="1">AVERAGE(OFFSET(SPY_Close_Price_PQ[[#This Row],[Close]], 0, 0, $C$1*-1))</f>
        <v>403.40699999999993</v>
      </c>
      <c r="D474" s="27">
        <f ca="1">AVERAGE(OFFSET(SPY_Close_Price_PQ[[#This Row],[Close]], 0, 0, $D$1*-1))</f>
        <v>424.84324999999995</v>
      </c>
      <c r="E474" s="28">
        <f t="shared" ca="1" si="7"/>
        <v>0</v>
      </c>
    </row>
    <row r="475" spans="1:5" x14ac:dyDescent="0.4">
      <c r="A475" s="4">
        <v>44823</v>
      </c>
      <c r="B475" s="8">
        <v>388.55</v>
      </c>
      <c r="C475" s="27">
        <f ca="1">AVERAGE(OFFSET(SPY_Close_Price_PQ[[#This Row],[Close]], 0, 0, $C$1*-1))</f>
        <v>403.4045999999999</v>
      </c>
      <c r="D475" s="27">
        <f ca="1">AVERAGE(OFFSET(SPY_Close_Price_PQ[[#This Row],[Close]], 0, 0, $D$1*-1))</f>
        <v>424.5335</v>
      </c>
      <c r="E475" s="28">
        <f t="shared" ca="1" si="7"/>
        <v>0</v>
      </c>
    </row>
    <row r="476" spans="1:5" x14ac:dyDescent="0.4">
      <c r="A476" s="5">
        <v>44824</v>
      </c>
      <c r="B476" s="9">
        <v>384.09</v>
      </c>
      <c r="C476" s="27">
        <f ca="1">AVERAGE(OFFSET(SPY_Close_Price_PQ[[#This Row],[Close]], 0, 0, $C$1*-1))</f>
        <v>403.40179999999992</v>
      </c>
      <c r="D476" s="27">
        <f ca="1">AVERAGE(OFFSET(SPY_Close_Price_PQ[[#This Row],[Close]], 0, 0, $D$1*-1))</f>
        <v>424.16694999999999</v>
      </c>
      <c r="E476" s="28">
        <f t="shared" ca="1" si="7"/>
        <v>0</v>
      </c>
    </row>
    <row r="477" spans="1:5" x14ac:dyDescent="0.4">
      <c r="A477" s="4">
        <v>44825</v>
      </c>
      <c r="B477" s="8">
        <v>377.39</v>
      </c>
      <c r="C477" s="27">
        <f ca="1">AVERAGE(OFFSET(SPY_Close_Price_PQ[[#This Row],[Close]], 0, 0, $C$1*-1))</f>
        <v>403.33299999999997</v>
      </c>
      <c r="D477" s="27">
        <f ca="1">AVERAGE(OFFSET(SPY_Close_Price_PQ[[#This Row],[Close]], 0, 0, $D$1*-1))</f>
        <v>423.78680000000003</v>
      </c>
      <c r="E477" s="28">
        <f t="shared" ca="1" si="7"/>
        <v>0</v>
      </c>
    </row>
    <row r="478" spans="1:5" x14ac:dyDescent="0.4">
      <c r="A478" s="5">
        <v>44826</v>
      </c>
      <c r="B478" s="9">
        <v>374.22</v>
      </c>
      <c r="C478" s="27">
        <f ca="1">AVERAGE(OFFSET(SPY_Close_Price_PQ[[#This Row],[Close]], 0, 0, $C$1*-1))</f>
        <v>403.24079999999992</v>
      </c>
      <c r="D478" s="27">
        <f ca="1">AVERAGE(OFFSET(SPY_Close_Price_PQ[[#This Row],[Close]], 0, 0, $D$1*-1))</f>
        <v>423.36394999999999</v>
      </c>
      <c r="E478" s="28">
        <f t="shared" ca="1" si="7"/>
        <v>0</v>
      </c>
    </row>
    <row r="479" spans="1:5" x14ac:dyDescent="0.4">
      <c r="A479" s="4">
        <v>44827</v>
      </c>
      <c r="B479" s="8">
        <v>367.95</v>
      </c>
      <c r="C479" s="27">
        <f ca="1">AVERAGE(OFFSET(SPY_Close_Price_PQ[[#This Row],[Close]], 0, 0, $C$1*-1))</f>
        <v>403.04159999999996</v>
      </c>
      <c r="D479" s="27">
        <f ca="1">AVERAGE(OFFSET(SPY_Close_Price_PQ[[#This Row],[Close]], 0, 0, $D$1*-1))</f>
        <v>422.86229999999995</v>
      </c>
      <c r="E479" s="28">
        <f t="shared" ca="1" si="7"/>
        <v>0</v>
      </c>
    </row>
    <row r="480" spans="1:5" x14ac:dyDescent="0.4">
      <c r="A480" s="5">
        <v>44830</v>
      </c>
      <c r="B480" s="9">
        <v>364.31</v>
      </c>
      <c r="C480" s="27">
        <f ca="1">AVERAGE(OFFSET(SPY_Close_Price_PQ[[#This Row],[Close]], 0, 0, $C$1*-1))</f>
        <v>402.62519999999995</v>
      </c>
      <c r="D480" s="27">
        <f ca="1">AVERAGE(OFFSET(SPY_Close_Price_PQ[[#This Row],[Close]], 0, 0, $D$1*-1))</f>
        <v>422.33624999999995</v>
      </c>
      <c r="E480" s="28">
        <f t="shared" ca="1" si="7"/>
        <v>0</v>
      </c>
    </row>
    <row r="481" spans="1:5" x14ac:dyDescent="0.4">
      <c r="A481" s="4">
        <v>44831</v>
      </c>
      <c r="B481" s="8">
        <v>363.38</v>
      </c>
      <c r="C481" s="27">
        <f ca="1">AVERAGE(OFFSET(SPY_Close_Price_PQ[[#This Row],[Close]], 0, 0, $C$1*-1))</f>
        <v>402.25379999999996</v>
      </c>
      <c r="D481" s="27">
        <f ca="1">AVERAGE(OFFSET(SPY_Close_Price_PQ[[#This Row],[Close]], 0, 0, $D$1*-1))</f>
        <v>421.82139999999998</v>
      </c>
      <c r="E481" s="28">
        <f t="shared" ca="1" si="7"/>
        <v>0</v>
      </c>
    </row>
    <row r="482" spans="1:5" x14ac:dyDescent="0.4">
      <c r="A482" s="5">
        <v>44832</v>
      </c>
      <c r="B482" s="9">
        <v>370.53</v>
      </c>
      <c r="C482" s="27">
        <f ca="1">AVERAGE(OFFSET(SPY_Close_Price_PQ[[#This Row],[Close]], 0, 0, $C$1*-1))</f>
        <v>401.81900000000002</v>
      </c>
      <c r="D482" s="27">
        <f ca="1">AVERAGE(OFFSET(SPY_Close_Price_PQ[[#This Row],[Close]], 0, 0, $D$1*-1))</f>
        <v>421.32034999999991</v>
      </c>
      <c r="E482" s="28">
        <f t="shared" ca="1" si="7"/>
        <v>0</v>
      </c>
    </row>
    <row r="483" spans="1:5" x14ac:dyDescent="0.4">
      <c r="A483" s="4">
        <v>44833</v>
      </c>
      <c r="B483" s="8">
        <v>362.79</v>
      </c>
      <c r="C483" s="27">
        <f ca="1">AVERAGE(OFFSET(SPY_Close_Price_PQ[[#This Row],[Close]], 0, 0, $C$1*-1))</f>
        <v>401.17940000000004</v>
      </c>
      <c r="D483" s="27">
        <f ca="1">AVERAGE(OFFSET(SPY_Close_Price_PQ[[#This Row],[Close]], 0, 0, $D$1*-1))</f>
        <v>420.80144999999982</v>
      </c>
      <c r="E483" s="28">
        <f t="shared" ca="1" si="7"/>
        <v>0</v>
      </c>
    </row>
    <row r="484" spans="1:5" x14ac:dyDescent="0.4">
      <c r="A484" s="5">
        <v>44834</v>
      </c>
      <c r="B484" s="9">
        <v>357.18</v>
      </c>
      <c r="C484" s="27">
        <f ca="1">AVERAGE(OFFSET(SPY_Close_Price_PQ[[#This Row],[Close]], 0, 0, $C$1*-1))</f>
        <v>400.34719999999999</v>
      </c>
      <c r="D484" s="27">
        <f ca="1">AVERAGE(OFFSET(SPY_Close_Price_PQ[[#This Row],[Close]], 0, 0, $D$1*-1))</f>
        <v>420.27054999999984</v>
      </c>
      <c r="E484" s="28">
        <f t="shared" ca="1" si="7"/>
        <v>0</v>
      </c>
    </row>
    <row r="485" spans="1:5" x14ac:dyDescent="0.4">
      <c r="A485" s="4">
        <v>44837</v>
      </c>
      <c r="B485" s="8">
        <v>366.61</v>
      </c>
      <c r="C485" s="27">
        <f ca="1">AVERAGE(OFFSET(SPY_Close_Price_PQ[[#This Row],[Close]], 0, 0, $C$1*-1))</f>
        <v>399.77760000000001</v>
      </c>
      <c r="D485" s="27">
        <f ca="1">AVERAGE(OFFSET(SPY_Close_Price_PQ[[#This Row],[Close]], 0, 0, $D$1*-1))</f>
        <v>419.75059999999985</v>
      </c>
      <c r="E485" s="28">
        <f t="shared" ca="1" si="7"/>
        <v>0</v>
      </c>
    </row>
    <row r="486" spans="1:5" x14ac:dyDescent="0.4">
      <c r="A486" s="5">
        <v>44838</v>
      </c>
      <c r="B486" s="9">
        <v>377.97</v>
      </c>
      <c r="C486" s="27">
        <f ca="1">AVERAGE(OFFSET(SPY_Close_Price_PQ[[#This Row],[Close]], 0, 0, $C$1*-1))</f>
        <v>399.42560000000014</v>
      </c>
      <c r="D486" s="27">
        <f ca="1">AVERAGE(OFFSET(SPY_Close_Price_PQ[[#This Row],[Close]], 0, 0, $D$1*-1))</f>
        <v>419.30819999999977</v>
      </c>
      <c r="E486" s="28">
        <f t="shared" ca="1" si="7"/>
        <v>0</v>
      </c>
    </row>
    <row r="487" spans="1:5" x14ac:dyDescent="0.4">
      <c r="A487" s="4">
        <v>44839</v>
      </c>
      <c r="B487" s="8">
        <v>377.09</v>
      </c>
      <c r="C487" s="27">
        <f ca="1">AVERAGE(OFFSET(SPY_Close_Price_PQ[[#This Row],[Close]], 0, 0, $C$1*-1))</f>
        <v>399.14960000000008</v>
      </c>
      <c r="D487" s="27">
        <f ca="1">AVERAGE(OFFSET(SPY_Close_Price_PQ[[#This Row],[Close]], 0, 0, $D$1*-1))</f>
        <v>418.89429999999976</v>
      </c>
      <c r="E487" s="28">
        <f t="shared" ca="1" si="7"/>
        <v>0</v>
      </c>
    </row>
    <row r="488" spans="1:5" x14ac:dyDescent="0.4">
      <c r="A488" s="5">
        <v>44840</v>
      </c>
      <c r="B488" s="9">
        <v>373.2</v>
      </c>
      <c r="C488" s="27">
        <f ca="1">AVERAGE(OFFSET(SPY_Close_Price_PQ[[#This Row],[Close]], 0, 0, $C$1*-1))</f>
        <v>398.59280000000007</v>
      </c>
      <c r="D488" s="27">
        <f ca="1">AVERAGE(OFFSET(SPY_Close_Price_PQ[[#This Row],[Close]], 0, 0, $D$1*-1))</f>
        <v>418.4853999999998</v>
      </c>
      <c r="E488" s="28">
        <f t="shared" ca="1" si="7"/>
        <v>0</v>
      </c>
    </row>
    <row r="489" spans="1:5" x14ac:dyDescent="0.4">
      <c r="A489" s="4">
        <v>44841</v>
      </c>
      <c r="B489" s="8">
        <v>362.79</v>
      </c>
      <c r="C489" s="27">
        <f ca="1">AVERAGE(OFFSET(SPY_Close_Price_PQ[[#This Row],[Close]], 0, 0, $C$1*-1))</f>
        <v>397.7272000000001</v>
      </c>
      <c r="D489" s="27">
        <f ca="1">AVERAGE(OFFSET(SPY_Close_Price_PQ[[#This Row],[Close]], 0, 0, $D$1*-1))</f>
        <v>417.9840499999998</v>
      </c>
      <c r="E489" s="28">
        <f t="shared" ca="1" si="7"/>
        <v>0</v>
      </c>
    </row>
    <row r="490" spans="1:5" x14ac:dyDescent="0.4">
      <c r="A490" s="5">
        <v>44844</v>
      </c>
      <c r="B490" s="9">
        <v>360.02</v>
      </c>
      <c r="C490" s="27">
        <f ca="1">AVERAGE(OFFSET(SPY_Close_Price_PQ[[#This Row],[Close]], 0, 0, $C$1*-1))</f>
        <v>396.68780000000004</v>
      </c>
      <c r="D490" s="27">
        <f ca="1">AVERAGE(OFFSET(SPY_Close_Price_PQ[[#This Row],[Close]], 0, 0, $D$1*-1))</f>
        <v>417.4456999999997</v>
      </c>
      <c r="E490" s="28">
        <f t="shared" ca="1" si="7"/>
        <v>0</v>
      </c>
    </row>
    <row r="491" spans="1:5" x14ac:dyDescent="0.4">
      <c r="A491" s="4">
        <v>44845</v>
      </c>
      <c r="B491" s="8">
        <v>357.74</v>
      </c>
      <c r="C491" s="27">
        <f ca="1">AVERAGE(OFFSET(SPY_Close_Price_PQ[[#This Row],[Close]], 0, 0, $C$1*-1))</f>
        <v>395.62720000000007</v>
      </c>
      <c r="D491" s="27">
        <f ca="1">AVERAGE(OFFSET(SPY_Close_Price_PQ[[#This Row],[Close]], 0, 0, $D$1*-1))</f>
        <v>416.88139999999976</v>
      </c>
      <c r="E491" s="28">
        <f t="shared" ca="1" si="7"/>
        <v>0</v>
      </c>
    </row>
    <row r="492" spans="1:5" x14ac:dyDescent="0.4">
      <c r="A492" s="5">
        <v>44846</v>
      </c>
      <c r="B492" s="9">
        <v>356.56</v>
      </c>
      <c r="C492" s="27">
        <f ca="1">AVERAGE(OFFSET(SPY_Close_Price_PQ[[#This Row],[Close]], 0, 0, $C$1*-1))</f>
        <v>394.59720000000016</v>
      </c>
      <c r="D492" s="27">
        <f ca="1">AVERAGE(OFFSET(SPY_Close_Price_PQ[[#This Row],[Close]], 0, 0, $D$1*-1))</f>
        <v>416.2778999999997</v>
      </c>
      <c r="E492" s="28">
        <f t="shared" ca="1" si="7"/>
        <v>0</v>
      </c>
    </row>
    <row r="493" spans="1:5" x14ac:dyDescent="0.4">
      <c r="A493" s="4">
        <v>44847</v>
      </c>
      <c r="B493" s="8">
        <v>365.97</v>
      </c>
      <c r="C493" s="27">
        <f ca="1">AVERAGE(OFFSET(SPY_Close_Price_PQ[[#This Row],[Close]], 0, 0, $C$1*-1))</f>
        <v>393.62760000000014</v>
      </c>
      <c r="D493" s="27">
        <f ca="1">AVERAGE(OFFSET(SPY_Close_Price_PQ[[#This Row],[Close]], 0, 0, $D$1*-1))</f>
        <v>415.72339999999969</v>
      </c>
      <c r="E493" s="28">
        <f t="shared" ca="1" si="7"/>
        <v>0</v>
      </c>
    </row>
    <row r="494" spans="1:5" x14ac:dyDescent="0.4">
      <c r="A494" s="5">
        <v>44848</v>
      </c>
      <c r="B494" s="9">
        <v>357.63</v>
      </c>
      <c r="C494" s="27">
        <f ca="1">AVERAGE(OFFSET(SPY_Close_Price_PQ[[#This Row],[Close]], 0, 0, $C$1*-1))</f>
        <v>392.49680000000023</v>
      </c>
      <c r="D494" s="27">
        <f ca="1">AVERAGE(OFFSET(SPY_Close_Price_PQ[[#This Row],[Close]], 0, 0, $D$1*-1))</f>
        <v>415.12414999999964</v>
      </c>
      <c r="E494" s="28">
        <f t="shared" ca="1" si="7"/>
        <v>0</v>
      </c>
    </row>
    <row r="495" spans="1:5" x14ac:dyDescent="0.4">
      <c r="A495" s="4">
        <v>44851</v>
      </c>
      <c r="B495" s="8">
        <v>366.82</v>
      </c>
      <c r="C495" s="27">
        <f ca="1">AVERAGE(OFFSET(SPY_Close_Price_PQ[[#This Row],[Close]], 0, 0, $C$1*-1))</f>
        <v>391.56380000000019</v>
      </c>
      <c r="D495" s="27">
        <f ca="1">AVERAGE(OFFSET(SPY_Close_Price_PQ[[#This Row],[Close]], 0, 0, $D$1*-1))</f>
        <v>414.57744999999966</v>
      </c>
      <c r="E495" s="28">
        <f t="shared" ca="1" si="7"/>
        <v>0</v>
      </c>
    </row>
    <row r="496" spans="1:5" x14ac:dyDescent="0.4">
      <c r="A496" s="5">
        <v>44852</v>
      </c>
      <c r="B496" s="9">
        <v>371.13</v>
      </c>
      <c r="C496" s="27">
        <f ca="1">AVERAGE(OFFSET(SPY_Close_Price_PQ[[#This Row],[Close]], 0, 0, $C$1*-1))</f>
        <v>390.72660000000019</v>
      </c>
      <c r="D496" s="27">
        <f ca="1">AVERAGE(OFFSET(SPY_Close_Price_PQ[[#This Row],[Close]], 0, 0, $D$1*-1))</f>
        <v>414.05829999999975</v>
      </c>
      <c r="E496" s="28">
        <f t="shared" ca="1" si="7"/>
        <v>0</v>
      </c>
    </row>
    <row r="497" spans="1:5" x14ac:dyDescent="0.4">
      <c r="A497" s="4">
        <v>44853</v>
      </c>
      <c r="B497" s="8">
        <v>368.5</v>
      </c>
      <c r="C497" s="27">
        <f ca="1">AVERAGE(OFFSET(SPY_Close_Price_PQ[[#This Row],[Close]], 0, 0, $C$1*-1))</f>
        <v>389.86960000000016</v>
      </c>
      <c r="D497" s="27">
        <f ca="1">AVERAGE(OFFSET(SPY_Close_Price_PQ[[#This Row],[Close]], 0, 0, $D$1*-1))</f>
        <v>413.51224999999977</v>
      </c>
      <c r="E497" s="28">
        <f t="shared" ca="1" si="7"/>
        <v>0</v>
      </c>
    </row>
    <row r="498" spans="1:5" x14ac:dyDescent="0.4">
      <c r="A498" s="5">
        <v>44854</v>
      </c>
      <c r="B498" s="9">
        <v>365.41</v>
      </c>
      <c r="C498" s="27">
        <f ca="1">AVERAGE(OFFSET(SPY_Close_Price_PQ[[#This Row],[Close]], 0, 0, $C$1*-1))</f>
        <v>388.77800000000019</v>
      </c>
      <c r="D498" s="27">
        <f ca="1">AVERAGE(OFFSET(SPY_Close_Price_PQ[[#This Row],[Close]], 0, 0, $D$1*-1))</f>
        <v>412.95154999999977</v>
      </c>
      <c r="E498" s="28">
        <f t="shared" ca="1" si="7"/>
        <v>0</v>
      </c>
    </row>
    <row r="499" spans="1:5" x14ac:dyDescent="0.4">
      <c r="A499" s="4">
        <v>44855</v>
      </c>
      <c r="B499" s="8">
        <v>374.29</v>
      </c>
      <c r="C499" s="27">
        <f ca="1">AVERAGE(OFFSET(SPY_Close_Price_PQ[[#This Row],[Close]], 0, 0, $C$1*-1))</f>
        <v>387.86400000000015</v>
      </c>
      <c r="D499" s="27">
        <f ca="1">AVERAGE(OFFSET(SPY_Close_Price_PQ[[#This Row],[Close]], 0, 0, $D$1*-1))</f>
        <v>412.48109999999974</v>
      </c>
      <c r="E499" s="28">
        <f t="shared" ca="1" si="7"/>
        <v>0</v>
      </c>
    </row>
    <row r="500" spans="1:5" x14ac:dyDescent="0.4">
      <c r="A500" s="5">
        <v>44858</v>
      </c>
      <c r="B500" s="9">
        <v>378.87</v>
      </c>
      <c r="C500" s="27">
        <f ca="1">AVERAGE(OFFSET(SPY_Close_Price_PQ[[#This Row],[Close]], 0, 0, $C$1*-1))</f>
        <v>386.89940000000007</v>
      </c>
      <c r="D500" s="27">
        <f ca="1">AVERAGE(OFFSET(SPY_Close_Price_PQ[[#This Row],[Close]], 0, 0, $D$1*-1))</f>
        <v>412.03574999999967</v>
      </c>
      <c r="E500" s="28">
        <f t="shared" ca="1" si="7"/>
        <v>0</v>
      </c>
    </row>
    <row r="501" spans="1:5" x14ac:dyDescent="0.4">
      <c r="A501" s="4">
        <v>44859</v>
      </c>
      <c r="B501" s="8">
        <v>384.92</v>
      </c>
      <c r="C501" s="27">
        <f ca="1">AVERAGE(OFFSET(SPY_Close_Price_PQ[[#This Row],[Close]], 0, 0, $C$1*-1))</f>
        <v>386.0206</v>
      </c>
      <c r="D501" s="27">
        <f ca="1">AVERAGE(OFFSET(SPY_Close_Price_PQ[[#This Row],[Close]], 0, 0, $D$1*-1))</f>
        <v>411.62989999999962</v>
      </c>
      <c r="E501" s="28">
        <f t="shared" ca="1" si="7"/>
        <v>0</v>
      </c>
    </row>
    <row r="502" spans="1:5" x14ac:dyDescent="0.4">
      <c r="A502" s="5">
        <v>44860</v>
      </c>
      <c r="B502" s="9">
        <v>382.02</v>
      </c>
      <c r="C502" s="27">
        <f ca="1">AVERAGE(OFFSET(SPY_Close_Price_PQ[[#This Row],[Close]], 0, 0, $C$1*-1))</f>
        <v>385.06699999999995</v>
      </c>
      <c r="D502" s="27">
        <f ca="1">AVERAGE(OFFSET(SPY_Close_Price_PQ[[#This Row],[Close]], 0, 0, $D$1*-1))</f>
        <v>411.21244999999965</v>
      </c>
      <c r="E502" s="28">
        <f t="shared" ca="1" si="7"/>
        <v>0</v>
      </c>
    </row>
    <row r="503" spans="1:5" x14ac:dyDescent="0.4">
      <c r="A503" s="4">
        <v>44861</v>
      </c>
      <c r="B503" s="8">
        <v>379.98</v>
      </c>
      <c r="C503" s="27">
        <f ca="1">AVERAGE(OFFSET(SPY_Close_Price_PQ[[#This Row],[Close]], 0, 0, $C$1*-1))</f>
        <v>384.13359999999994</v>
      </c>
      <c r="D503" s="27">
        <f ca="1">AVERAGE(OFFSET(SPY_Close_Price_PQ[[#This Row],[Close]], 0, 0, $D$1*-1))</f>
        <v>410.76359999999971</v>
      </c>
      <c r="E503" s="28">
        <f t="shared" ca="1" si="7"/>
        <v>0</v>
      </c>
    </row>
    <row r="504" spans="1:5" x14ac:dyDescent="0.4">
      <c r="A504" s="5">
        <v>44862</v>
      </c>
      <c r="B504" s="9">
        <v>389.02</v>
      </c>
      <c r="C504" s="27">
        <f ca="1">AVERAGE(OFFSET(SPY_Close_Price_PQ[[#This Row],[Close]], 0, 0, $C$1*-1))</f>
        <v>383.3562</v>
      </c>
      <c r="D504" s="27">
        <f ca="1">AVERAGE(OFFSET(SPY_Close_Price_PQ[[#This Row],[Close]], 0, 0, $D$1*-1))</f>
        <v>410.35359999999963</v>
      </c>
      <c r="E504" s="28">
        <f t="shared" ca="1" si="7"/>
        <v>0</v>
      </c>
    </row>
    <row r="505" spans="1:5" x14ac:dyDescent="0.4">
      <c r="A505" s="4">
        <v>44865</v>
      </c>
      <c r="B505" s="8">
        <v>386.21</v>
      </c>
      <c r="C505" s="27">
        <f ca="1">AVERAGE(OFFSET(SPY_Close_Price_PQ[[#This Row],[Close]], 0, 0, $C$1*-1))</f>
        <v>382.63759999999996</v>
      </c>
      <c r="D505" s="27">
        <f ca="1">AVERAGE(OFFSET(SPY_Close_Price_PQ[[#This Row],[Close]], 0, 0, $D$1*-1))</f>
        <v>409.9619999999997</v>
      </c>
      <c r="E505" s="28">
        <f t="shared" ca="1" si="7"/>
        <v>0</v>
      </c>
    </row>
    <row r="506" spans="1:5" x14ac:dyDescent="0.4">
      <c r="A506" s="5">
        <v>44866</v>
      </c>
      <c r="B506" s="9">
        <v>384.52</v>
      </c>
      <c r="C506" s="27">
        <f ca="1">AVERAGE(OFFSET(SPY_Close_Price_PQ[[#This Row],[Close]], 0, 0, $C$1*-1))</f>
        <v>382.06099999999998</v>
      </c>
      <c r="D506" s="27">
        <f ca="1">AVERAGE(OFFSET(SPY_Close_Price_PQ[[#This Row],[Close]], 0, 0, $D$1*-1))</f>
        <v>409.56099999999969</v>
      </c>
      <c r="E506" s="28">
        <f t="shared" ca="1" si="7"/>
        <v>0</v>
      </c>
    </row>
    <row r="507" spans="1:5" x14ac:dyDescent="0.4">
      <c r="A507" s="4">
        <v>44867</v>
      </c>
      <c r="B507" s="8">
        <v>374.87</v>
      </c>
      <c r="C507" s="27">
        <f ca="1">AVERAGE(OFFSET(SPY_Close_Price_PQ[[#This Row],[Close]], 0, 0, $C$1*-1))</f>
        <v>381.31139999999999</v>
      </c>
      <c r="D507" s="27">
        <f ca="1">AVERAGE(OFFSET(SPY_Close_Price_PQ[[#This Row],[Close]], 0, 0, $D$1*-1))</f>
        <v>409.1528999999997</v>
      </c>
      <c r="E507" s="28">
        <f t="shared" ca="1" si="7"/>
        <v>0</v>
      </c>
    </row>
    <row r="508" spans="1:5" x14ac:dyDescent="0.4">
      <c r="A508" s="5">
        <v>44868</v>
      </c>
      <c r="B508" s="9">
        <v>371.01</v>
      </c>
      <c r="C508" s="27">
        <f ca="1">AVERAGE(OFFSET(SPY_Close_Price_PQ[[#This Row],[Close]], 0, 0, $C$1*-1))</f>
        <v>380.45819999999998</v>
      </c>
      <c r="D508" s="27">
        <f ca="1">AVERAGE(OFFSET(SPY_Close_Price_PQ[[#This Row],[Close]], 0, 0, $D$1*-1))</f>
        <v>408.74919999999969</v>
      </c>
      <c r="E508" s="28">
        <f t="shared" ca="1" si="7"/>
        <v>0</v>
      </c>
    </row>
    <row r="509" spans="1:5" x14ac:dyDescent="0.4">
      <c r="A509" s="4">
        <v>44869</v>
      </c>
      <c r="B509" s="8">
        <v>376.35</v>
      </c>
      <c r="C509" s="27">
        <f ca="1">AVERAGE(OFFSET(SPY_Close_Price_PQ[[#This Row],[Close]], 0, 0, $C$1*-1))</f>
        <v>379.59500000000003</v>
      </c>
      <c r="D509" s="27">
        <f ca="1">AVERAGE(OFFSET(SPY_Close_Price_PQ[[#This Row],[Close]], 0, 0, $D$1*-1))</f>
        <v>408.39719999999977</v>
      </c>
      <c r="E509" s="28">
        <f t="shared" ca="1" si="7"/>
        <v>0</v>
      </c>
    </row>
    <row r="510" spans="1:5" x14ac:dyDescent="0.4">
      <c r="A510" s="5">
        <v>44872</v>
      </c>
      <c r="B510" s="9">
        <v>379.95</v>
      </c>
      <c r="C510" s="27">
        <f ca="1">AVERAGE(OFFSET(SPY_Close_Price_PQ[[#This Row],[Close]], 0, 0, $C$1*-1))</f>
        <v>379.08780000000002</v>
      </c>
      <c r="D510" s="27">
        <f ca="1">AVERAGE(OFFSET(SPY_Close_Price_PQ[[#This Row],[Close]], 0, 0, $D$1*-1))</f>
        <v>408.10704999999973</v>
      </c>
      <c r="E510" s="28">
        <f t="shared" ca="1" si="7"/>
        <v>0</v>
      </c>
    </row>
    <row r="511" spans="1:5" x14ac:dyDescent="0.4">
      <c r="A511" s="4">
        <v>44873</v>
      </c>
      <c r="B511" s="8">
        <v>382</v>
      </c>
      <c r="C511" s="27">
        <f ca="1">AVERAGE(OFFSET(SPY_Close_Price_PQ[[#This Row],[Close]], 0, 0, $C$1*-1))</f>
        <v>378.67519999999996</v>
      </c>
      <c r="D511" s="27">
        <f ca="1">AVERAGE(OFFSET(SPY_Close_Price_PQ[[#This Row],[Close]], 0, 0, $D$1*-1))</f>
        <v>407.81784999999974</v>
      </c>
      <c r="E511" s="28">
        <f t="shared" ca="1" si="7"/>
        <v>0</v>
      </c>
    </row>
    <row r="512" spans="1:5" x14ac:dyDescent="0.4">
      <c r="A512" s="5">
        <v>44874</v>
      </c>
      <c r="B512" s="9">
        <v>374.13</v>
      </c>
      <c r="C512" s="27">
        <f ca="1">AVERAGE(OFFSET(SPY_Close_Price_PQ[[#This Row],[Close]], 0, 0, $C$1*-1))</f>
        <v>378.19359999999995</v>
      </c>
      <c r="D512" s="27">
        <f ca="1">AVERAGE(OFFSET(SPY_Close_Price_PQ[[#This Row],[Close]], 0, 0, $D$1*-1))</f>
        <v>407.5161499999997</v>
      </c>
      <c r="E512" s="28">
        <f t="shared" ca="1" si="7"/>
        <v>0</v>
      </c>
    </row>
    <row r="513" spans="1:5" x14ac:dyDescent="0.4">
      <c r="A513" s="4">
        <v>44875</v>
      </c>
      <c r="B513" s="8">
        <v>394.69</v>
      </c>
      <c r="C513" s="27">
        <f ca="1">AVERAGE(OFFSET(SPY_Close_Price_PQ[[#This Row],[Close]], 0, 0, $C$1*-1))</f>
        <v>378.18379999999996</v>
      </c>
      <c r="D513" s="27">
        <f ca="1">AVERAGE(OFFSET(SPY_Close_Price_PQ[[#This Row],[Close]], 0, 0, $D$1*-1))</f>
        <v>407.32269999999977</v>
      </c>
      <c r="E513" s="28">
        <f t="shared" ca="1" si="7"/>
        <v>0</v>
      </c>
    </row>
    <row r="514" spans="1:5" x14ac:dyDescent="0.4">
      <c r="A514" s="5">
        <v>44876</v>
      </c>
      <c r="B514" s="9">
        <v>398.51</v>
      </c>
      <c r="C514" s="27">
        <f ca="1">AVERAGE(OFFSET(SPY_Close_Price_PQ[[#This Row],[Close]], 0, 0, $C$1*-1))</f>
        <v>378.22559999999999</v>
      </c>
      <c r="D514" s="27">
        <f ca="1">AVERAGE(OFFSET(SPY_Close_Price_PQ[[#This Row],[Close]], 0, 0, $D$1*-1))</f>
        <v>407.1590499999997</v>
      </c>
      <c r="E514" s="28">
        <f t="shared" ca="1" si="7"/>
        <v>0</v>
      </c>
    </row>
    <row r="515" spans="1:5" x14ac:dyDescent="0.4">
      <c r="A515" s="4">
        <v>44879</v>
      </c>
      <c r="B515" s="8">
        <v>395.12</v>
      </c>
      <c r="C515" s="27">
        <f ca="1">AVERAGE(OFFSET(SPY_Close_Price_PQ[[#This Row],[Close]], 0, 0, $C$1*-1))</f>
        <v>378.28320000000002</v>
      </c>
      <c r="D515" s="27">
        <f ca="1">AVERAGE(OFFSET(SPY_Close_Price_PQ[[#This Row],[Close]], 0, 0, $D$1*-1))</f>
        <v>406.9248999999997</v>
      </c>
      <c r="E515" s="28">
        <f t="shared" ca="1" si="7"/>
        <v>0</v>
      </c>
    </row>
    <row r="516" spans="1:5" x14ac:dyDescent="0.4">
      <c r="A516" s="5">
        <v>44880</v>
      </c>
      <c r="B516" s="9">
        <v>398.49</v>
      </c>
      <c r="C516" s="27">
        <f ca="1">AVERAGE(OFFSET(SPY_Close_Price_PQ[[#This Row],[Close]], 0, 0, $C$1*-1))</f>
        <v>378.43779999999998</v>
      </c>
      <c r="D516" s="27">
        <f ca="1">AVERAGE(OFFSET(SPY_Close_Price_PQ[[#This Row],[Close]], 0, 0, $D$1*-1))</f>
        <v>406.66779999999977</v>
      </c>
      <c r="E516" s="28">
        <f t="shared" ref="E516:E579" ca="1" si="8">IF(AND(C515&lt;D515,C516&gt;D516),1,0)</f>
        <v>0</v>
      </c>
    </row>
    <row r="517" spans="1:5" x14ac:dyDescent="0.4">
      <c r="A517" s="4">
        <v>44881</v>
      </c>
      <c r="B517" s="8">
        <v>395.45</v>
      </c>
      <c r="C517" s="27">
        <f ca="1">AVERAGE(OFFSET(SPY_Close_Price_PQ[[#This Row],[Close]], 0, 0, $C$1*-1))</f>
        <v>378.39120000000003</v>
      </c>
      <c r="D517" s="27">
        <f ca="1">AVERAGE(OFFSET(SPY_Close_Price_PQ[[#This Row],[Close]], 0, 0, $D$1*-1))</f>
        <v>406.38029999999975</v>
      </c>
      <c r="E517" s="28">
        <f t="shared" ca="1" si="8"/>
        <v>0</v>
      </c>
    </row>
    <row r="518" spans="1:5" x14ac:dyDescent="0.4">
      <c r="A518" s="5">
        <v>44882</v>
      </c>
      <c r="B518" s="9">
        <v>394.24</v>
      </c>
      <c r="C518" s="27">
        <f ca="1">AVERAGE(OFFSET(SPY_Close_Price_PQ[[#This Row],[Close]], 0, 0, $C$1*-1))</f>
        <v>378.26840000000004</v>
      </c>
      <c r="D518" s="27">
        <f ca="1">AVERAGE(OFFSET(SPY_Close_Price_PQ[[#This Row],[Close]], 0, 0, $D$1*-1))</f>
        <v>406.06474999999978</v>
      </c>
      <c r="E518" s="28">
        <f t="shared" ca="1" si="8"/>
        <v>0</v>
      </c>
    </row>
    <row r="519" spans="1:5" x14ac:dyDescent="0.4">
      <c r="A519" s="4">
        <v>44883</v>
      </c>
      <c r="B519" s="8">
        <v>396.03</v>
      </c>
      <c r="C519" s="27">
        <f ca="1">AVERAGE(OFFSET(SPY_Close_Price_PQ[[#This Row],[Close]], 0, 0, $C$1*-1))</f>
        <v>378.05699999999996</v>
      </c>
      <c r="D519" s="27">
        <f ca="1">AVERAGE(OFFSET(SPY_Close_Price_PQ[[#This Row],[Close]], 0, 0, $D$1*-1))</f>
        <v>405.81189999999975</v>
      </c>
      <c r="E519" s="28">
        <f t="shared" ca="1" si="8"/>
        <v>0</v>
      </c>
    </row>
    <row r="520" spans="1:5" x14ac:dyDescent="0.4">
      <c r="A520" s="5">
        <v>44886</v>
      </c>
      <c r="B520" s="9">
        <v>394.59</v>
      </c>
      <c r="C520" s="27">
        <f ca="1">AVERAGE(OFFSET(SPY_Close_Price_PQ[[#This Row],[Close]], 0, 0, $C$1*-1))</f>
        <v>377.7294</v>
      </c>
      <c r="D520" s="27">
        <f ca="1">AVERAGE(OFFSET(SPY_Close_Price_PQ[[#This Row],[Close]], 0, 0, $D$1*-1))</f>
        <v>405.54134999999974</v>
      </c>
      <c r="E520" s="28">
        <f t="shared" ca="1" si="8"/>
        <v>0</v>
      </c>
    </row>
    <row r="521" spans="1:5" x14ac:dyDescent="0.4">
      <c r="A521" s="4">
        <v>44887</v>
      </c>
      <c r="B521" s="8">
        <v>399.9</v>
      </c>
      <c r="C521" s="27">
        <f ca="1">AVERAGE(OFFSET(SPY_Close_Price_PQ[[#This Row],[Close]], 0, 0, $C$1*-1))</f>
        <v>377.86540000000014</v>
      </c>
      <c r="D521" s="27">
        <f ca="1">AVERAGE(OFFSET(SPY_Close_Price_PQ[[#This Row],[Close]], 0, 0, $D$1*-1))</f>
        <v>405.30454999999972</v>
      </c>
      <c r="E521" s="28">
        <f t="shared" ca="1" si="8"/>
        <v>0</v>
      </c>
    </row>
    <row r="522" spans="1:5" x14ac:dyDescent="0.4">
      <c r="A522" s="5">
        <v>44888</v>
      </c>
      <c r="B522" s="9">
        <v>402.42</v>
      </c>
      <c r="C522" s="27">
        <f ca="1">AVERAGE(OFFSET(SPY_Close_Price_PQ[[#This Row],[Close]], 0, 0, $C$1*-1))</f>
        <v>378.02180000000016</v>
      </c>
      <c r="D522" s="27">
        <f ca="1">AVERAGE(OFFSET(SPY_Close_Price_PQ[[#This Row],[Close]], 0, 0, $D$1*-1))</f>
        <v>405.06194999999963</v>
      </c>
      <c r="E522" s="28">
        <f t="shared" ca="1" si="8"/>
        <v>0</v>
      </c>
    </row>
    <row r="523" spans="1:5" x14ac:dyDescent="0.4">
      <c r="A523" s="4">
        <v>44890</v>
      </c>
      <c r="B523" s="8">
        <v>402.33</v>
      </c>
      <c r="C523" s="27">
        <f ca="1">AVERAGE(OFFSET(SPY_Close_Price_PQ[[#This Row],[Close]], 0, 0, $C$1*-1))</f>
        <v>378.26600000000013</v>
      </c>
      <c r="D523" s="27">
        <f ca="1">AVERAGE(OFFSET(SPY_Close_Price_PQ[[#This Row],[Close]], 0, 0, $D$1*-1))</f>
        <v>404.78589999999969</v>
      </c>
      <c r="E523" s="28">
        <f t="shared" ca="1" si="8"/>
        <v>0</v>
      </c>
    </row>
    <row r="524" spans="1:5" x14ac:dyDescent="0.4">
      <c r="A524" s="5">
        <v>44893</v>
      </c>
      <c r="B524" s="9">
        <v>395.91</v>
      </c>
      <c r="C524" s="27">
        <f ca="1">AVERAGE(OFFSET(SPY_Close_Price_PQ[[#This Row],[Close]], 0, 0, $C$1*-1))</f>
        <v>378.47300000000013</v>
      </c>
      <c r="D524" s="27">
        <f ca="1">AVERAGE(OFFSET(SPY_Close_Price_PQ[[#This Row],[Close]], 0, 0, $D$1*-1))</f>
        <v>404.5188499999997</v>
      </c>
      <c r="E524" s="28">
        <f t="shared" ca="1" si="8"/>
        <v>0</v>
      </c>
    </row>
    <row r="525" spans="1:5" x14ac:dyDescent="0.4">
      <c r="A525" s="4">
        <v>44894</v>
      </c>
      <c r="B525" s="8">
        <v>395.23</v>
      </c>
      <c r="C525" s="27">
        <f ca="1">AVERAGE(OFFSET(SPY_Close_Price_PQ[[#This Row],[Close]], 0, 0, $C$1*-1))</f>
        <v>378.60660000000013</v>
      </c>
      <c r="D525" s="27">
        <f ca="1">AVERAGE(OFFSET(SPY_Close_Price_PQ[[#This Row],[Close]], 0, 0, $D$1*-1))</f>
        <v>404.29269999999974</v>
      </c>
      <c r="E525" s="28">
        <f t="shared" ca="1" si="8"/>
        <v>0</v>
      </c>
    </row>
    <row r="526" spans="1:5" x14ac:dyDescent="0.4">
      <c r="A526" s="5">
        <v>44895</v>
      </c>
      <c r="B526" s="9">
        <v>407.68</v>
      </c>
      <c r="C526" s="27">
        <f ca="1">AVERAGE(OFFSET(SPY_Close_Price_PQ[[#This Row],[Close]], 0, 0, $C$1*-1))</f>
        <v>379.0784000000001</v>
      </c>
      <c r="D526" s="27">
        <f ca="1">AVERAGE(OFFSET(SPY_Close_Price_PQ[[#This Row],[Close]], 0, 0, $D$1*-1))</f>
        <v>404.13599999999968</v>
      </c>
      <c r="E526" s="28">
        <f t="shared" ca="1" si="8"/>
        <v>0</v>
      </c>
    </row>
    <row r="527" spans="1:5" x14ac:dyDescent="0.4">
      <c r="A527" s="4">
        <v>44896</v>
      </c>
      <c r="B527" s="8">
        <v>407.38</v>
      </c>
      <c r="C527" s="27">
        <f ca="1">AVERAGE(OFFSET(SPY_Close_Price_PQ[[#This Row],[Close]], 0, 0, $C$1*-1))</f>
        <v>379.67820000000012</v>
      </c>
      <c r="D527" s="27">
        <f ca="1">AVERAGE(OFFSET(SPY_Close_Price_PQ[[#This Row],[Close]], 0, 0, $D$1*-1))</f>
        <v>403.94239999999974</v>
      </c>
      <c r="E527" s="28">
        <f t="shared" ca="1" si="8"/>
        <v>0</v>
      </c>
    </row>
    <row r="528" spans="1:5" x14ac:dyDescent="0.4">
      <c r="A528" s="5">
        <v>44897</v>
      </c>
      <c r="B528" s="9">
        <v>406.91</v>
      </c>
      <c r="C528" s="27">
        <f ca="1">AVERAGE(OFFSET(SPY_Close_Price_PQ[[#This Row],[Close]], 0, 0, $C$1*-1))</f>
        <v>380.33200000000011</v>
      </c>
      <c r="D528" s="27">
        <f ca="1">AVERAGE(OFFSET(SPY_Close_Price_PQ[[#This Row],[Close]], 0, 0, $D$1*-1))</f>
        <v>403.74394999999981</v>
      </c>
      <c r="E528" s="28">
        <f t="shared" ca="1" si="8"/>
        <v>0</v>
      </c>
    </row>
    <row r="529" spans="1:5" x14ac:dyDescent="0.4">
      <c r="A529" s="4">
        <v>44900</v>
      </c>
      <c r="B529" s="8">
        <v>399.59</v>
      </c>
      <c r="C529" s="27">
        <f ca="1">AVERAGE(OFFSET(SPY_Close_Price_PQ[[#This Row],[Close]], 0, 0, $C$1*-1))</f>
        <v>380.96480000000008</v>
      </c>
      <c r="D529" s="27">
        <f ca="1">AVERAGE(OFFSET(SPY_Close_Price_PQ[[#This Row],[Close]], 0, 0, $D$1*-1))</f>
        <v>403.55659999999972</v>
      </c>
      <c r="E529" s="28">
        <f t="shared" ca="1" si="8"/>
        <v>0</v>
      </c>
    </row>
    <row r="530" spans="1:5" x14ac:dyDescent="0.4">
      <c r="A530" s="5">
        <v>44901</v>
      </c>
      <c r="B530" s="9">
        <v>393.83</v>
      </c>
      <c r="C530" s="27">
        <f ca="1">AVERAGE(OFFSET(SPY_Close_Price_PQ[[#This Row],[Close]], 0, 0, $C$1*-1))</f>
        <v>381.55520000000013</v>
      </c>
      <c r="D530" s="27">
        <f ca="1">AVERAGE(OFFSET(SPY_Close_Price_PQ[[#This Row],[Close]], 0, 0, $D$1*-1))</f>
        <v>403.35459999999972</v>
      </c>
      <c r="E530" s="28">
        <f t="shared" ca="1" si="8"/>
        <v>0</v>
      </c>
    </row>
    <row r="531" spans="1:5" x14ac:dyDescent="0.4">
      <c r="A531" s="4">
        <v>44902</v>
      </c>
      <c r="B531" s="8">
        <v>393.16</v>
      </c>
      <c r="C531" s="27">
        <f ca="1">AVERAGE(OFFSET(SPY_Close_Price_PQ[[#This Row],[Close]], 0, 0, $C$1*-1))</f>
        <v>382.15080000000012</v>
      </c>
      <c r="D531" s="27">
        <f ca="1">AVERAGE(OFFSET(SPY_Close_Price_PQ[[#This Row],[Close]], 0, 0, $D$1*-1))</f>
        <v>403.17254999999966</v>
      </c>
      <c r="E531" s="28">
        <f t="shared" ca="1" si="8"/>
        <v>0</v>
      </c>
    </row>
    <row r="532" spans="1:5" x14ac:dyDescent="0.4">
      <c r="A532" s="5">
        <v>44903</v>
      </c>
      <c r="B532" s="9">
        <v>396.24</v>
      </c>
      <c r="C532" s="27">
        <f ca="1">AVERAGE(OFFSET(SPY_Close_Price_PQ[[#This Row],[Close]], 0, 0, $C$1*-1))</f>
        <v>382.66500000000008</v>
      </c>
      <c r="D532" s="27">
        <f ca="1">AVERAGE(OFFSET(SPY_Close_Price_PQ[[#This Row],[Close]], 0, 0, $D$1*-1))</f>
        <v>403.0439999999997</v>
      </c>
      <c r="E532" s="28">
        <f t="shared" ca="1" si="8"/>
        <v>0</v>
      </c>
    </row>
    <row r="533" spans="1:5" x14ac:dyDescent="0.4">
      <c r="A533" s="4">
        <v>44904</v>
      </c>
      <c r="B533" s="8">
        <v>393.28</v>
      </c>
      <c r="C533" s="27">
        <f ca="1">AVERAGE(OFFSET(SPY_Close_Price_PQ[[#This Row],[Close]], 0, 0, $C$1*-1))</f>
        <v>383.27480000000008</v>
      </c>
      <c r="D533" s="27">
        <f ca="1">AVERAGE(OFFSET(SPY_Close_Price_PQ[[#This Row],[Close]], 0, 0, $D$1*-1))</f>
        <v>402.86889999999971</v>
      </c>
      <c r="E533" s="28">
        <f t="shared" ca="1" si="8"/>
        <v>0</v>
      </c>
    </row>
    <row r="534" spans="1:5" x14ac:dyDescent="0.4">
      <c r="A534" s="5">
        <v>44907</v>
      </c>
      <c r="B534" s="9">
        <v>398.95</v>
      </c>
      <c r="C534" s="27">
        <f ca="1">AVERAGE(OFFSET(SPY_Close_Price_PQ[[#This Row],[Close]], 0, 0, $C$1*-1))</f>
        <v>384.11020000000013</v>
      </c>
      <c r="D534" s="27">
        <f ca="1">AVERAGE(OFFSET(SPY_Close_Price_PQ[[#This Row],[Close]], 0, 0, $D$1*-1))</f>
        <v>402.67489999999964</v>
      </c>
      <c r="E534" s="28">
        <f t="shared" ca="1" si="8"/>
        <v>0</v>
      </c>
    </row>
    <row r="535" spans="1:5" x14ac:dyDescent="0.4">
      <c r="A535" s="4">
        <v>44908</v>
      </c>
      <c r="B535" s="8">
        <v>401.97</v>
      </c>
      <c r="C535" s="27">
        <f ca="1">AVERAGE(OFFSET(SPY_Close_Price_PQ[[#This Row],[Close]], 0, 0, $C$1*-1))</f>
        <v>384.81740000000013</v>
      </c>
      <c r="D535" s="27">
        <f ca="1">AVERAGE(OFFSET(SPY_Close_Price_PQ[[#This Row],[Close]], 0, 0, $D$1*-1))</f>
        <v>402.5015999999996</v>
      </c>
      <c r="E535" s="28">
        <f t="shared" ca="1" si="8"/>
        <v>0</v>
      </c>
    </row>
    <row r="536" spans="1:5" x14ac:dyDescent="0.4">
      <c r="A536" s="5">
        <v>44909</v>
      </c>
      <c r="B536" s="9">
        <v>399.4</v>
      </c>
      <c r="C536" s="27">
        <f ca="1">AVERAGE(OFFSET(SPY_Close_Price_PQ[[#This Row],[Close]], 0, 0, $C$1*-1))</f>
        <v>385.24600000000015</v>
      </c>
      <c r="D536" s="27">
        <f ca="1">AVERAGE(OFFSET(SPY_Close_Price_PQ[[#This Row],[Close]], 0, 0, $D$1*-1))</f>
        <v>402.34869999999961</v>
      </c>
      <c r="E536" s="28">
        <f t="shared" ca="1" si="8"/>
        <v>0</v>
      </c>
    </row>
    <row r="537" spans="1:5" x14ac:dyDescent="0.4">
      <c r="A537" s="4">
        <v>44910</v>
      </c>
      <c r="B537" s="8">
        <v>389.63</v>
      </c>
      <c r="C537" s="27">
        <f ca="1">AVERAGE(OFFSET(SPY_Close_Price_PQ[[#This Row],[Close]], 0, 0, $C$1*-1))</f>
        <v>385.49680000000012</v>
      </c>
      <c r="D537" s="27">
        <f ca="1">AVERAGE(OFFSET(SPY_Close_Price_PQ[[#This Row],[Close]], 0, 0, $D$1*-1))</f>
        <v>402.1073999999997</v>
      </c>
      <c r="E537" s="28">
        <f t="shared" ca="1" si="8"/>
        <v>0</v>
      </c>
    </row>
    <row r="538" spans="1:5" x14ac:dyDescent="0.4">
      <c r="A538" s="5">
        <v>44911</v>
      </c>
      <c r="B538" s="9">
        <v>383.27</v>
      </c>
      <c r="C538" s="27">
        <f ca="1">AVERAGE(OFFSET(SPY_Close_Price_PQ[[#This Row],[Close]], 0, 0, $C$1*-1))</f>
        <v>385.69820000000016</v>
      </c>
      <c r="D538" s="27">
        <f ca="1">AVERAGE(OFFSET(SPY_Close_Price_PQ[[#This Row],[Close]], 0, 0, $D$1*-1))</f>
        <v>401.84519999999975</v>
      </c>
      <c r="E538" s="28">
        <f t="shared" ca="1" si="8"/>
        <v>0</v>
      </c>
    </row>
    <row r="539" spans="1:5" x14ac:dyDescent="0.4">
      <c r="A539" s="4">
        <v>44914</v>
      </c>
      <c r="B539" s="8">
        <v>380.02</v>
      </c>
      <c r="C539" s="27">
        <f ca="1">AVERAGE(OFFSET(SPY_Close_Price_PQ[[#This Row],[Close]], 0, 0, $C$1*-1))</f>
        <v>386.04280000000006</v>
      </c>
      <c r="D539" s="27">
        <f ca="1">AVERAGE(OFFSET(SPY_Close_Price_PQ[[#This Row],[Close]], 0, 0, $D$1*-1))</f>
        <v>401.58444999999972</v>
      </c>
      <c r="E539" s="28">
        <f t="shared" ca="1" si="8"/>
        <v>0</v>
      </c>
    </row>
    <row r="540" spans="1:5" x14ac:dyDescent="0.4">
      <c r="A540" s="5">
        <v>44915</v>
      </c>
      <c r="B540" s="9">
        <v>380.54</v>
      </c>
      <c r="C540" s="27">
        <f ca="1">AVERAGE(OFFSET(SPY_Close_Price_PQ[[#This Row],[Close]], 0, 0, $C$1*-1))</f>
        <v>386.45320000000015</v>
      </c>
      <c r="D540" s="27">
        <f ca="1">AVERAGE(OFFSET(SPY_Close_Price_PQ[[#This Row],[Close]], 0, 0, $D$1*-1))</f>
        <v>401.3899999999997</v>
      </c>
      <c r="E540" s="28">
        <f t="shared" ca="1" si="8"/>
        <v>0</v>
      </c>
    </row>
    <row r="541" spans="1:5" x14ac:dyDescent="0.4">
      <c r="A541" s="4">
        <v>44916</v>
      </c>
      <c r="B541" s="8">
        <v>386.23</v>
      </c>
      <c r="C541" s="27">
        <f ca="1">AVERAGE(OFFSET(SPY_Close_Price_PQ[[#This Row],[Close]], 0, 0, $C$1*-1))</f>
        <v>387.02300000000008</v>
      </c>
      <c r="D541" s="27">
        <f ca="1">AVERAGE(OFFSET(SPY_Close_Price_PQ[[#This Row],[Close]], 0, 0, $D$1*-1))</f>
        <v>401.23989999999969</v>
      </c>
      <c r="E541" s="28">
        <f t="shared" ca="1" si="8"/>
        <v>0</v>
      </c>
    </row>
    <row r="542" spans="1:5" x14ac:dyDescent="0.4">
      <c r="A542" s="5">
        <v>44917</v>
      </c>
      <c r="B542" s="9">
        <v>380.72</v>
      </c>
      <c r="C542" s="27">
        <f ca="1">AVERAGE(OFFSET(SPY_Close_Price_PQ[[#This Row],[Close]], 0, 0, $C$1*-1))</f>
        <v>387.50620000000009</v>
      </c>
      <c r="D542" s="27">
        <f ca="1">AVERAGE(OFFSET(SPY_Close_Price_PQ[[#This Row],[Close]], 0, 0, $D$1*-1))</f>
        <v>401.00644999999969</v>
      </c>
      <c r="E542" s="28">
        <f t="shared" ca="1" si="8"/>
        <v>0</v>
      </c>
    </row>
    <row r="543" spans="1:5" x14ac:dyDescent="0.4">
      <c r="A543" s="4">
        <v>44918</v>
      </c>
      <c r="B543" s="8">
        <v>382.91</v>
      </c>
      <c r="C543" s="27">
        <f ca="1">AVERAGE(OFFSET(SPY_Close_Price_PQ[[#This Row],[Close]], 0, 0, $C$1*-1))</f>
        <v>387.84500000000008</v>
      </c>
      <c r="D543" s="27">
        <f ca="1">AVERAGE(OFFSET(SPY_Close_Price_PQ[[#This Row],[Close]], 0, 0, $D$1*-1))</f>
        <v>400.79359999999963</v>
      </c>
      <c r="E543" s="28">
        <f t="shared" ca="1" si="8"/>
        <v>0</v>
      </c>
    </row>
    <row r="544" spans="1:5" x14ac:dyDescent="0.4">
      <c r="A544" s="5">
        <v>44922</v>
      </c>
      <c r="B544" s="9">
        <v>381.4</v>
      </c>
      <c r="C544" s="27">
        <f ca="1">AVERAGE(OFFSET(SPY_Close_Price_PQ[[#This Row],[Close]], 0, 0, $C$1*-1))</f>
        <v>388.32040000000006</v>
      </c>
      <c r="D544" s="27">
        <f ca="1">AVERAGE(OFFSET(SPY_Close_Price_PQ[[#This Row],[Close]], 0, 0, $D$1*-1))</f>
        <v>400.60024999999956</v>
      </c>
      <c r="E544" s="28">
        <f t="shared" ca="1" si="8"/>
        <v>0</v>
      </c>
    </row>
    <row r="545" spans="1:5" x14ac:dyDescent="0.4">
      <c r="A545" s="4">
        <v>44923</v>
      </c>
      <c r="B545" s="8">
        <v>376.66</v>
      </c>
      <c r="C545" s="27">
        <f ca="1">AVERAGE(OFFSET(SPY_Close_Price_PQ[[#This Row],[Close]], 0, 0, $C$1*-1))</f>
        <v>388.5172</v>
      </c>
      <c r="D545" s="27">
        <f ca="1">AVERAGE(OFFSET(SPY_Close_Price_PQ[[#This Row],[Close]], 0, 0, $D$1*-1))</f>
        <v>400.39854999999966</v>
      </c>
      <c r="E545" s="28">
        <f t="shared" ca="1" si="8"/>
        <v>0</v>
      </c>
    </row>
    <row r="546" spans="1:5" x14ac:dyDescent="0.4">
      <c r="A546" s="5">
        <v>44924</v>
      </c>
      <c r="B546" s="9">
        <v>383.44</v>
      </c>
      <c r="C546" s="27">
        <f ca="1">AVERAGE(OFFSET(SPY_Close_Price_PQ[[#This Row],[Close]], 0, 0, $C$1*-1))</f>
        <v>388.76340000000005</v>
      </c>
      <c r="D546" s="27">
        <f ca="1">AVERAGE(OFFSET(SPY_Close_Price_PQ[[#This Row],[Close]], 0, 0, $D$1*-1))</f>
        <v>400.18489999999969</v>
      </c>
      <c r="E546" s="28">
        <f t="shared" ca="1" si="8"/>
        <v>0</v>
      </c>
    </row>
    <row r="547" spans="1:5" x14ac:dyDescent="0.4">
      <c r="A547" s="4">
        <v>44925</v>
      </c>
      <c r="B547" s="8">
        <v>382.43</v>
      </c>
      <c r="C547" s="27">
        <f ca="1">AVERAGE(OFFSET(SPY_Close_Price_PQ[[#This Row],[Close]], 0, 0, $C$1*-1))</f>
        <v>389.04199999999997</v>
      </c>
      <c r="D547" s="27">
        <f ca="1">AVERAGE(OFFSET(SPY_Close_Price_PQ[[#This Row],[Close]], 0, 0, $D$1*-1))</f>
        <v>399.9189499999996</v>
      </c>
      <c r="E547" s="28">
        <f t="shared" ca="1" si="8"/>
        <v>0</v>
      </c>
    </row>
    <row r="548" spans="1:5" x14ac:dyDescent="0.4">
      <c r="A548" s="5">
        <v>44929</v>
      </c>
      <c r="B548" s="9">
        <v>380.82</v>
      </c>
      <c r="C548" s="27">
        <f ca="1">AVERAGE(OFFSET(SPY_Close_Price_PQ[[#This Row],[Close]], 0, 0, $C$1*-1))</f>
        <v>389.35019999999997</v>
      </c>
      <c r="D548" s="27">
        <f ca="1">AVERAGE(OFFSET(SPY_Close_Price_PQ[[#This Row],[Close]], 0, 0, $D$1*-1))</f>
        <v>399.61769999999967</v>
      </c>
      <c r="E548" s="28">
        <f t="shared" ca="1" si="8"/>
        <v>0</v>
      </c>
    </row>
    <row r="549" spans="1:5" x14ac:dyDescent="0.4">
      <c r="A549" s="4">
        <v>44930</v>
      </c>
      <c r="B549" s="8">
        <v>383.76</v>
      </c>
      <c r="C549" s="27">
        <f ca="1">AVERAGE(OFFSET(SPY_Close_Price_PQ[[#This Row],[Close]], 0, 0, $C$1*-1))</f>
        <v>389.53960000000001</v>
      </c>
      <c r="D549" s="27">
        <f ca="1">AVERAGE(OFFSET(SPY_Close_Price_PQ[[#This Row],[Close]], 0, 0, $D$1*-1))</f>
        <v>399.31389999999953</v>
      </c>
      <c r="E549" s="28">
        <f t="shared" ca="1" si="8"/>
        <v>0</v>
      </c>
    </row>
    <row r="550" spans="1:5" x14ac:dyDescent="0.4">
      <c r="A550" s="5">
        <v>44931</v>
      </c>
      <c r="B550" s="9">
        <v>379.38</v>
      </c>
      <c r="C550" s="27">
        <f ca="1">AVERAGE(OFFSET(SPY_Close_Price_PQ[[#This Row],[Close]], 0, 0, $C$1*-1))</f>
        <v>389.54979999999995</v>
      </c>
      <c r="D550" s="27">
        <f ca="1">AVERAGE(OFFSET(SPY_Close_Price_PQ[[#This Row],[Close]], 0, 0, $D$1*-1))</f>
        <v>398.98884999999967</v>
      </c>
      <c r="E550" s="28">
        <f t="shared" ca="1" si="8"/>
        <v>0</v>
      </c>
    </row>
    <row r="551" spans="1:5" x14ac:dyDescent="0.4">
      <c r="A551" s="4">
        <v>44932</v>
      </c>
      <c r="B551" s="8">
        <v>388.08</v>
      </c>
      <c r="C551" s="27">
        <f ca="1">AVERAGE(OFFSET(SPY_Close_Price_PQ[[#This Row],[Close]], 0, 0, $C$1*-1))</f>
        <v>389.61299999999994</v>
      </c>
      <c r="D551" s="27">
        <f ca="1">AVERAGE(OFFSET(SPY_Close_Price_PQ[[#This Row],[Close]], 0, 0, $D$1*-1))</f>
        <v>398.68129999999968</v>
      </c>
      <c r="E551" s="28">
        <f t="shared" ca="1" si="8"/>
        <v>0</v>
      </c>
    </row>
    <row r="552" spans="1:5" x14ac:dyDescent="0.4">
      <c r="A552" s="5">
        <v>44935</v>
      </c>
      <c r="B552" s="9">
        <v>387.86</v>
      </c>
      <c r="C552" s="27">
        <f ca="1">AVERAGE(OFFSET(SPY_Close_Price_PQ[[#This Row],[Close]], 0, 0, $C$1*-1))</f>
        <v>389.72979999999995</v>
      </c>
      <c r="D552" s="27">
        <f ca="1">AVERAGE(OFFSET(SPY_Close_Price_PQ[[#This Row],[Close]], 0, 0, $D$1*-1))</f>
        <v>398.40159999999975</v>
      </c>
      <c r="E552" s="28">
        <f t="shared" ca="1" si="8"/>
        <v>0</v>
      </c>
    </row>
    <row r="553" spans="1:5" x14ac:dyDescent="0.4">
      <c r="A553" s="4">
        <v>44936</v>
      </c>
      <c r="B553" s="8">
        <v>390.58</v>
      </c>
      <c r="C553" s="27">
        <f ca="1">AVERAGE(OFFSET(SPY_Close_Price_PQ[[#This Row],[Close]], 0, 0, $C$1*-1))</f>
        <v>389.9418</v>
      </c>
      <c r="D553" s="27">
        <f ca="1">AVERAGE(OFFSET(SPY_Close_Price_PQ[[#This Row],[Close]], 0, 0, $D$1*-1))</f>
        <v>398.10204999999974</v>
      </c>
      <c r="E553" s="28">
        <f t="shared" ca="1" si="8"/>
        <v>0</v>
      </c>
    </row>
    <row r="554" spans="1:5" x14ac:dyDescent="0.4">
      <c r="A554" s="5">
        <v>44937</v>
      </c>
      <c r="B554" s="9">
        <v>395.52</v>
      </c>
      <c r="C554" s="27">
        <f ca="1">AVERAGE(OFFSET(SPY_Close_Price_PQ[[#This Row],[Close]], 0, 0, $C$1*-1))</f>
        <v>390.0718</v>
      </c>
      <c r="D554" s="27">
        <f ca="1">AVERAGE(OFFSET(SPY_Close_Price_PQ[[#This Row],[Close]], 0, 0, $D$1*-1))</f>
        <v>397.81619999999975</v>
      </c>
      <c r="E554" s="28">
        <f t="shared" ca="1" si="8"/>
        <v>0</v>
      </c>
    </row>
    <row r="555" spans="1:5" x14ac:dyDescent="0.4">
      <c r="A555" s="4">
        <v>44938</v>
      </c>
      <c r="B555" s="8">
        <v>396.96</v>
      </c>
      <c r="C555" s="27">
        <f ca="1">AVERAGE(OFFSET(SPY_Close_Price_PQ[[#This Row],[Close]], 0, 0, $C$1*-1))</f>
        <v>390.28680000000003</v>
      </c>
      <c r="D555" s="27">
        <f ca="1">AVERAGE(OFFSET(SPY_Close_Price_PQ[[#This Row],[Close]], 0, 0, $D$1*-1))</f>
        <v>397.52144999999985</v>
      </c>
      <c r="E555" s="28">
        <f t="shared" ca="1" si="8"/>
        <v>0</v>
      </c>
    </row>
    <row r="556" spans="1:5" x14ac:dyDescent="0.4">
      <c r="A556" s="5">
        <v>44939</v>
      </c>
      <c r="B556" s="9">
        <v>398.5</v>
      </c>
      <c r="C556" s="27">
        <f ca="1">AVERAGE(OFFSET(SPY_Close_Price_PQ[[#This Row],[Close]], 0, 0, $C$1*-1))</f>
        <v>390.56640000000004</v>
      </c>
      <c r="D556" s="27">
        <f ca="1">AVERAGE(OFFSET(SPY_Close_Price_PQ[[#This Row],[Close]], 0, 0, $D$1*-1))</f>
        <v>397.2061999999998</v>
      </c>
      <c r="E556" s="28">
        <f t="shared" ca="1" si="8"/>
        <v>0</v>
      </c>
    </row>
    <row r="557" spans="1:5" x14ac:dyDescent="0.4">
      <c r="A557" s="4">
        <v>44943</v>
      </c>
      <c r="B557" s="8">
        <v>397.77</v>
      </c>
      <c r="C557" s="27">
        <f ca="1">AVERAGE(OFFSET(SPY_Close_Price_PQ[[#This Row],[Close]], 0, 0, $C$1*-1))</f>
        <v>391.02440000000007</v>
      </c>
      <c r="D557" s="27">
        <f ca="1">AVERAGE(OFFSET(SPY_Close_Price_PQ[[#This Row],[Close]], 0, 0, $D$1*-1))</f>
        <v>396.90154999999982</v>
      </c>
      <c r="E557" s="28">
        <f t="shared" ca="1" si="8"/>
        <v>0</v>
      </c>
    </row>
    <row r="558" spans="1:5" x14ac:dyDescent="0.4">
      <c r="A558" s="5">
        <v>44944</v>
      </c>
      <c r="B558" s="9">
        <v>391.49</v>
      </c>
      <c r="C558" s="27">
        <f ca="1">AVERAGE(OFFSET(SPY_Close_Price_PQ[[#This Row],[Close]], 0, 0, $C$1*-1))</f>
        <v>391.43400000000008</v>
      </c>
      <c r="D558" s="27">
        <f ca="1">AVERAGE(OFFSET(SPY_Close_Price_PQ[[#This Row],[Close]], 0, 0, $D$1*-1))</f>
        <v>396.60079999999988</v>
      </c>
      <c r="E558" s="28">
        <f t="shared" ca="1" si="8"/>
        <v>0</v>
      </c>
    </row>
    <row r="559" spans="1:5" x14ac:dyDescent="0.4">
      <c r="A559" s="4">
        <v>44945</v>
      </c>
      <c r="B559" s="8">
        <v>388.64</v>
      </c>
      <c r="C559" s="27">
        <f ca="1">AVERAGE(OFFSET(SPY_Close_Price_PQ[[#This Row],[Close]], 0, 0, $C$1*-1))</f>
        <v>391.67980000000011</v>
      </c>
      <c r="D559" s="27">
        <f ca="1">AVERAGE(OFFSET(SPY_Close_Price_PQ[[#This Row],[Close]], 0, 0, $D$1*-1))</f>
        <v>396.2793999999999</v>
      </c>
      <c r="E559" s="28">
        <f t="shared" ca="1" si="8"/>
        <v>0</v>
      </c>
    </row>
    <row r="560" spans="1:5" x14ac:dyDescent="0.4">
      <c r="A560" s="5">
        <v>44946</v>
      </c>
      <c r="B560" s="9">
        <v>395.88</v>
      </c>
      <c r="C560" s="27">
        <f ca="1">AVERAGE(OFFSET(SPY_Close_Price_PQ[[#This Row],[Close]], 0, 0, $C$1*-1))</f>
        <v>391.99840000000006</v>
      </c>
      <c r="D560" s="27">
        <f ca="1">AVERAGE(OFFSET(SPY_Close_Price_PQ[[#This Row],[Close]], 0, 0, $D$1*-1))</f>
        <v>395.97479999999996</v>
      </c>
      <c r="E560" s="28">
        <f t="shared" ca="1" si="8"/>
        <v>0</v>
      </c>
    </row>
    <row r="561" spans="1:5" x14ac:dyDescent="0.4">
      <c r="A561" s="4">
        <v>44949</v>
      </c>
      <c r="B561" s="8">
        <v>400.63</v>
      </c>
      <c r="C561" s="27">
        <f ca="1">AVERAGE(OFFSET(SPY_Close_Price_PQ[[#This Row],[Close]], 0, 0, $C$1*-1))</f>
        <v>392.37100000000004</v>
      </c>
      <c r="D561" s="27">
        <f ca="1">AVERAGE(OFFSET(SPY_Close_Price_PQ[[#This Row],[Close]], 0, 0, $D$1*-1))</f>
        <v>395.72280000000006</v>
      </c>
      <c r="E561" s="28">
        <f t="shared" ca="1" si="8"/>
        <v>0</v>
      </c>
    </row>
    <row r="562" spans="1:5" x14ac:dyDescent="0.4">
      <c r="A562" s="5">
        <v>44950</v>
      </c>
      <c r="B562" s="9">
        <v>400.2</v>
      </c>
      <c r="C562" s="27">
        <f ca="1">AVERAGE(OFFSET(SPY_Close_Price_PQ[[#This Row],[Close]], 0, 0, $C$1*-1))</f>
        <v>392.89240000000007</v>
      </c>
      <c r="D562" s="27">
        <f ca="1">AVERAGE(OFFSET(SPY_Close_Price_PQ[[#This Row],[Close]], 0, 0, $D$1*-1))</f>
        <v>395.49120000000005</v>
      </c>
      <c r="E562" s="28">
        <f t="shared" ca="1" si="8"/>
        <v>0</v>
      </c>
    </row>
    <row r="563" spans="1:5" x14ac:dyDescent="0.4">
      <c r="A563" s="4">
        <v>44951</v>
      </c>
      <c r="B563" s="8">
        <v>400.35</v>
      </c>
      <c r="C563" s="27">
        <f ca="1">AVERAGE(OFFSET(SPY_Close_Price_PQ[[#This Row],[Close]], 0, 0, $C$1*-1))</f>
        <v>393.00560000000007</v>
      </c>
      <c r="D563" s="27">
        <f ca="1">AVERAGE(OFFSET(SPY_Close_Price_PQ[[#This Row],[Close]], 0, 0, $D$1*-1))</f>
        <v>395.24910000000006</v>
      </c>
      <c r="E563" s="28">
        <f t="shared" ca="1" si="8"/>
        <v>0</v>
      </c>
    </row>
    <row r="564" spans="1:5" x14ac:dyDescent="0.4">
      <c r="A564" s="5">
        <v>44952</v>
      </c>
      <c r="B564" s="9">
        <v>404.75</v>
      </c>
      <c r="C564" s="27">
        <f ca="1">AVERAGE(OFFSET(SPY_Close_Price_PQ[[#This Row],[Close]], 0, 0, $C$1*-1))</f>
        <v>393.13040000000001</v>
      </c>
      <c r="D564" s="27">
        <f ca="1">AVERAGE(OFFSET(SPY_Close_Price_PQ[[#This Row],[Close]], 0, 0, $D$1*-1))</f>
        <v>395.03500000000003</v>
      </c>
      <c r="E564" s="28">
        <f t="shared" ca="1" si="8"/>
        <v>0</v>
      </c>
    </row>
    <row r="565" spans="1:5" x14ac:dyDescent="0.4">
      <c r="A565" s="4">
        <v>44953</v>
      </c>
      <c r="B565" s="8">
        <v>405.68</v>
      </c>
      <c r="C565" s="27">
        <f ca="1">AVERAGE(OFFSET(SPY_Close_Price_PQ[[#This Row],[Close]], 0, 0, $C$1*-1))</f>
        <v>393.34160000000003</v>
      </c>
      <c r="D565" s="27">
        <f ca="1">AVERAGE(OFFSET(SPY_Close_Price_PQ[[#This Row],[Close]], 0, 0, $D$1*-1))</f>
        <v>394.86379999999997</v>
      </c>
      <c r="E565" s="28">
        <f t="shared" ca="1" si="8"/>
        <v>0</v>
      </c>
    </row>
    <row r="566" spans="1:5" x14ac:dyDescent="0.4">
      <c r="A566" s="5">
        <v>44956</v>
      </c>
      <c r="B566" s="9">
        <v>400.59</v>
      </c>
      <c r="C566" s="27">
        <f ca="1">AVERAGE(OFFSET(SPY_Close_Price_PQ[[#This Row],[Close]], 0, 0, $C$1*-1))</f>
        <v>393.3836</v>
      </c>
      <c r="D566" s="27">
        <f ca="1">AVERAGE(OFFSET(SPY_Close_Price_PQ[[#This Row],[Close]], 0, 0, $D$1*-1))</f>
        <v>394.67529999999999</v>
      </c>
      <c r="E566" s="28">
        <f t="shared" ca="1" si="8"/>
        <v>0</v>
      </c>
    </row>
    <row r="567" spans="1:5" x14ac:dyDescent="0.4">
      <c r="A567" s="4">
        <v>44957</v>
      </c>
      <c r="B567" s="8">
        <v>406.48</v>
      </c>
      <c r="C567" s="27">
        <f ca="1">AVERAGE(OFFSET(SPY_Close_Price_PQ[[#This Row],[Close]], 0, 0, $C$1*-1))</f>
        <v>393.60419999999999</v>
      </c>
      <c r="D567" s="27">
        <f ca="1">AVERAGE(OFFSET(SPY_Close_Price_PQ[[#This Row],[Close]], 0, 0, $D$1*-1))</f>
        <v>394.49115</v>
      </c>
      <c r="E567" s="28">
        <f t="shared" ca="1" si="8"/>
        <v>0</v>
      </c>
    </row>
    <row r="568" spans="1:5" x14ac:dyDescent="0.4">
      <c r="A568" s="5">
        <v>44958</v>
      </c>
      <c r="B568" s="9">
        <v>410.8</v>
      </c>
      <c r="C568" s="27">
        <f ca="1">AVERAGE(OFFSET(SPY_Close_Price_PQ[[#This Row],[Close]], 0, 0, $C$1*-1))</f>
        <v>393.93539999999996</v>
      </c>
      <c r="D568" s="27">
        <f ca="1">AVERAGE(OFFSET(SPY_Close_Price_PQ[[#This Row],[Close]], 0, 0, $D$1*-1))</f>
        <v>394.3562</v>
      </c>
      <c r="E568" s="28">
        <f t="shared" ca="1" si="8"/>
        <v>0</v>
      </c>
    </row>
    <row r="569" spans="1:5" x14ac:dyDescent="0.4">
      <c r="A569" s="4">
        <v>44959</v>
      </c>
      <c r="B569" s="8">
        <v>416.78</v>
      </c>
      <c r="C569" s="27">
        <f ca="1">AVERAGE(OFFSET(SPY_Close_Price_PQ[[#This Row],[Close]], 0, 0, $C$1*-1))</f>
        <v>394.35039999999992</v>
      </c>
      <c r="D569" s="27">
        <f ca="1">AVERAGE(OFFSET(SPY_Close_Price_PQ[[#This Row],[Close]], 0, 0, $D$1*-1))</f>
        <v>394.25024999999999</v>
      </c>
      <c r="E569" s="28">
        <f t="shared" ca="1" si="8"/>
        <v>1</v>
      </c>
    </row>
    <row r="570" spans="1:5" x14ac:dyDescent="0.4">
      <c r="A570" s="5">
        <v>44960</v>
      </c>
      <c r="B570" s="9">
        <v>412.35</v>
      </c>
      <c r="C570" s="27">
        <f ca="1">AVERAGE(OFFSET(SPY_Close_Price_PQ[[#This Row],[Close]], 0, 0, $C$1*-1))</f>
        <v>394.70559999999983</v>
      </c>
      <c r="D570" s="27">
        <f ca="1">AVERAGE(OFFSET(SPY_Close_Price_PQ[[#This Row],[Close]], 0, 0, $D$1*-1))</f>
        <v>394.0868000000001</v>
      </c>
      <c r="E570" s="28">
        <f t="shared" ca="1" si="8"/>
        <v>0</v>
      </c>
    </row>
    <row r="571" spans="1:5" x14ac:dyDescent="0.4">
      <c r="A571" s="4">
        <v>44963</v>
      </c>
      <c r="B571" s="8">
        <v>409.83</v>
      </c>
      <c r="C571" s="27">
        <f ca="1">AVERAGE(OFFSET(SPY_Close_Price_PQ[[#This Row],[Close]], 0, 0, $C$1*-1))</f>
        <v>394.90419999999989</v>
      </c>
      <c r="D571" s="27">
        <f ca="1">AVERAGE(OFFSET(SPY_Close_Price_PQ[[#This Row],[Close]], 0, 0, $D$1*-1))</f>
        <v>393.91239999999999</v>
      </c>
      <c r="E571" s="28">
        <f t="shared" ca="1" si="8"/>
        <v>0</v>
      </c>
    </row>
    <row r="572" spans="1:5" x14ac:dyDescent="0.4">
      <c r="A572" s="5">
        <v>44964</v>
      </c>
      <c r="B572" s="9">
        <v>415.19</v>
      </c>
      <c r="C572" s="27">
        <f ca="1">AVERAGE(OFFSET(SPY_Close_Price_PQ[[#This Row],[Close]], 0, 0, $C$1*-1))</f>
        <v>395.1595999999999</v>
      </c>
      <c r="D572" s="27">
        <f ca="1">AVERAGE(OFFSET(SPY_Close_Price_PQ[[#This Row],[Close]], 0, 0, $D$1*-1))</f>
        <v>393.79804999999999</v>
      </c>
      <c r="E572" s="28">
        <f t="shared" ca="1" si="8"/>
        <v>0</v>
      </c>
    </row>
    <row r="573" spans="1:5" x14ac:dyDescent="0.4">
      <c r="A573" s="4">
        <v>44965</v>
      </c>
      <c r="B573" s="8">
        <v>410.65</v>
      </c>
      <c r="C573" s="27">
        <f ca="1">AVERAGE(OFFSET(SPY_Close_Price_PQ[[#This Row],[Close]], 0, 0, $C$1*-1))</f>
        <v>395.32599999999996</v>
      </c>
      <c r="D573" s="27">
        <f ca="1">AVERAGE(OFFSET(SPY_Close_Price_PQ[[#This Row],[Close]], 0, 0, $D$1*-1))</f>
        <v>393.72109999999998</v>
      </c>
      <c r="E573" s="28">
        <f t="shared" ca="1" si="8"/>
        <v>0</v>
      </c>
    </row>
    <row r="574" spans="1:5" x14ac:dyDescent="0.4">
      <c r="A574" s="5">
        <v>44966</v>
      </c>
      <c r="B574" s="9">
        <v>407.09</v>
      </c>
      <c r="C574" s="27">
        <f ca="1">AVERAGE(OFFSET(SPY_Close_Price_PQ[[#This Row],[Close]], 0, 0, $C$1*-1))</f>
        <v>395.54959999999994</v>
      </c>
      <c r="D574" s="27">
        <f ca="1">AVERAGE(OFFSET(SPY_Close_Price_PQ[[#This Row],[Close]], 0, 0, $D$1*-1))</f>
        <v>393.61400000000003</v>
      </c>
      <c r="E574" s="28">
        <f t="shared" ca="1" si="8"/>
        <v>0</v>
      </c>
    </row>
    <row r="575" spans="1:5" x14ac:dyDescent="0.4">
      <c r="A575" s="4">
        <v>44967</v>
      </c>
      <c r="B575" s="8">
        <v>408.04</v>
      </c>
      <c r="C575" s="27">
        <f ca="1">AVERAGE(OFFSET(SPY_Close_Price_PQ[[#This Row],[Close]], 0, 0, $C$1*-1))</f>
        <v>395.80579999999992</v>
      </c>
      <c r="D575" s="27">
        <f ca="1">AVERAGE(OFFSET(SPY_Close_Price_PQ[[#This Row],[Close]], 0, 0, $D$1*-1))</f>
        <v>393.57369999999997</v>
      </c>
      <c r="E575" s="28">
        <f t="shared" ca="1" si="8"/>
        <v>0</v>
      </c>
    </row>
    <row r="576" spans="1:5" x14ac:dyDescent="0.4">
      <c r="A576" s="5">
        <v>44970</v>
      </c>
      <c r="B576" s="9">
        <v>412.83</v>
      </c>
      <c r="C576" s="27">
        <f ca="1">AVERAGE(OFFSET(SPY_Close_Price_PQ[[#This Row],[Close]], 0, 0, $C$1*-1))</f>
        <v>395.90879999999999</v>
      </c>
      <c r="D576" s="27">
        <f ca="1">AVERAGE(OFFSET(SPY_Close_Price_PQ[[#This Row],[Close]], 0, 0, $D$1*-1))</f>
        <v>393.55149999999992</v>
      </c>
      <c r="E576" s="28">
        <f t="shared" ca="1" si="8"/>
        <v>0</v>
      </c>
    </row>
    <row r="577" spans="1:5" x14ac:dyDescent="0.4">
      <c r="A577" s="4">
        <v>44971</v>
      </c>
      <c r="B577" s="8">
        <v>412.64</v>
      </c>
      <c r="C577" s="27">
        <f ca="1">AVERAGE(OFFSET(SPY_Close_Price_PQ[[#This Row],[Close]], 0, 0, $C$1*-1))</f>
        <v>396.01400000000001</v>
      </c>
      <c r="D577" s="27">
        <f ca="1">AVERAGE(OFFSET(SPY_Close_Price_PQ[[#This Row],[Close]], 0, 0, $D$1*-1))</f>
        <v>393.47564999999997</v>
      </c>
      <c r="E577" s="28">
        <f t="shared" ca="1" si="8"/>
        <v>0</v>
      </c>
    </row>
    <row r="578" spans="1:5" x14ac:dyDescent="0.4">
      <c r="A578" s="5">
        <v>44972</v>
      </c>
      <c r="B578" s="9">
        <v>413.98</v>
      </c>
      <c r="C578" s="27">
        <f ca="1">AVERAGE(OFFSET(SPY_Close_Price_PQ[[#This Row],[Close]], 0, 0, $C$1*-1))</f>
        <v>396.15539999999999</v>
      </c>
      <c r="D578" s="27">
        <f ca="1">AVERAGE(OFFSET(SPY_Close_Price_PQ[[#This Row],[Close]], 0, 0, $D$1*-1))</f>
        <v>393.48554999999993</v>
      </c>
      <c r="E578" s="28">
        <f t="shared" ca="1" si="8"/>
        <v>0</v>
      </c>
    </row>
    <row r="579" spans="1:5" x14ac:dyDescent="0.4">
      <c r="A579" s="4">
        <v>44973</v>
      </c>
      <c r="B579" s="8">
        <v>408.28</v>
      </c>
      <c r="C579" s="27">
        <f ca="1">AVERAGE(OFFSET(SPY_Close_Price_PQ[[#This Row],[Close]], 0, 0, $C$1*-1))</f>
        <v>396.32920000000007</v>
      </c>
      <c r="D579" s="27">
        <f ca="1">AVERAGE(OFFSET(SPY_Close_Price_PQ[[#This Row],[Close]], 0, 0, $D$1*-1))</f>
        <v>393.45455000000004</v>
      </c>
      <c r="E579" s="28">
        <f t="shared" ca="1" si="8"/>
        <v>0</v>
      </c>
    </row>
    <row r="580" spans="1:5" x14ac:dyDescent="0.4">
      <c r="A580" s="5">
        <v>44974</v>
      </c>
      <c r="B580" s="9">
        <v>407.26</v>
      </c>
      <c r="C580" s="27">
        <f ca="1">AVERAGE(OFFSET(SPY_Close_Price_PQ[[#This Row],[Close]], 0, 0, $C$1*-1))</f>
        <v>396.59780000000001</v>
      </c>
      <c r="D580" s="27">
        <f ca="1">AVERAGE(OFFSET(SPY_Close_Price_PQ[[#This Row],[Close]], 0, 0, $D$1*-1))</f>
        <v>393.40894999999995</v>
      </c>
      <c r="E580" s="28">
        <f t="shared" ref="E580:E643" ca="1" si="9">IF(AND(C579&lt;D579,C580&gt;D580),1,0)</f>
        <v>0</v>
      </c>
    </row>
    <row r="581" spans="1:5" x14ac:dyDescent="0.4">
      <c r="A581" s="4">
        <v>44978</v>
      </c>
      <c r="B581" s="8">
        <v>399.09</v>
      </c>
      <c r="C581" s="27">
        <f ca="1">AVERAGE(OFFSET(SPY_Close_Price_PQ[[#This Row],[Close]], 0, 0, $C$1*-1))</f>
        <v>396.71640000000002</v>
      </c>
      <c r="D581" s="27">
        <f ca="1">AVERAGE(OFFSET(SPY_Close_Price_PQ[[#This Row],[Close]], 0, 0, $D$1*-1))</f>
        <v>393.25909999999999</v>
      </c>
      <c r="E581" s="28">
        <f t="shared" ca="1" si="9"/>
        <v>0</v>
      </c>
    </row>
    <row r="582" spans="1:5" x14ac:dyDescent="0.4">
      <c r="A582" s="5">
        <v>44979</v>
      </c>
      <c r="B582" s="9">
        <v>398.54</v>
      </c>
      <c r="C582" s="27">
        <f ca="1">AVERAGE(OFFSET(SPY_Close_Price_PQ[[#This Row],[Close]], 0, 0, $C$1*-1))</f>
        <v>396.7623999999999</v>
      </c>
      <c r="D582" s="27">
        <f ca="1">AVERAGE(OFFSET(SPY_Close_Price_PQ[[#This Row],[Close]], 0, 0, $D$1*-1))</f>
        <v>393.18274999999994</v>
      </c>
      <c r="E582" s="28">
        <f t="shared" ca="1" si="9"/>
        <v>0</v>
      </c>
    </row>
    <row r="583" spans="1:5" x14ac:dyDescent="0.4">
      <c r="A583" s="4">
        <v>44980</v>
      </c>
      <c r="B583" s="8">
        <v>400.66</v>
      </c>
      <c r="C583" s="27">
        <f ca="1">AVERAGE(OFFSET(SPY_Close_Price_PQ[[#This Row],[Close]], 0, 0, $C$1*-1))</f>
        <v>396.90999999999991</v>
      </c>
      <c r="D583" s="27">
        <f ca="1">AVERAGE(OFFSET(SPY_Close_Price_PQ[[#This Row],[Close]], 0, 0, $D$1*-1))</f>
        <v>393.12934999999993</v>
      </c>
      <c r="E583" s="28">
        <f t="shared" ca="1" si="9"/>
        <v>0</v>
      </c>
    </row>
    <row r="584" spans="1:5" x14ac:dyDescent="0.4">
      <c r="A584" s="5">
        <v>44981</v>
      </c>
      <c r="B584" s="9">
        <v>396.38</v>
      </c>
      <c r="C584" s="27">
        <f ca="1">AVERAGE(OFFSET(SPY_Close_Price_PQ[[#This Row],[Close]], 0, 0, $C$1*-1))</f>
        <v>396.85859999999991</v>
      </c>
      <c r="D584" s="27">
        <f ca="1">AVERAGE(OFFSET(SPY_Close_Price_PQ[[#This Row],[Close]], 0, 0, $D$1*-1))</f>
        <v>393.12039999999996</v>
      </c>
      <c r="E584" s="28">
        <f t="shared" ca="1" si="9"/>
        <v>0</v>
      </c>
    </row>
    <row r="585" spans="1:5" x14ac:dyDescent="0.4">
      <c r="A585" s="4">
        <v>44984</v>
      </c>
      <c r="B585" s="8">
        <v>397.73</v>
      </c>
      <c r="C585" s="27">
        <f ca="1">AVERAGE(OFFSET(SPY_Close_Price_PQ[[#This Row],[Close]], 0, 0, $C$1*-1))</f>
        <v>396.77379999999999</v>
      </c>
      <c r="D585" s="27">
        <f ca="1">AVERAGE(OFFSET(SPY_Close_Price_PQ[[#This Row],[Close]], 0, 0, $D$1*-1))</f>
        <v>393.11359999999991</v>
      </c>
      <c r="E585" s="28">
        <f t="shared" ca="1" si="9"/>
        <v>0</v>
      </c>
    </row>
    <row r="586" spans="1:5" x14ac:dyDescent="0.4">
      <c r="A586" s="5">
        <v>44985</v>
      </c>
      <c r="B586" s="9">
        <v>396.26</v>
      </c>
      <c r="C586" s="27">
        <f ca="1">AVERAGE(OFFSET(SPY_Close_Price_PQ[[#This Row],[Close]], 0, 0, $C$1*-1))</f>
        <v>396.7109999999999</v>
      </c>
      <c r="D586" s="27">
        <f ca="1">AVERAGE(OFFSET(SPY_Close_Price_PQ[[#This Row],[Close]], 0, 0, $D$1*-1))</f>
        <v>393.13114999999993</v>
      </c>
      <c r="E586" s="28">
        <f t="shared" ca="1" si="9"/>
        <v>0</v>
      </c>
    </row>
    <row r="587" spans="1:5" x14ac:dyDescent="0.4">
      <c r="A587" s="4">
        <v>44986</v>
      </c>
      <c r="B587" s="8">
        <v>394.74</v>
      </c>
      <c r="C587" s="27">
        <f ca="1">AVERAGE(OFFSET(SPY_Close_Price_PQ[[#This Row],[Close]], 0, 0, $C$1*-1))</f>
        <v>396.81319999999994</v>
      </c>
      <c r="D587" s="27">
        <f ca="1">AVERAGE(OFFSET(SPY_Close_Price_PQ[[#This Row],[Close]], 0, 0, $D$1*-1))</f>
        <v>393.14314999999988</v>
      </c>
      <c r="E587" s="28">
        <f t="shared" ca="1" si="9"/>
        <v>0</v>
      </c>
    </row>
    <row r="588" spans="1:5" x14ac:dyDescent="0.4">
      <c r="A588" s="5">
        <v>44987</v>
      </c>
      <c r="B588" s="9">
        <v>397.81</v>
      </c>
      <c r="C588" s="27">
        <f ca="1">AVERAGE(OFFSET(SPY_Close_Price_PQ[[#This Row],[Close]], 0, 0, $C$1*-1))</f>
        <v>397.1040000000001</v>
      </c>
      <c r="D588" s="27">
        <f ca="1">AVERAGE(OFFSET(SPY_Close_Price_PQ[[#This Row],[Close]], 0, 0, $D$1*-1))</f>
        <v>393.12359999999984</v>
      </c>
      <c r="E588" s="28">
        <f t="shared" ca="1" si="9"/>
        <v>0</v>
      </c>
    </row>
    <row r="589" spans="1:5" x14ac:dyDescent="0.4">
      <c r="A589" s="4">
        <v>44988</v>
      </c>
      <c r="B589" s="8">
        <v>404.19</v>
      </c>
      <c r="C589" s="27">
        <f ca="1">AVERAGE(OFFSET(SPY_Close_Price_PQ[[#This Row],[Close]], 0, 0, $C$1*-1))</f>
        <v>397.58740000000006</v>
      </c>
      <c r="D589" s="27">
        <f ca="1">AVERAGE(OFFSET(SPY_Close_Price_PQ[[#This Row],[Close]], 0, 0, $D$1*-1))</f>
        <v>393.14409999999981</v>
      </c>
      <c r="E589" s="28">
        <f t="shared" ca="1" si="9"/>
        <v>0</v>
      </c>
    </row>
    <row r="590" spans="1:5" x14ac:dyDescent="0.4">
      <c r="A590" s="5">
        <v>44991</v>
      </c>
      <c r="B590" s="9">
        <v>404.47</v>
      </c>
      <c r="C590" s="27">
        <f ca="1">AVERAGE(OFFSET(SPY_Close_Price_PQ[[#This Row],[Close]], 0, 0, $C$1*-1))</f>
        <v>398.06600000000003</v>
      </c>
      <c r="D590" s="27">
        <f ca="1">AVERAGE(OFFSET(SPY_Close_Price_PQ[[#This Row],[Close]], 0, 0, $D$1*-1))</f>
        <v>393.12484999999981</v>
      </c>
      <c r="E590" s="28">
        <f t="shared" ca="1" si="9"/>
        <v>0</v>
      </c>
    </row>
    <row r="591" spans="1:5" x14ac:dyDescent="0.4">
      <c r="A591" s="4">
        <v>44992</v>
      </c>
      <c r="B591" s="8">
        <v>398.27</v>
      </c>
      <c r="C591" s="27">
        <f ca="1">AVERAGE(OFFSET(SPY_Close_Price_PQ[[#This Row],[Close]], 0, 0, $C$1*-1))</f>
        <v>398.30680000000007</v>
      </c>
      <c r="D591" s="27">
        <f ca="1">AVERAGE(OFFSET(SPY_Close_Price_PQ[[#This Row],[Close]], 0, 0, $D$1*-1))</f>
        <v>393.15689999999978</v>
      </c>
      <c r="E591" s="28">
        <f t="shared" ca="1" si="9"/>
        <v>0</v>
      </c>
    </row>
    <row r="592" spans="1:5" x14ac:dyDescent="0.4">
      <c r="A592" s="5">
        <v>44993</v>
      </c>
      <c r="B592" s="9">
        <v>398.92</v>
      </c>
      <c r="C592" s="27">
        <f ca="1">AVERAGE(OFFSET(SPY_Close_Price_PQ[[#This Row],[Close]], 0, 0, $C$1*-1))</f>
        <v>398.67080000000004</v>
      </c>
      <c r="D592" s="27">
        <f ca="1">AVERAGE(OFFSET(SPY_Close_Price_PQ[[#This Row],[Close]], 0, 0, $D$1*-1))</f>
        <v>393.20419999999979</v>
      </c>
      <c r="E592" s="28">
        <f t="shared" ca="1" si="9"/>
        <v>0</v>
      </c>
    </row>
    <row r="593" spans="1:5" x14ac:dyDescent="0.4">
      <c r="A593" s="4">
        <v>44994</v>
      </c>
      <c r="B593" s="8">
        <v>391.56</v>
      </c>
      <c r="C593" s="27">
        <f ca="1">AVERAGE(OFFSET(SPY_Close_Price_PQ[[#This Row],[Close]], 0, 0, $C$1*-1))</f>
        <v>398.84380000000004</v>
      </c>
      <c r="D593" s="27">
        <f ca="1">AVERAGE(OFFSET(SPY_Close_Price_PQ[[#This Row],[Close]], 0, 0, $D$1*-1))</f>
        <v>393.21384999999964</v>
      </c>
      <c r="E593" s="28">
        <f t="shared" ca="1" si="9"/>
        <v>0</v>
      </c>
    </row>
    <row r="594" spans="1:5" x14ac:dyDescent="0.4">
      <c r="A594" s="5">
        <v>44995</v>
      </c>
      <c r="B594" s="9">
        <v>385.91</v>
      </c>
      <c r="C594" s="27">
        <f ca="1">AVERAGE(OFFSET(SPY_Close_Price_PQ[[#This Row],[Close]], 0, 0, $C$1*-1))</f>
        <v>398.93400000000008</v>
      </c>
      <c r="D594" s="27">
        <f ca="1">AVERAGE(OFFSET(SPY_Close_Price_PQ[[#This Row],[Close]], 0, 0, $D$1*-1))</f>
        <v>393.15879999999976</v>
      </c>
      <c r="E594" s="28">
        <f t="shared" ca="1" si="9"/>
        <v>0</v>
      </c>
    </row>
    <row r="595" spans="1:5" x14ac:dyDescent="0.4">
      <c r="A595" s="4">
        <v>44998</v>
      </c>
      <c r="B595" s="8">
        <v>385.36</v>
      </c>
      <c r="C595" s="27">
        <f ca="1">AVERAGE(OFFSET(SPY_Close_Price_PQ[[#This Row],[Close]], 0, 0, $C$1*-1))</f>
        <v>399.10800000000012</v>
      </c>
      <c r="D595" s="27">
        <f ca="1">AVERAGE(OFFSET(SPY_Close_Price_PQ[[#This Row],[Close]], 0, 0, $D$1*-1))</f>
        <v>393.11614999999966</v>
      </c>
      <c r="E595" s="28">
        <f t="shared" ca="1" si="9"/>
        <v>0</v>
      </c>
    </row>
    <row r="596" spans="1:5" x14ac:dyDescent="0.4">
      <c r="A596" s="5">
        <v>44999</v>
      </c>
      <c r="B596" s="9">
        <v>391.73</v>
      </c>
      <c r="C596" s="27">
        <f ca="1">AVERAGE(OFFSET(SPY_Close_Price_PQ[[#This Row],[Close]], 0, 0, $C$1*-1))</f>
        <v>399.27380000000005</v>
      </c>
      <c r="D596" s="27">
        <f ca="1">AVERAGE(OFFSET(SPY_Close_Price_PQ[[#This Row],[Close]], 0, 0, $D$1*-1))</f>
        <v>393.08794999999969</v>
      </c>
      <c r="E596" s="28">
        <f t="shared" ca="1" si="9"/>
        <v>0</v>
      </c>
    </row>
    <row r="597" spans="1:5" x14ac:dyDescent="0.4">
      <c r="A597" s="4">
        <v>45000</v>
      </c>
      <c r="B597" s="8">
        <v>389.28</v>
      </c>
      <c r="C597" s="27">
        <f ca="1">AVERAGE(OFFSET(SPY_Close_Price_PQ[[#This Row],[Close]], 0, 0, $C$1*-1))</f>
        <v>399.41079999999999</v>
      </c>
      <c r="D597" s="27">
        <f ca="1">AVERAGE(OFFSET(SPY_Close_Price_PQ[[#This Row],[Close]], 0, 0, $D$1*-1))</f>
        <v>393.00779999999969</v>
      </c>
      <c r="E597" s="28">
        <f t="shared" ca="1" si="9"/>
        <v>0</v>
      </c>
    </row>
    <row r="598" spans="1:5" x14ac:dyDescent="0.4">
      <c r="A598" s="5">
        <v>45001</v>
      </c>
      <c r="B598" s="9">
        <v>396.11</v>
      </c>
      <c r="C598" s="27">
        <f ca="1">AVERAGE(OFFSET(SPY_Close_Price_PQ[[#This Row],[Close]], 0, 0, $C$1*-1))</f>
        <v>399.71660000000003</v>
      </c>
      <c r="D598" s="27">
        <f ca="1">AVERAGE(OFFSET(SPY_Close_Price_PQ[[#This Row],[Close]], 0, 0, $D$1*-1))</f>
        <v>392.91204999999974</v>
      </c>
      <c r="E598" s="28">
        <f t="shared" ca="1" si="9"/>
        <v>0</v>
      </c>
    </row>
    <row r="599" spans="1:5" x14ac:dyDescent="0.4">
      <c r="A599" s="4">
        <v>45002</v>
      </c>
      <c r="B599" s="8">
        <v>389.99</v>
      </c>
      <c r="C599" s="27">
        <f ca="1">AVERAGE(OFFSET(SPY_Close_Price_PQ[[#This Row],[Close]], 0, 0, $C$1*-1))</f>
        <v>399.84120000000001</v>
      </c>
      <c r="D599" s="27">
        <f ca="1">AVERAGE(OFFSET(SPY_Close_Price_PQ[[#This Row],[Close]], 0, 0, $D$1*-1))</f>
        <v>392.79734999999977</v>
      </c>
      <c r="E599" s="28">
        <f t="shared" ca="1" si="9"/>
        <v>0</v>
      </c>
    </row>
    <row r="600" spans="1:5" x14ac:dyDescent="0.4">
      <c r="A600" s="5">
        <v>45005</v>
      </c>
      <c r="B600" s="9">
        <v>393.74</v>
      </c>
      <c r="C600" s="27">
        <f ca="1">AVERAGE(OFFSET(SPY_Close_Price_PQ[[#This Row],[Close]], 0, 0, $C$1*-1))</f>
        <v>400.12840000000006</v>
      </c>
      <c r="D600" s="27">
        <f ca="1">AVERAGE(OFFSET(SPY_Close_Price_PQ[[#This Row],[Close]], 0, 0, $D$1*-1))</f>
        <v>392.71809999999977</v>
      </c>
      <c r="E600" s="28">
        <f t="shared" ca="1" si="9"/>
        <v>0</v>
      </c>
    </row>
    <row r="601" spans="1:5" x14ac:dyDescent="0.4">
      <c r="A601" s="4">
        <v>45006</v>
      </c>
      <c r="B601" s="8">
        <v>398.91</v>
      </c>
      <c r="C601" s="27">
        <f ca="1">AVERAGE(OFFSET(SPY_Close_Price_PQ[[#This Row],[Close]], 0, 0, $C$1*-1))</f>
        <v>400.34500000000008</v>
      </c>
      <c r="D601" s="27">
        <f ca="1">AVERAGE(OFFSET(SPY_Close_Price_PQ[[#This Row],[Close]], 0, 0, $D$1*-1))</f>
        <v>392.62569999999982</v>
      </c>
      <c r="E601" s="28">
        <f t="shared" ca="1" si="9"/>
        <v>0</v>
      </c>
    </row>
    <row r="602" spans="1:5" x14ac:dyDescent="0.4">
      <c r="A602" s="5">
        <v>45007</v>
      </c>
      <c r="B602" s="9">
        <v>392.11</v>
      </c>
      <c r="C602" s="27">
        <f ca="1">AVERAGE(OFFSET(SPY_Close_Price_PQ[[#This Row],[Close]], 0, 0, $C$1*-1))</f>
        <v>400.43000000000006</v>
      </c>
      <c r="D602" s="27">
        <f ca="1">AVERAGE(OFFSET(SPY_Close_Price_PQ[[#This Row],[Close]], 0, 0, $D$1*-1))</f>
        <v>392.53354999999982</v>
      </c>
      <c r="E602" s="28">
        <f t="shared" ca="1" si="9"/>
        <v>0</v>
      </c>
    </row>
    <row r="603" spans="1:5" x14ac:dyDescent="0.4">
      <c r="A603" s="4">
        <v>45008</v>
      </c>
      <c r="B603" s="8">
        <v>393.17</v>
      </c>
      <c r="C603" s="27">
        <f ca="1">AVERAGE(OFFSET(SPY_Close_Price_PQ[[#This Row],[Close]], 0, 0, $C$1*-1))</f>
        <v>400.48180000000002</v>
      </c>
      <c r="D603" s="27">
        <f ca="1">AVERAGE(OFFSET(SPY_Close_Price_PQ[[#This Row],[Close]], 0, 0, $D$1*-1))</f>
        <v>392.44044999999977</v>
      </c>
      <c r="E603" s="28">
        <f t="shared" ca="1" si="9"/>
        <v>0</v>
      </c>
    </row>
    <row r="604" spans="1:5" x14ac:dyDescent="0.4">
      <c r="A604" s="5">
        <v>45009</v>
      </c>
      <c r="B604" s="9">
        <v>395.75</v>
      </c>
      <c r="C604" s="27">
        <f ca="1">AVERAGE(OFFSET(SPY_Close_Price_PQ[[#This Row],[Close]], 0, 0, $C$1*-1))</f>
        <v>400.4864</v>
      </c>
      <c r="D604" s="27">
        <f ca="1">AVERAGE(OFFSET(SPY_Close_Price_PQ[[#This Row],[Close]], 0, 0, $D$1*-1))</f>
        <v>392.34049999999979</v>
      </c>
      <c r="E604" s="28">
        <f t="shared" ca="1" si="9"/>
        <v>0</v>
      </c>
    </row>
    <row r="605" spans="1:5" x14ac:dyDescent="0.4">
      <c r="A605" s="4">
        <v>45012</v>
      </c>
      <c r="B605" s="8">
        <v>396.49</v>
      </c>
      <c r="C605" s="27">
        <f ca="1">AVERAGE(OFFSET(SPY_Close_Price_PQ[[#This Row],[Close]], 0, 0, $C$1*-1))</f>
        <v>400.47700000000003</v>
      </c>
      <c r="D605" s="27">
        <f ca="1">AVERAGE(OFFSET(SPY_Close_Price_PQ[[#This Row],[Close]], 0, 0, $D$1*-1))</f>
        <v>392.26684999999981</v>
      </c>
      <c r="E605" s="28">
        <f t="shared" ca="1" si="9"/>
        <v>0</v>
      </c>
    </row>
    <row r="606" spans="1:5" x14ac:dyDescent="0.4">
      <c r="A606" s="5">
        <v>45013</v>
      </c>
      <c r="B606" s="9">
        <v>395.6</v>
      </c>
      <c r="C606" s="27">
        <f ca="1">AVERAGE(OFFSET(SPY_Close_Price_PQ[[#This Row],[Close]], 0, 0, $C$1*-1))</f>
        <v>400.41900000000004</v>
      </c>
      <c r="D606" s="27">
        <f ca="1">AVERAGE(OFFSET(SPY_Close_Price_PQ[[#This Row],[Close]], 0, 0, $D$1*-1))</f>
        <v>392.23764999999992</v>
      </c>
      <c r="E606" s="28">
        <f t="shared" ca="1" si="9"/>
        <v>0</v>
      </c>
    </row>
    <row r="607" spans="1:5" x14ac:dyDescent="0.4">
      <c r="A607" s="4">
        <v>45014</v>
      </c>
      <c r="B607" s="8">
        <v>401.35</v>
      </c>
      <c r="C607" s="27">
        <f ca="1">AVERAGE(OFFSET(SPY_Close_Price_PQ[[#This Row],[Close]], 0, 0, $C$1*-1))</f>
        <v>400.49059999999997</v>
      </c>
      <c r="D607" s="27">
        <f ca="1">AVERAGE(OFFSET(SPY_Close_Price_PQ[[#This Row],[Close]], 0, 0, $D$1*-1))</f>
        <v>392.29540000000003</v>
      </c>
      <c r="E607" s="28">
        <f t="shared" ca="1" si="9"/>
        <v>0</v>
      </c>
    </row>
    <row r="608" spans="1:5" x14ac:dyDescent="0.4">
      <c r="A608" s="5">
        <v>45015</v>
      </c>
      <c r="B608" s="9">
        <v>403.7</v>
      </c>
      <c r="C608" s="27">
        <f ca="1">AVERAGE(OFFSET(SPY_Close_Price_PQ[[#This Row],[Close]], 0, 0, $C$1*-1))</f>
        <v>400.73480000000001</v>
      </c>
      <c r="D608" s="27">
        <f ca="1">AVERAGE(OFFSET(SPY_Close_Price_PQ[[#This Row],[Close]], 0, 0, $D$1*-1))</f>
        <v>392.43889999999999</v>
      </c>
      <c r="E608" s="28">
        <f t="shared" ca="1" si="9"/>
        <v>0</v>
      </c>
    </row>
    <row r="609" spans="1:5" x14ac:dyDescent="0.4">
      <c r="A609" s="4">
        <v>45016</v>
      </c>
      <c r="B609" s="8">
        <v>409.39</v>
      </c>
      <c r="C609" s="27">
        <f ca="1">AVERAGE(OFFSET(SPY_Close_Price_PQ[[#This Row],[Close]], 0, 0, $C$1*-1))</f>
        <v>401.14979999999997</v>
      </c>
      <c r="D609" s="27">
        <f ca="1">AVERAGE(OFFSET(SPY_Close_Price_PQ[[#This Row],[Close]], 0, 0, $D$1*-1))</f>
        <v>392.61650000000003</v>
      </c>
      <c r="E609" s="28">
        <f t="shared" ca="1" si="9"/>
        <v>0</v>
      </c>
    </row>
    <row r="610" spans="1:5" x14ac:dyDescent="0.4">
      <c r="A610" s="5">
        <v>45019</v>
      </c>
      <c r="B610" s="9">
        <v>410.95</v>
      </c>
      <c r="C610" s="27">
        <f ca="1">AVERAGE(OFFSET(SPY_Close_Price_PQ[[#This Row],[Close]], 0, 0, $C$1*-1))</f>
        <v>401.45119999999997</v>
      </c>
      <c r="D610" s="27">
        <f ca="1">AVERAGE(OFFSET(SPY_Close_Price_PQ[[#This Row],[Close]], 0, 0, $D$1*-1))</f>
        <v>392.77525000000003</v>
      </c>
      <c r="E610" s="28">
        <f t="shared" ca="1" si="9"/>
        <v>0</v>
      </c>
    </row>
    <row r="611" spans="1:5" x14ac:dyDescent="0.4">
      <c r="A611" s="4">
        <v>45020</v>
      </c>
      <c r="B611" s="8">
        <v>408.67</v>
      </c>
      <c r="C611" s="27">
        <f ca="1">AVERAGE(OFFSET(SPY_Close_Price_PQ[[#This Row],[Close]], 0, 0, $C$1*-1))</f>
        <v>401.61199999999991</v>
      </c>
      <c r="D611" s="27">
        <f ca="1">AVERAGE(OFFSET(SPY_Close_Price_PQ[[#This Row],[Close]], 0, 0, $D$1*-1))</f>
        <v>392.9853500000001</v>
      </c>
      <c r="E611" s="28">
        <f t="shared" ca="1" si="9"/>
        <v>0</v>
      </c>
    </row>
    <row r="612" spans="1:5" x14ac:dyDescent="0.4">
      <c r="A612" s="5">
        <v>45021</v>
      </c>
      <c r="B612" s="9">
        <v>407.6</v>
      </c>
      <c r="C612" s="27">
        <f ca="1">AVERAGE(OFFSET(SPY_Close_Price_PQ[[#This Row],[Close]], 0, 0, $C$1*-1))</f>
        <v>401.75999999999993</v>
      </c>
      <c r="D612" s="27">
        <f ca="1">AVERAGE(OFFSET(SPY_Close_Price_PQ[[#This Row],[Close]], 0, 0, $D$1*-1))</f>
        <v>393.19405000000012</v>
      </c>
      <c r="E612" s="28">
        <f t="shared" ca="1" si="9"/>
        <v>0</v>
      </c>
    </row>
    <row r="613" spans="1:5" x14ac:dyDescent="0.4">
      <c r="A613" s="4">
        <v>45022</v>
      </c>
      <c r="B613" s="8">
        <v>409.19</v>
      </c>
      <c r="C613" s="27">
        <f ca="1">AVERAGE(OFFSET(SPY_Close_Price_PQ[[#This Row],[Close]], 0, 0, $C$1*-1))</f>
        <v>401.93679999999995</v>
      </c>
      <c r="D613" s="27">
        <f ca="1">AVERAGE(OFFSET(SPY_Close_Price_PQ[[#This Row],[Close]], 0, 0, $D$1*-1))</f>
        <v>393.3646500000001</v>
      </c>
      <c r="E613" s="28">
        <f t="shared" ca="1" si="9"/>
        <v>0</v>
      </c>
    </row>
    <row r="614" spans="1:5" x14ac:dyDescent="0.4">
      <c r="A614" s="5">
        <v>45026</v>
      </c>
      <c r="B614" s="9">
        <v>409.61</v>
      </c>
      <c r="C614" s="27">
        <f ca="1">AVERAGE(OFFSET(SPY_Close_Price_PQ[[#This Row],[Close]], 0, 0, $C$1*-1))</f>
        <v>402.03399999999993</v>
      </c>
      <c r="D614" s="27">
        <f ca="1">AVERAGE(OFFSET(SPY_Close_Price_PQ[[#This Row],[Close]], 0, 0, $D$1*-1))</f>
        <v>393.54075000000012</v>
      </c>
      <c r="E614" s="28">
        <f t="shared" ca="1" si="9"/>
        <v>0</v>
      </c>
    </row>
    <row r="615" spans="1:5" x14ac:dyDescent="0.4">
      <c r="A615" s="4">
        <v>45027</v>
      </c>
      <c r="B615" s="8">
        <v>409.72</v>
      </c>
      <c r="C615" s="27">
        <f ca="1">AVERAGE(OFFSET(SPY_Close_Price_PQ[[#This Row],[Close]], 0, 0, $C$1*-1))</f>
        <v>402.11479999999995</v>
      </c>
      <c r="D615" s="27">
        <f ca="1">AVERAGE(OFFSET(SPY_Close_Price_PQ[[#This Row],[Close]], 0, 0, $D$1*-1))</f>
        <v>393.69905000000011</v>
      </c>
      <c r="E615" s="28">
        <f t="shared" ca="1" si="9"/>
        <v>0</v>
      </c>
    </row>
    <row r="616" spans="1:5" x14ac:dyDescent="0.4">
      <c r="A616" s="5">
        <v>45028</v>
      </c>
      <c r="B616" s="9">
        <v>408.05</v>
      </c>
      <c r="C616" s="27">
        <f ca="1">AVERAGE(OFFSET(SPY_Close_Price_PQ[[#This Row],[Close]], 0, 0, $C$1*-1))</f>
        <v>402.26399999999995</v>
      </c>
      <c r="D616" s="27">
        <f ca="1">AVERAGE(OFFSET(SPY_Close_Price_PQ[[#This Row],[Close]], 0, 0, $D$1*-1))</f>
        <v>393.78890000000013</v>
      </c>
      <c r="E616" s="28">
        <f t="shared" ca="1" si="9"/>
        <v>0</v>
      </c>
    </row>
    <row r="617" spans="1:5" x14ac:dyDescent="0.4">
      <c r="A617" s="4">
        <v>45029</v>
      </c>
      <c r="B617" s="8">
        <v>413.47</v>
      </c>
      <c r="C617" s="27">
        <f ca="1">AVERAGE(OFFSET(SPY_Close_Price_PQ[[#This Row],[Close]], 0, 0, $C$1*-1))</f>
        <v>402.40379999999999</v>
      </c>
      <c r="D617" s="27">
        <f ca="1">AVERAGE(OFFSET(SPY_Close_Price_PQ[[#This Row],[Close]], 0, 0, $D$1*-1))</f>
        <v>393.91330000000016</v>
      </c>
      <c r="E617" s="28">
        <f t="shared" ca="1" si="9"/>
        <v>0</v>
      </c>
    </row>
    <row r="618" spans="1:5" x14ac:dyDescent="0.4">
      <c r="A618" s="5">
        <v>45030</v>
      </c>
      <c r="B618" s="9">
        <v>412.46</v>
      </c>
      <c r="C618" s="27">
        <f ca="1">AVERAGE(OFFSET(SPY_Close_Price_PQ[[#This Row],[Close]], 0, 0, $C$1*-1))</f>
        <v>402.43699999999995</v>
      </c>
      <c r="D618" s="27">
        <f ca="1">AVERAGE(OFFSET(SPY_Close_Price_PQ[[#This Row],[Close]], 0, 0, $D$1*-1))</f>
        <v>394.0723500000002</v>
      </c>
      <c r="E618" s="28">
        <f t="shared" ca="1" si="9"/>
        <v>0</v>
      </c>
    </row>
    <row r="619" spans="1:5" x14ac:dyDescent="0.4">
      <c r="A619" s="4">
        <v>45033</v>
      </c>
      <c r="B619" s="8">
        <v>413.94</v>
      </c>
      <c r="C619" s="27">
        <f ca="1">AVERAGE(OFFSET(SPY_Close_Price_PQ[[#This Row],[Close]], 0, 0, $C$1*-1))</f>
        <v>402.38019999999995</v>
      </c>
      <c r="D619" s="27">
        <f ca="1">AVERAGE(OFFSET(SPY_Close_Price_PQ[[#This Row],[Close]], 0, 0, $D$1*-1))</f>
        <v>394.24035000000026</v>
      </c>
      <c r="E619" s="28">
        <f t="shared" ca="1" si="9"/>
        <v>0</v>
      </c>
    </row>
    <row r="620" spans="1:5" x14ac:dyDescent="0.4">
      <c r="A620" s="5">
        <v>45034</v>
      </c>
      <c r="B620" s="9">
        <v>414.21</v>
      </c>
      <c r="C620" s="27">
        <f ca="1">AVERAGE(OFFSET(SPY_Close_Price_PQ[[#This Row],[Close]], 0, 0, $C$1*-1))</f>
        <v>402.41739999999999</v>
      </c>
      <c r="D620" s="27">
        <f ca="1">AVERAGE(OFFSET(SPY_Close_Price_PQ[[#This Row],[Close]], 0, 0, $D$1*-1))</f>
        <v>394.42515000000026</v>
      </c>
      <c r="E620" s="28">
        <f t="shared" ca="1" si="9"/>
        <v>0</v>
      </c>
    </row>
    <row r="621" spans="1:5" x14ac:dyDescent="0.4">
      <c r="A621" s="4">
        <v>45035</v>
      </c>
      <c r="B621" s="8">
        <v>414.14</v>
      </c>
      <c r="C621" s="27">
        <f ca="1">AVERAGE(OFFSET(SPY_Close_Price_PQ[[#This Row],[Close]], 0, 0, $C$1*-1))</f>
        <v>402.50360000000001</v>
      </c>
      <c r="D621" s="27">
        <f ca="1">AVERAGE(OFFSET(SPY_Close_Price_PQ[[#This Row],[Close]], 0, 0, $D$1*-1))</f>
        <v>394.58965000000035</v>
      </c>
      <c r="E621" s="28">
        <f t="shared" ca="1" si="9"/>
        <v>0</v>
      </c>
    </row>
    <row r="622" spans="1:5" x14ac:dyDescent="0.4">
      <c r="A622" s="5">
        <v>45036</v>
      </c>
      <c r="B622" s="9">
        <v>411.88</v>
      </c>
      <c r="C622" s="27">
        <f ca="1">AVERAGE(OFFSET(SPY_Close_Price_PQ[[#This Row],[Close]], 0, 0, $C$1*-1))</f>
        <v>402.43740000000003</v>
      </c>
      <c r="D622" s="27">
        <f ca="1">AVERAGE(OFFSET(SPY_Close_Price_PQ[[#This Row],[Close]], 0, 0, $D$1*-1))</f>
        <v>394.73925000000025</v>
      </c>
      <c r="E622" s="28">
        <f t="shared" ca="1" si="9"/>
        <v>0</v>
      </c>
    </row>
    <row r="623" spans="1:5" x14ac:dyDescent="0.4">
      <c r="A623" s="4">
        <v>45037</v>
      </c>
      <c r="B623" s="8">
        <v>412.2</v>
      </c>
      <c r="C623" s="27">
        <f ca="1">AVERAGE(OFFSET(SPY_Close_Price_PQ[[#This Row],[Close]], 0, 0, $C$1*-1))</f>
        <v>402.46840000000009</v>
      </c>
      <c r="D623" s="27">
        <f ca="1">AVERAGE(OFFSET(SPY_Close_Price_PQ[[#This Row],[Close]], 0, 0, $D$1*-1))</f>
        <v>394.88400000000024</v>
      </c>
      <c r="E623" s="28">
        <f t="shared" ca="1" si="9"/>
        <v>0</v>
      </c>
    </row>
    <row r="624" spans="1:5" x14ac:dyDescent="0.4">
      <c r="A624" s="5">
        <v>45040</v>
      </c>
      <c r="B624" s="9">
        <v>412.63</v>
      </c>
      <c r="C624" s="27">
        <f ca="1">AVERAGE(OFFSET(SPY_Close_Price_PQ[[#This Row],[Close]], 0, 0, $C$1*-1))</f>
        <v>402.57920000000007</v>
      </c>
      <c r="D624" s="27">
        <f ca="1">AVERAGE(OFFSET(SPY_Close_Price_PQ[[#This Row],[Close]], 0, 0, $D$1*-1))</f>
        <v>395.0022000000003</v>
      </c>
      <c r="E624" s="28">
        <f t="shared" ca="1" si="9"/>
        <v>0</v>
      </c>
    </row>
    <row r="625" spans="1:5" x14ac:dyDescent="0.4">
      <c r="A625" s="4">
        <v>45041</v>
      </c>
      <c r="B625" s="8">
        <v>406.08</v>
      </c>
      <c r="C625" s="27">
        <f ca="1">AVERAGE(OFFSET(SPY_Close_Price_PQ[[#This Row],[Close]], 0, 0, $C$1*-1))</f>
        <v>402.54000000000008</v>
      </c>
      <c r="D625" s="27">
        <f ca="1">AVERAGE(OFFSET(SPY_Close_Price_PQ[[#This Row],[Close]], 0, 0, $D$1*-1))</f>
        <v>395.08925000000033</v>
      </c>
      <c r="E625" s="28">
        <f t="shared" ca="1" si="9"/>
        <v>0</v>
      </c>
    </row>
    <row r="626" spans="1:5" x14ac:dyDescent="0.4">
      <c r="A626" s="5">
        <v>45042</v>
      </c>
      <c r="B626" s="9">
        <v>404.36</v>
      </c>
      <c r="C626" s="27">
        <f ca="1">AVERAGE(OFFSET(SPY_Close_Price_PQ[[#This Row],[Close]], 0, 0, $C$1*-1))</f>
        <v>402.37060000000002</v>
      </c>
      <c r="D626" s="27">
        <f ca="1">AVERAGE(OFFSET(SPY_Close_Price_PQ[[#This Row],[Close]], 0, 0, $D$1*-1))</f>
        <v>395.18990000000025</v>
      </c>
      <c r="E626" s="28">
        <f t="shared" ca="1" si="9"/>
        <v>0</v>
      </c>
    </row>
    <row r="627" spans="1:5" x14ac:dyDescent="0.4">
      <c r="A627" s="4">
        <v>45043</v>
      </c>
      <c r="B627" s="8">
        <v>412.41</v>
      </c>
      <c r="C627" s="27">
        <f ca="1">AVERAGE(OFFSET(SPY_Close_Price_PQ[[#This Row],[Close]], 0, 0, $C$1*-1))</f>
        <v>402.36600000000004</v>
      </c>
      <c r="D627" s="27">
        <f ca="1">AVERAGE(OFFSET(SPY_Close_Price_PQ[[#This Row],[Close]], 0, 0, $D$1*-1))</f>
        <v>395.34780000000029</v>
      </c>
      <c r="E627" s="28">
        <f t="shared" ca="1" si="9"/>
        <v>0</v>
      </c>
    </row>
    <row r="628" spans="1:5" x14ac:dyDescent="0.4">
      <c r="A628" s="5">
        <v>45044</v>
      </c>
      <c r="B628" s="9">
        <v>415.93</v>
      </c>
      <c r="C628" s="27">
        <f ca="1">AVERAGE(OFFSET(SPY_Close_Price_PQ[[#This Row],[Close]], 0, 0, $C$1*-1))</f>
        <v>402.40500000000009</v>
      </c>
      <c r="D628" s="27">
        <f ca="1">AVERAGE(OFFSET(SPY_Close_Price_PQ[[#This Row],[Close]], 0, 0, $D$1*-1))</f>
        <v>395.53330000000022</v>
      </c>
      <c r="E628" s="28">
        <f t="shared" ca="1" si="9"/>
        <v>0</v>
      </c>
    </row>
    <row r="629" spans="1:5" x14ac:dyDescent="0.4">
      <c r="A629" s="4">
        <v>45047</v>
      </c>
      <c r="B629" s="8">
        <v>415.51</v>
      </c>
      <c r="C629" s="27">
        <f ca="1">AVERAGE(OFFSET(SPY_Close_Price_PQ[[#This Row],[Close]], 0, 0, $C$1*-1))</f>
        <v>402.54960000000005</v>
      </c>
      <c r="D629" s="27">
        <f ca="1">AVERAGE(OFFSET(SPY_Close_Price_PQ[[#This Row],[Close]], 0, 0, $D$1*-1))</f>
        <v>395.72130000000027</v>
      </c>
      <c r="E629" s="28">
        <f t="shared" ca="1" si="9"/>
        <v>0</v>
      </c>
    </row>
    <row r="630" spans="1:5" x14ac:dyDescent="0.4">
      <c r="A630" s="5">
        <v>45048</v>
      </c>
      <c r="B630" s="9">
        <v>410.84</v>
      </c>
      <c r="C630" s="27">
        <f ca="1">AVERAGE(OFFSET(SPY_Close_Price_PQ[[#This Row],[Close]], 0, 0, $C$1*-1))</f>
        <v>402.62120000000004</v>
      </c>
      <c r="D630" s="27">
        <f ca="1">AVERAGE(OFFSET(SPY_Close_Price_PQ[[#This Row],[Close]], 0, 0, $D$1*-1))</f>
        <v>395.84985000000029</v>
      </c>
      <c r="E630" s="28">
        <f t="shared" ca="1" si="9"/>
        <v>0</v>
      </c>
    </row>
    <row r="631" spans="1:5" x14ac:dyDescent="0.4">
      <c r="A631" s="4">
        <v>45049</v>
      </c>
      <c r="B631" s="8">
        <v>408.02</v>
      </c>
      <c r="C631" s="27">
        <f ca="1">AVERAGE(OFFSET(SPY_Close_Price_PQ[[#This Row],[Close]], 0, 0, $C$1*-1))</f>
        <v>402.7998</v>
      </c>
      <c r="D631" s="27">
        <f ca="1">AVERAGE(OFFSET(SPY_Close_Price_PQ[[#This Row],[Close]], 0, 0, $D$1*-1))</f>
        <v>395.98020000000025</v>
      </c>
      <c r="E631" s="28">
        <f t="shared" ca="1" si="9"/>
        <v>0</v>
      </c>
    </row>
    <row r="632" spans="1:5" x14ac:dyDescent="0.4">
      <c r="A632" s="5">
        <v>45050</v>
      </c>
      <c r="B632" s="9">
        <v>405.13</v>
      </c>
      <c r="C632" s="27">
        <f ca="1">AVERAGE(OFFSET(SPY_Close_Price_PQ[[#This Row],[Close]], 0, 0, $C$1*-1))</f>
        <v>402.93159999999995</v>
      </c>
      <c r="D632" s="27">
        <f ca="1">AVERAGE(OFFSET(SPY_Close_Price_PQ[[#This Row],[Close]], 0, 0, $D$1*-1))</f>
        <v>396.04450000000026</v>
      </c>
      <c r="E632" s="28">
        <f t="shared" ca="1" si="9"/>
        <v>0</v>
      </c>
    </row>
    <row r="633" spans="1:5" x14ac:dyDescent="0.4">
      <c r="A633" s="4">
        <v>45051</v>
      </c>
      <c r="B633" s="8">
        <v>412.63</v>
      </c>
      <c r="C633" s="27">
        <f ca="1">AVERAGE(OFFSET(SPY_Close_Price_PQ[[#This Row],[Close]], 0, 0, $C$1*-1))</f>
        <v>403.17100000000005</v>
      </c>
      <c r="D633" s="27">
        <f ca="1">AVERAGE(OFFSET(SPY_Close_Price_PQ[[#This Row],[Close]], 0, 0, $D$1*-1))</f>
        <v>396.13380000000029</v>
      </c>
      <c r="E633" s="28">
        <f t="shared" ca="1" si="9"/>
        <v>0</v>
      </c>
    </row>
    <row r="634" spans="1:5" x14ac:dyDescent="0.4">
      <c r="A634" s="5">
        <v>45054</v>
      </c>
      <c r="B634" s="9">
        <v>412.74</v>
      </c>
      <c r="C634" s="27">
        <f ca="1">AVERAGE(OFFSET(SPY_Close_Price_PQ[[#This Row],[Close]], 0, 0, $C$1*-1))</f>
        <v>403.4982</v>
      </c>
      <c r="D634" s="27">
        <f ca="1">AVERAGE(OFFSET(SPY_Close_Price_PQ[[#This Row],[Close]], 0, 0, $D$1*-1))</f>
        <v>396.20355000000023</v>
      </c>
      <c r="E634" s="28">
        <f t="shared" ca="1" si="9"/>
        <v>0</v>
      </c>
    </row>
    <row r="635" spans="1:5" x14ac:dyDescent="0.4">
      <c r="A635" s="4">
        <v>45055</v>
      </c>
      <c r="B635" s="8">
        <v>410.93</v>
      </c>
      <c r="C635" s="27">
        <f ca="1">AVERAGE(OFFSET(SPY_Close_Price_PQ[[#This Row],[Close]], 0, 0, $C$1*-1))</f>
        <v>403.76219999999995</v>
      </c>
      <c r="D635" s="27">
        <f ca="1">AVERAGE(OFFSET(SPY_Close_Price_PQ[[#This Row],[Close]], 0, 0, $D$1*-1))</f>
        <v>396.28275000000025</v>
      </c>
      <c r="E635" s="28">
        <f t="shared" ca="1" si="9"/>
        <v>0</v>
      </c>
    </row>
    <row r="636" spans="1:5" x14ac:dyDescent="0.4">
      <c r="A636" s="5">
        <v>45056</v>
      </c>
      <c r="B636" s="9">
        <v>412.85</v>
      </c>
      <c r="C636" s="27">
        <f ca="1">AVERAGE(OFFSET(SPY_Close_Price_PQ[[#This Row],[Close]], 0, 0, $C$1*-1))</f>
        <v>404.09399999999999</v>
      </c>
      <c r="D636" s="27">
        <f ca="1">AVERAGE(OFFSET(SPY_Close_Price_PQ[[#This Row],[Close]], 0, 0, $D$1*-1))</f>
        <v>396.36915000000039</v>
      </c>
      <c r="E636" s="28">
        <f t="shared" ca="1" si="9"/>
        <v>0</v>
      </c>
    </row>
    <row r="637" spans="1:5" x14ac:dyDescent="0.4">
      <c r="A637" s="4">
        <v>45057</v>
      </c>
      <c r="B637" s="8">
        <v>412.13</v>
      </c>
      <c r="C637" s="27">
        <f ca="1">AVERAGE(OFFSET(SPY_Close_Price_PQ[[#This Row],[Close]], 0, 0, $C$1*-1))</f>
        <v>404.4418</v>
      </c>
      <c r="D637" s="27">
        <f ca="1">AVERAGE(OFFSET(SPY_Close_Price_PQ[[#This Row],[Close]], 0, 0, $D$1*-1))</f>
        <v>396.47535000000033</v>
      </c>
      <c r="E637" s="28">
        <f t="shared" ca="1" si="9"/>
        <v>0</v>
      </c>
    </row>
    <row r="638" spans="1:5" x14ac:dyDescent="0.4">
      <c r="A638" s="5">
        <v>45058</v>
      </c>
      <c r="B638" s="9">
        <v>411.59</v>
      </c>
      <c r="C638" s="27">
        <f ca="1">AVERAGE(OFFSET(SPY_Close_Price_PQ[[#This Row],[Close]], 0, 0, $C$1*-1))</f>
        <v>404.71740000000005</v>
      </c>
      <c r="D638" s="27">
        <f ca="1">AVERAGE(OFFSET(SPY_Close_Price_PQ[[#This Row],[Close]], 0, 0, $D$1*-1))</f>
        <v>396.52810000000034</v>
      </c>
      <c r="E638" s="28">
        <f t="shared" ca="1" si="9"/>
        <v>0</v>
      </c>
    </row>
    <row r="639" spans="1:5" x14ac:dyDescent="0.4">
      <c r="A639" s="4">
        <v>45061</v>
      </c>
      <c r="B639" s="8">
        <v>413.01</v>
      </c>
      <c r="C639" s="27">
        <f ca="1">AVERAGE(OFFSET(SPY_Close_Price_PQ[[#This Row],[Close]], 0, 0, $C$1*-1))</f>
        <v>404.8938</v>
      </c>
      <c r="D639" s="27">
        <f ca="1">AVERAGE(OFFSET(SPY_Close_Price_PQ[[#This Row],[Close]], 0, 0, $D$1*-1))</f>
        <v>396.56280000000021</v>
      </c>
      <c r="E639" s="28">
        <f t="shared" ca="1" si="9"/>
        <v>0</v>
      </c>
    </row>
    <row r="640" spans="1:5" x14ac:dyDescent="0.4">
      <c r="A640" s="5">
        <v>45062</v>
      </c>
      <c r="B640" s="9">
        <v>410.25</v>
      </c>
      <c r="C640" s="27">
        <f ca="1">AVERAGE(OFFSET(SPY_Close_Price_PQ[[#This Row],[Close]], 0, 0, $C$1*-1))</f>
        <v>405.00939999999997</v>
      </c>
      <c r="D640" s="27">
        <f ca="1">AVERAGE(OFFSET(SPY_Close_Price_PQ[[#This Row],[Close]], 0, 0, $D$1*-1))</f>
        <v>396.55410000000018</v>
      </c>
      <c r="E640" s="28">
        <f t="shared" ca="1" si="9"/>
        <v>0</v>
      </c>
    </row>
    <row r="641" spans="1:5" x14ac:dyDescent="0.4">
      <c r="A641" s="4">
        <v>45063</v>
      </c>
      <c r="B641" s="8">
        <v>415.23</v>
      </c>
      <c r="C641" s="27">
        <f ca="1">AVERAGE(OFFSET(SPY_Close_Price_PQ[[#This Row],[Close]], 0, 0, $C$1*-1))</f>
        <v>405.34860000000003</v>
      </c>
      <c r="D641" s="27">
        <f ca="1">AVERAGE(OFFSET(SPY_Close_Price_PQ[[#This Row],[Close]], 0, 0, $D$1*-1))</f>
        <v>396.57640000000015</v>
      </c>
      <c r="E641" s="28">
        <f t="shared" ca="1" si="9"/>
        <v>0</v>
      </c>
    </row>
    <row r="642" spans="1:5" x14ac:dyDescent="0.4">
      <c r="A642" s="5">
        <v>45064</v>
      </c>
      <c r="B642" s="9">
        <v>419.23</v>
      </c>
      <c r="C642" s="27">
        <f ca="1">AVERAGE(OFFSET(SPY_Close_Price_PQ[[#This Row],[Close]], 0, 0, $C$1*-1))</f>
        <v>405.75479999999988</v>
      </c>
      <c r="D642" s="27">
        <f ca="1">AVERAGE(OFFSET(SPY_Close_Price_PQ[[#This Row],[Close]], 0, 0, $D$1*-1))</f>
        <v>396.63225000000011</v>
      </c>
      <c r="E642" s="28">
        <f t="shared" ca="1" si="9"/>
        <v>0</v>
      </c>
    </row>
    <row r="643" spans="1:5" x14ac:dyDescent="0.4">
      <c r="A643" s="4">
        <v>45065</v>
      </c>
      <c r="B643" s="8">
        <v>418.62</v>
      </c>
      <c r="C643" s="27">
        <f ca="1">AVERAGE(OFFSET(SPY_Close_Price_PQ[[#This Row],[Close]], 0, 0, $C$1*-1))</f>
        <v>406.29599999999982</v>
      </c>
      <c r="D643" s="27">
        <f ca="1">AVERAGE(OFFSET(SPY_Close_Price_PQ[[#This Row],[Close]], 0, 0, $D$1*-1))</f>
        <v>396.65310000000011</v>
      </c>
      <c r="E643" s="28">
        <f t="shared" ca="1" si="9"/>
        <v>0</v>
      </c>
    </row>
    <row r="644" spans="1:5" x14ac:dyDescent="0.4">
      <c r="A644" s="5">
        <v>45068</v>
      </c>
      <c r="B644" s="9">
        <v>418.79</v>
      </c>
      <c r="C644" s="27">
        <f ca="1">AVERAGE(OFFSET(SPY_Close_Price_PQ[[#This Row],[Close]], 0, 0, $C$1*-1))</f>
        <v>406.95359999999988</v>
      </c>
      <c r="D644" s="27">
        <f ca="1">AVERAGE(OFFSET(SPY_Close_Price_PQ[[#This Row],[Close]], 0, 0, $D$1*-1))</f>
        <v>396.67620000000011</v>
      </c>
      <c r="E644" s="28">
        <f t="shared" ref="E644:E707" ca="1" si="10">IF(AND(C643&lt;D643,C644&gt;D644),1,0)</f>
        <v>0</v>
      </c>
    </row>
    <row r="645" spans="1:5" x14ac:dyDescent="0.4">
      <c r="A645" s="4">
        <v>45069</v>
      </c>
      <c r="B645" s="8">
        <v>414.09</v>
      </c>
      <c r="C645" s="27">
        <f ca="1">AVERAGE(OFFSET(SPY_Close_Price_PQ[[#This Row],[Close]], 0, 0, $C$1*-1))</f>
        <v>407.52819999999991</v>
      </c>
      <c r="D645" s="27">
        <f ca="1">AVERAGE(OFFSET(SPY_Close_Price_PQ[[#This Row],[Close]], 0, 0, $D$1*-1))</f>
        <v>396.67930000000001</v>
      </c>
      <c r="E645" s="28">
        <f t="shared" ca="1" si="10"/>
        <v>0</v>
      </c>
    </row>
    <row r="646" spans="1:5" x14ac:dyDescent="0.4">
      <c r="A646" s="5">
        <v>45070</v>
      </c>
      <c r="B646" s="9">
        <v>411.09</v>
      </c>
      <c r="C646" s="27">
        <f ca="1">AVERAGE(OFFSET(SPY_Close_Price_PQ[[#This Row],[Close]], 0, 0, $C$1*-1))</f>
        <v>407.91539999999992</v>
      </c>
      <c r="D646" s="27">
        <f ca="1">AVERAGE(OFFSET(SPY_Close_Price_PQ[[#This Row],[Close]], 0, 0, $D$1*-1))</f>
        <v>396.66979999999995</v>
      </c>
      <c r="E646" s="28">
        <f t="shared" ca="1" si="10"/>
        <v>0</v>
      </c>
    </row>
    <row r="647" spans="1:5" x14ac:dyDescent="0.4">
      <c r="A647" s="4">
        <v>45071</v>
      </c>
      <c r="B647" s="8">
        <v>414.65</v>
      </c>
      <c r="C647" s="27">
        <f ca="1">AVERAGE(OFFSET(SPY_Close_Price_PQ[[#This Row],[Close]], 0, 0, $C$1*-1))</f>
        <v>408.42279999999994</v>
      </c>
      <c r="D647" s="27">
        <f ca="1">AVERAGE(OFFSET(SPY_Close_Price_PQ[[#This Row],[Close]], 0, 0, $D$1*-1))</f>
        <v>396.6862999999999</v>
      </c>
      <c r="E647" s="28">
        <f t="shared" ca="1" si="10"/>
        <v>0</v>
      </c>
    </row>
    <row r="648" spans="1:5" x14ac:dyDescent="0.4">
      <c r="A648" s="5">
        <v>45072</v>
      </c>
      <c r="B648" s="9">
        <v>420.02</v>
      </c>
      <c r="C648" s="27">
        <f ca="1">AVERAGE(OFFSET(SPY_Close_Price_PQ[[#This Row],[Close]], 0, 0, $C$1*-1))</f>
        <v>408.90100000000001</v>
      </c>
      <c r="D648" s="27">
        <f ca="1">AVERAGE(OFFSET(SPY_Close_Price_PQ[[#This Row],[Close]], 0, 0, $D$1*-1))</f>
        <v>396.68644999999998</v>
      </c>
      <c r="E648" s="28">
        <f t="shared" ca="1" si="10"/>
        <v>0</v>
      </c>
    </row>
    <row r="649" spans="1:5" x14ac:dyDescent="0.4">
      <c r="A649" s="4">
        <v>45076</v>
      </c>
      <c r="B649" s="8">
        <v>420.18</v>
      </c>
      <c r="C649" s="27">
        <f ca="1">AVERAGE(OFFSET(SPY_Close_Price_PQ[[#This Row],[Close]], 0, 0, $C$1*-1))</f>
        <v>409.50479999999993</v>
      </c>
      <c r="D649" s="27">
        <f ca="1">AVERAGE(OFFSET(SPY_Close_Price_PQ[[#This Row],[Close]], 0, 0, $D$1*-1))</f>
        <v>396.68739999999991</v>
      </c>
      <c r="E649" s="28">
        <f t="shared" ca="1" si="10"/>
        <v>0</v>
      </c>
    </row>
    <row r="650" spans="1:5" x14ac:dyDescent="0.4">
      <c r="A650" s="5">
        <v>45077</v>
      </c>
      <c r="B650" s="9">
        <v>417.85</v>
      </c>
      <c r="C650" s="27">
        <f ca="1">AVERAGE(OFFSET(SPY_Close_Price_PQ[[#This Row],[Close]], 0, 0, $C$1*-1))</f>
        <v>409.98699999999997</v>
      </c>
      <c r="D650" s="27">
        <f ca="1">AVERAGE(OFFSET(SPY_Close_Price_PQ[[#This Row],[Close]], 0, 0, $D$1*-1))</f>
        <v>396.64114999999998</v>
      </c>
      <c r="E650" s="28">
        <f t="shared" ca="1" si="10"/>
        <v>0</v>
      </c>
    </row>
    <row r="651" spans="1:5" x14ac:dyDescent="0.4">
      <c r="A651" s="4">
        <v>45078</v>
      </c>
      <c r="B651" s="8">
        <v>421.82</v>
      </c>
      <c r="C651" s="27">
        <f ca="1">AVERAGE(OFFSET(SPY_Close_Price_PQ[[#This Row],[Close]], 0, 0, $C$1*-1))</f>
        <v>410.44519999999994</v>
      </c>
      <c r="D651" s="27">
        <f ca="1">AVERAGE(OFFSET(SPY_Close_Price_PQ[[#This Row],[Close]], 0, 0, $D$1*-1))</f>
        <v>396.60594999999995</v>
      </c>
      <c r="E651" s="28">
        <f t="shared" ca="1" si="10"/>
        <v>0</v>
      </c>
    </row>
    <row r="652" spans="1:5" x14ac:dyDescent="0.4">
      <c r="A652" s="5">
        <v>45079</v>
      </c>
      <c r="B652" s="9">
        <v>427.92</v>
      </c>
      <c r="C652" s="27">
        <f ca="1">AVERAGE(OFFSET(SPY_Close_Price_PQ[[#This Row],[Close]], 0, 0, $C$1*-1))</f>
        <v>411.16140000000001</v>
      </c>
      <c r="D652" s="27">
        <f ca="1">AVERAGE(OFFSET(SPY_Close_Price_PQ[[#This Row],[Close]], 0, 0, $D$1*-1))</f>
        <v>396.59704999999997</v>
      </c>
      <c r="E652" s="28">
        <f t="shared" ca="1" si="10"/>
        <v>0</v>
      </c>
    </row>
    <row r="653" spans="1:5" x14ac:dyDescent="0.4">
      <c r="A653" s="4">
        <v>45082</v>
      </c>
      <c r="B653" s="8">
        <v>427.1</v>
      </c>
      <c r="C653" s="27">
        <f ca="1">AVERAGE(OFFSET(SPY_Close_Price_PQ[[#This Row],[Close]], 0, 0, $C$1*-1))</f>
        <v>411.83999999999992</v>
      </c>
      <c r="D653" s="27">
        <f ca="1">AVERAGE(OFFSET(SPY_Close_Price_PQ[[#This Row],[Close]], 0, 0, $D$1*-1))</f>
        <v>396.59930000000003</v>
      </c>
      <c r="E653" s="28">
        <f t="shared" ca="1" si="10"/>
        <v>0</v>
      </c>
    </row>
    <row r="654" spans="1:5" x14ac:dyDescent="0.4">
      <c r="A654" s="5">
        <v>45083</v>
      </c>
      <c r="B654" s="9">
        <v>428.03</v>
      </c>
      <c r="C654" s="27">
        <f ca="1">AVERAGE(OFFSET(SPY_Close_Price_PQ[[#This Row],[Close]], 0, 0, $C$1*-1))</f>
        <v>412.48559999999998</v>
      </c>
      <c r="D654" s="27">
        <f ca="1">AVERAGE(OFFSET(SPY_Close_Price_PQ[[#This Row],[Close]], 0, 0, $D$1*-1))</f>
        <v>396.6</v>
      </c>
      <c r="E654" s="28">
        <f t="shared" ca="1" si="10"/>
        <v>0</v>
      </c>
    </row>
    <row r="655" spans="1:5" x14ac:dyDescent="0.4">
      <c r="A655" s="4">
        <v>45084</v>
      </c>
      <c r="B655" s="8">
        <v>426.55</v>
      </c>
      <c r="C655" s="27">
        <f ca="1">AVERAGE(OFFSET(SPY_Close_Price_PQ[[#This Row],[Close]], 0, 0, $C$1*-1))</f>
        <v>413.08679999999993</v>
      </c>
      <c r="D655" s="27">
        <f ca="1">AVERAGE(OFFSET(SPY_Close_Price_PQ[[#This Row],[Close]], 0, 0, $D$1*-1))</f>
        <v>396.62204999999994</v>
      </c>
      <c r="E655" s="28">
        <f t="shared" ca="1" si="10"/>
        <v>0</v>
      </c>
    </row>
    <row r="656" spans="1:5" x14ac:dyDescent="0.4">
      <c r="A656" s="5">
        <v>45085</v>
      </c>
      <c r="B656" s="9">
        <v>429.13</v>
      </c>
      <c r="C656" s="27">
        <f ca="1">AVERAGE(OFFSET(SPY_Close_Price_PQ[[#This Row],[Close]], 0, 0, $C$1*-1))</f>
        <v>413.7573999999999</v>
      </c>
      <c r="D656" s="27">
        <f ca="1">AVERAGE(OFFSET(SPY_Close_Price_PQ[[#This Row],[Close]], 0, 0, $D$1*-1))</f>
        <v>396.70095000000003</v>
      </c>
      <c r="E656" s="28">
        <f t="shared" ca="1" si="10"/>
        <v>0</v>
      </c>
    </row>
    <row r="657" spans="1:5" x14ac:dyDescent="0.4">
      <c r="A657" s="4">
        <v>45086</v>
      </c>
      <c r="B657" s="8">
        <v>429.9</v>
      </c>
      <c r="C657" s="27">
        <f ca="1">AVERAGE(OFFSET(SPY_Close_Price_PQ[[#This Row],[Close]], 0, 0, $C$1*-1))</f>
        <v>414.32839999999999</v>
      </c>
      <c r="D657" s="27">
        <f ca="1">AVERAGE(OFFSET(SPY_Close_Price_PQ[[#This Row],[Close]], 0, 0, $D$1*-1))</f>
        <v>396.78869999999995</v>
      </c>
      <c r="E657" s="28">
        <f t="shared" ca="1" si="10"/>
        <v>0</v>
      </c>
    </row>
    <row r="658" spans="1:5" x14ac:dyDescent="0.4">
      <c r="A658" s="5">
        <v>45089</v>
      </c>
      <c r="B658" s="9">
        <v>433.8</v>
      </c>
      <c r="C658" s="27">
        <f ca="1">AVERAGE(OFFSET(SPY_Close_Price_PQ[[#This Row],[Close]], 0, 0, $C$1*-1))</f>
        <v>414.93039999999985</v>
      </c>
      <c r="D658" s="27">
        <f ca="1">AVERAGE(OFFSET(SPY_Close_Price_PQ[[#This Row],[Close]], 0, 0, $D$1*-1))</f>
        <v>396.88934999999992</v>
      </c>
      <c r="E658" s="28">
        <f t="shared" ca="1" si="10"/>
        <v>0</v>
      </c>
    </row>
    <row r="659" spans="1:5" x14ac:dyDescent="0.4">
      <c r="A659" s="4">
        <v>45090</v>
      </c>
      <c r="B659" s="8">
        <v>436.66</v>
      </c>
      <c r="C659" s="27">
        <f ca="1">AVERAGE(OFFSET(SPY_Close_Price_PQ[[#This Row],[Close]], 0, 0, $C$1*-1))</f>
        <v>415.47579999999988</v>
      </c>
      <c r="D659" s="27">
        <f ca="1">AVERAGE(OFFSET(SPY_Close_Price_PQ[[#This Row],[Close]], 0, 0, $D$1*-1))</f>
        <v>396.97509999999994</v>
      </c>
      <c r="E659" s="28">
        <f t="shared" ca="1" si="10"/>
        <v>0</v>
      </c>
    </row>
    <row r="660" spans="1:5" x14ac:dyDescent="0.4">
      <c r="A660" s="5">
        <v>45091</v>
      </c>
      <c r="B660" s="9">
        <v>437.18</v>
      </c>
      <c r="C660" s="27">
        <f ca="1">AVERAGE(OFFSET(SPY_Close_Price_PQ[[#This Row],[Close]], 0, 0, $C$1*-1))</f>
        <v>416.00039999999996</v>
      </c>
      <c r="D660" s="27">
        <f ca="1">AVERAGE(OFFSET(SPY_Close_Price_PQ[[#This Row],[Close]], 0, 0, $D$1*-1))</f>
        <v>397.13444999999984</v>
      </c>
      <c r="E660" s="28">
        <f t="shared" ca="1" si="10"/>
        <v>0</v>
      </c>
    </row>
    <row r="661" spans="1:5" x14ac:dyDescent="0.4">
      <c r="A661" s="4">
        <v>45092</v>
      </c>
      <c r="B661" s="8">
        <v>442.6</v>
      </c>
      <c r="C661" s="27">
        <f ca="1">AVERAGE(OFFSET(SPY_Close_Price_PQ[[#This Row],[Close]], 0, 0, $C$1*-1))</f>
        <v>416.67899999999992</v>
      </c>
      <c r="D661" s="27">
        <f ca="1">AVERAGE(OFFSET(SPY_Close_Price_PQ[[#This Row],[Close]], 0, 0, $D$1*-1))</f>
        <v>397.33429999999993</v>
      </c>
      <c r="E661" s="28">
        <f t="shared" ca="1" si="10"/>
        <v>0</v>
      </c>
    </row>
    <row r="662" spans="1:5" x14ac:dyDescent="0.4">
      <c r="A662" s="5">
        <v>45093</v>
      </c>
      <c r="B662" s="9">
        <v>439.46</v>
      </c>
      <c r="C662" s="27">
        <f ca="1">AVERAGE(OFFSET(SPY_Close_Price_PQ[[#This Row],[Close]], 0, 0, $C$1*-1))</f>
        <v>417.31619999999987</v>
      </c>
      <c r="D662" s="27">
        <f ca="1">AVERAGE(OFFSET(SPY_Close_Price_PQ[[#This Row],[Close]], 0, 0, $D$1*-1))</f>
        <v>397.54055</v>
      </c>
      <c r="E662" s="28">
        <f t="shared" ca="1" si="10"/>
        <v>0</v>
      </c>
    </row>
    <row r="663" spans="1:5" x14ac:dyDescent="0.4">
      <c r="A663" s="4">
        <v>45097</v>
      </c>
      <c r="B663" s="8">
        <v>437.18</v>
      </c>
      <c r="C663" s="27">
        <f ca="1">AVERAGE(OFFSET(SPY_Close_Price_PQ[[#This Row],[Close]], 0, 0, $C$1*-1))</f>
        <v>417.87599999999998</v>
      </c>
      <c r="D663" s="27">
        <f ca="1">AVERAGE(OFFSET(SPY_Close_Price_PQ[[#This Row],[Close]], 0, 0, $D$1*-1))</f>
        <v>397.75054999999998</v>
      </c>
      <c r="E663" s="28">
        <f t="shared" ca="1" si="10"/>
        <v>0</v>
      </c>
    </row>
    <row r="664" spans="1:5" x14ac:dyDescent="0.4">
      <c r="A664" s="5">
        <v>45098</v>
      </c>
      <c r="B664" s="9">
        <v>434.94</v>
      </c>
      <c r="C664" s="27">
        <f ca="1">AVERAGE(OFFSET(SPY_Close_Price_PQ[[#This Row],[Close]], 0, 0, $C$1*-1))</f>
        <v>418.38260000000002</v>
      </c>
      <c r="D664" s="27">
        <f ca="1">AVERAGE(OFFSET(SPY_Close_Price_PQ[[#This Row],[Close]], 0, 0, $D$1*-1))</f>
        <v>397.94314999999995</v>
      </c>
      <c r="E664" s="28">
        <f t="shared" ca="1" si="10"/>
        <v>0</v>
      </c>
    </row>
    <row r="665" spans="1:5" x14ac:dyDescent="0.4">
      <c r="A665" s="4">
        <v>45099</v>
      </c>
      <c r="B665" s="8">
        <v>436.51</v>
      </c>
      <c r="C665" s="27">
        <f ca="1">AVERAGE(OFFSET(SPY_Close_Price_PQ[[#This Row],[Close]], 0, 0, $C$1*-1))</f>
        <v>418.91840000000002</v>
      </c>
      <c r="D665" s="27">
        <f ca="1">AVERAGE(OFFSET(SPY_Close_Price_PQ[[#This Row],[Close]], 0, 0, $D$1*-1))</f>
        <v>398.16449999999992</v>
      </c>
      <c r="E665" s="28">
        <f t="shared" ca="1" si="10"/>
        <v>0</v>
      </c>
    </row>
    <row r="666" spans="1:5" x14ac:dyDescent="0.4">
      <c r="A666" s="5">
        <v>45100</v>
      </c>
      <c r="B666" s="9">
        <v>433.21</v>
      </c>
      <c r="C666" s="27">
        <f ca="1">AVERAGE(OFFSET(SPY_Close_Price_PQ[[#This Row],[Close]], 0, 0, $C$1*-1))</f>
        <v>419.42159999999996</v>
      </c>
      <c r="D666" s="27">
        <f ca="1">AVERAGE(OFFSET(SPY_Close_Price_PQ[[#This Row],[Close]], 0, 0, $D$1*-1))</f>
        <v>398.3767499999999</v>
      </c>
      <c r="E666" s="28">
        <f t="shared" ca="1" si="10"/>
        <v>0</v>
      </c>
    </row>
    <row r="667" spans="1:5" x14ac:dyDescent="0.4">
      <c r="A667" s="4">
        <v>45103</v>
      </c>
      <c r="B667" s="8">
        <v>431.44</v>
      </c>
      <c r="C667" s="27">
        <f ca="1">AVERAGE(OFFSET(SPY_Close_Price_PQ[[#This Row],[Close]], 0, 0, $C$1*-1))</f>
        <v>419.78099999999989</v>
      </c>
      <c r="D667" s="27">
        <f ca="1">AVERAGE(OFFSET(SPY_Close_Price_PQ[[#This Row],[Close]], 0, 0, $D$1*-1))</f>
        <v>398.54504999999989</v>
      </c>
      <c r="E667" s="28">
        <f t="shared" ca="1" si="10"/>
        <v>0</v>
      </c>
    </row>
    <row r="668" spans="1:5" x14ac:dyDescent="0.4">
      <c r="A668" s="5">
        <v>45104</v>
      </c>
      <c r="B668" s="9">
        <v>436.17</v>
      </c>
      <c r="C668" s="27">
        <f ca="1">AVERAGE(OFFSET(SPY_Close_Price_PQ[[#This Row],[Close]], 0, 0, $C$1*-1))</f>
        <v>420.25519999999983</v>
      </c>
      <c r="D668" s="27">
        <f ca="1">AVERAGE(OFFSET(SPY_Close_Price_PQ[[#This Row],[Close]], 0, 0, $D$1*-1))</f>
        <v>398.72399999999988</v>
      </c>
      <c r="E668" s="28">
        <f t="shared" ca="1" si="10"/>
        <v>0</v>
      </c>
    </row>
    <row r="669" spans="1:5" x14ac:dyDescent="0.4">
      <c r="A669" s="4">
        <v>45105</v>
      </c>
      <c r="B669" s="8">
        <v>436.39</v>
      </c>
      <c r="C669" s="27">
        <f ca="1">AVERAGE(OFFSET(SPY_Close_Price_PQ[[#This Row],[Close]], 0, 0, $C$1*-1))</f>
        <v>420.70419999999984</v>
      </c>
      <c r="D669" s="27">
        <f ca="1">AVERAGE(OFFSET(SPY_Close_Price_PQ[[#This Row],[Close]], 0, 0, $D$1*-1))</f>
        <v>398.87294999999989</v>
      </c>
      <c r="E669" s="28">
        <f t="shared" ca="1" si="10"/>
        <v>0</v>
      </c>
    </row>
    <row r="670" spans="1:5" x14ac:dyDescent="0.4">
      <c r="A670" s="5">
        <v>45106</v>
      </c>
      <c r="B670" s="9">
        <v>438.11</v>
      </c>
      <c r="C670" s="27">
        <f ca="1">AVERAGE(OFFSET(SPY_Close_Price_PQ[[#This Row],[Close]], 0, 0, $C$1*-1))</f>
        <v>421.18219999999985</v>
      </c>
      <c r="D670" s="27">
        <f ca="1">AVERAGE(OFFSET(SPY_Close_Price_PQ[[#This Row],[Close]], 0, 0, $D$1*-1))</f>
        <v>399.00864999999982</v>
      </c>
      <c r="E670" s="28">
        <f t="shared" ca="1" si="10"/>
        <v>0</v>
      </c>
    </row>
    <row r="671" spans="1:5" x14ac:dyDescent="0.4">
      <c r="A671" s="4">
        <v>45107</v>
      </c>
      <c r="B671" s="8">
        <v>443.28</v>
      </c>
      <c r="C671" s="27">
        <f ca="1">AVERAGE(OFFSET(SPY_Close_Price_PQ[[#This Row],[Close]], 0, 0, $C$1*-1))</f>
        <v>421.76499999999987</v>
      </c>
      <c r="D671" s="27">
        <f ca="1">AVERAGE(OFFSET(SPY_Close_Price_PQ[[#This Row],[Close]], 0, 0, $D$1*-1))</f>
        <v>399.25954999999988</v>
      </c>
      <c r="E671" s="28">
        <f t="shared" ca="1" si="10"/>
        <v>0</v>
      </c>
    </row>
    <row r="672" spans="1:5" x14ac:dyDescent="0.4">
      <c r="A672" s="5">
        <v>45110</v>
      </c>
      <c r="B672" s="9">
        <v>443.79</v>
      </c>
      <c r="C672" s="27">
        <f ca="1">AVERAGE(OFFSET(SPY_Close_Price_PQ[[#This Row],[Close]], 0, 0, $C$1*-1))</f>
        <v>422.40319999999991</v>
      </c>
      <c r="D672" s="27">
        <f ca="1">AVERAGE(OFFSET(SPY_Close_Price_PQ[[#This Row],[Close]], 0, 0, $D$1*-1))</f>
        <v>399.50549999999987</v>
      </c>
      <c r="E672" s="28">
        <f t="shared" ca="1" si="10"/>
        <v>0</v>
      </c>
    </row>
    <row r="673" spans="1:5" x14ac:dyDescent="0.4">
      <c r="A673" s="4">
        <v>45112</v>
      </c>
      <c r="B673" s="8">
        <v>443.13</v>
      </c>
      <c r="C673" s="27">
        <f ca="1">AVERAGE(OFFSET(SPY_Close_Price_PQ[[#This Row],[Close]], 0, 0, $C$1*-1))</f>
        <v>423.02179999999987</v>
      </c>
      <c r="D673" s="27">
        <f ca="1">AVERAGE(OFFSET(SPY_Close_Price_PQ[[#This Row],[Close]], 0, 0, $D$1*-1))</f>
        <v>399.77054999999996</v>
      </c>
      <c r="E673" s="28">
        <f t="shared" ca="1" si="10"/>
        <v>0</v>
      </c>
    </row>
    <row r="674" spans="1:5" x14ac:dyDescent="0.4">
      <c r="A674" s="5">
        <v>45113</v>
      </c>
      <c r="B674" s="9">
        <v>439.66</v>
      </c>
      <c r="C674" s="27">
        <f ca="1">AVERAGE(OFFSET(SPY_Close_Price_PQ[[#This Row],[Close]], 0, 0, $C$1*-1))</f>
        <v>423.56239999999991</v>
      </c>
      <c r="D674" s="27">
        <f ca="1">AVERAGE(OFFSET(SPY_Close_Price_PQ[[#This Row],[Close]], 0, 0, $D$1*-1))</f>
        <v>400.04104999999998</v>
      </c>
      <c r="E674" s="28">
        <f t="shared" ca="1" si="10"/>
        <v>0</v>
      </c>
    </row>
    <row r="675" spans="1:5" x14ac:dyDescent="0.4">
      <c r="A675" s="4">
        <v>45114</v>
      </c>
      <c r="B675" s="8">
        <v>438.55</v>
      </c>
      <c r="C675" s="27">
        <f ca="1">AVERAGE(OFFSET(SPY_Close_Price_PQ[[#This Row],[Close]], 0, 0, $C$1*-1))</f>
        <v>424.21179999999987</v>
      </c>
      <c r="D675" s="27">
        <f ca="1">AVERAGE(OFFSET(SPY_Close_Price_PQ[[#This Row],[Close]], 0, 0, $D$1*-1))</f>
        <v>400.29105000000004</v>
      </c>
      <c r="E675" s="28">
        <f t="shared" ca="1" si="10"/>
        <v>0</v>
      </c>
    </row>
    <row r="676" spans="1:5" x14ac:dyDescent="0.4">
      <c r="A676" s="5">
        <v>45117</v>
      </c>
      <c r="B676" s="9">
        <v>439.66</v>
      </c>
      <c r="C676" s="27">
        <f ca="1">AVERAGE(OFFSET(SPY_Close_Price_PQ[[#This Row],[Close]], 0, 0, $C$1*-1))</f>
        <v>424.91779999999994</v>
      </c>
      <c r="D676" s="27">
        <f ca="1">AVERAGE(OFFSET(SPY_Close_Price_PQ[[#This Row],[Close]], 0, 0, $D$1*-1))</f>
        <v>400.56890000000004</v>
      </c>
      <c r="E676" s="28">
        <f t="shared" ca="1" si="10"/>
        <v>0</v>
      </c>
    </row>
    <row r="677" spans="1:5" x14ac:dyDescent="0.4">
      <c r="A677" s="4">
        <v>45118</v>
      </c>
      <c r="B677" s="8">
        <v>442.46</v>
      </c>
      <c r="C677" s="27">
        <f ca="1">AVERAGE(OFFSET(SPY_Close_Price_PQ[[#This Row],[Close]], 0, 0, $C$1*-1))</f>
        <v>425.51879999999989</v>
      </c>
      <c r="D677" s="27">
        <f ca="1">AVERAGE(OFFSET(SPY_Close_Price_PQ[[#This Row],[Close]], 0, 0, $D$1*-1))</f>
        <v>400.89425000000017</v>
      </c>
      <c r="E677" s="28">
        <f t="shared" ca="1" si="10"/>
        <v>0</v>
      </c>
    </row>
    <row r="678" spans="1:5" x14ac:dyDescent="0.4">
      <c r="A678" s="5">
        <v>45119</v>
      </c>
      <c r="B678" s="9">
        <v>446.02</v>
      </c>
      <c r="C678" s="27">
        <f ca="1">AVERAGE(OFFSET(SPY_Close_Price_PQ[[#This Row],[Close]], 0, 0, $C$1*-1))</f>
        <v>426.12059999999991</v>
      </c>
      <c r="D678" s="27">
        <f ca="1">AVERAGE(OFFSET(SPY_Close_Price_PQ[[#This Row],[Close]], 0, 0, $D$1*-1))</f>
        <v>401.25325000000021</v>
      </c>
      <c r="E678" s="28">
        <f t="shared" ca="1" si="10"/>
        <v>0</v>
      </c>
    </row>
    <row r="679" spans="1:5" x14ac:dyDescent="0.4">
      <c r="A679" s="4">
        <v>45120</v>
      </c>
      <c r="B679" s="8">
        <v>449.56</v>
      </c>
      <c r="C679" s="27">
        <f ca="1">AVERAGE(OFFSET(SPY_Close_Price_PQ[[#This Row],[Close]], 0, 0, $C$1*-1))</f>
        <v>426.80159999999995</v>
      </c>
      <c r="D679" s="27">
        <f ca="1">AVERAGE(OFFSET(SPY_Close_Price_PQ[[#This Row],[Close]], 0, 0, $D$1*-1))</f>
        <v>401.66130000000021</v>
      </c>
      <c r="E679" s="28">
        <f t="shared" ca="1" si="10"/>
        <v>0</v>
      </c>
    </row>
    <row r="680" spans="1:5" x14ac:dyDescent="0.4">
      <c r="A680" s="5">
        <v>45121</v>
      </c>
      <c r="B680" s="9">
        <v>449.28</v>
      </c>
      <c r="C680" s="27">
        <f ca="1">AVERAGE(OFFSET(SPY_Close_Price_PQ[[#This Row],[Close]], 0, 0, $C$1*-1))</f>
        <v>427.57040000000001</v>
      </c>
      <c r="D680" s="27">
        <f ca="1">AVERAGE(OFFSET(SPY_Close_Price_PQ[[#This Row],[Close]], 0, 0, $D$1*-1))</f>
        <v>402.0861500000002</v>
      </c>
      <c r="E680" s="28">
        <f t="shared" ca="1" si="10"/>
        <v>0</v>
      </c>
    </row>
    <row r="681" spans="1:5" x14ac:dyDescent="0.4">
      <c r="A681" s="4">
        <v>45124</v>
      </c>
      <c r="B681" s="8">
        <v>450.84</v>
      </c>
      <c r="C681" s="27">
        <f ca="1">AVERAGE(OFFSET(SPY_Close_Price_PQ[[#This Row],[Close]], 0, 0, $C$1*-1))</f>
        <v>428.42679999999996</v>
      </c>
      <c r="D681" s="27">
        <f ca="1">AVERAGE(OFFSET(SPY_Close_Price_PQ[[#This Row],[Close]], 0, 0, $D$1*-1))</f>
        <v>402.52345000000014</v>
      </c>
      <c r="E681" s="28">
        <f t="shared" ca="1" si="10"/>
        <v>0</v>
      </c>
    </row>
    <row r="682" spans="1:5" x14ac:dyDescent="0.4">
      <c r="A682" s="5">
        <v>45125</v>
      </c>
      <c r="B682" s="9">
        <v>454.19</v>
      </c>
      <c r="C682" s="27">
        <f ca="1">AVERAGE(OFFSET(SPY_Close_Price_PQ[[#This Row],[Close]], 0, 0, $C$1*-1))</f>
        <v>429.40799999999996</v>
      </c>
      <c r="D682" s="27">
        <f ca="1">AVERAGE(OFFSET(SPY_Close_Price_PQ[[#This Row],[Close]], 0, 0, $D$1*-1))</f>
        <v>402.94175000000018</v>
      </c>
      <c r="E682" s="28">
        <f t="shared" ca="1" si="10"/>
        <v>0</v>
      </c>
    </row>
    <row r="683" spans="1:5" x14ac:dyDescent="0.4">
      <c r="A683" s="4">
        <v>45126</v>
      </c>
      <c r="B683" s="8">
        <v>455.2</v>
      </c>
      <c r="C683" s="27">
        <f ca="1">AVERAGE(OFFSET(SPY_Close_Price_PQ[[#This Row],[Close]], 0, 0, $C$1*-1))</f>
        <v>430.25939999999997</v>
      </c>
      <c r="D683" s="27">
        <f ca="1">AVERAGE(OFFSET(SPY_Close_Price_PQ[[#This Row],[Close]], 0, 0, $D$1*-1))</f>
        <v>403.40380000000022</v>
      </c>
      <c r="E683" s="28">
        <f t="shared" ca="1" si="10"/>
        <v>0</v>
      </c>
    </row>
    <row r="684" spans="1:5" x14ac:dyDescent="0.4">
      <c r="A684" s="5">
        <v>45127</v>
      </c>
      <c r="B684" s="9">
        <v>452.18</v>
      </c>
      <c r="C684" s="27">
        <f ca="1">AVERAGE(OFFSET(SPY_Close_Price_PQ[[#This Row],[Close]], 0, 0, $C$1*-1))</f>
        <v>431.04820000000001</v>
      </c>
      <c r="D684" s="27">
        <f ca="1">AVERAGE(OFFSET(SPY_Close_Price_PQ[[#This Row],[Close]], 0, 0, $D$1*-1))</f>
        <v>403.87880000000013</v>
      </c>
      <c r="E684" s="28">
        <f t="shared" ca="1" si="10"/>
        <v>0</v>
      </c>
    </row>
    <row r="685" spans="1:5" x14ac:dyDescent="0.4">
      <c r="A685" s="4">
        <v>45128</v>
      </c>
      <c r="B685" s="8">
        <v>452.18</v>
      </c>
      <c r="C685" s="27">
        <f ca="1">AVERAGE(OFFSET(SPY_Close_Price_PQ[[#This Row],[Close]], 0, 0, $C$1*-1))</f>
        <v>431.8732</v>
      </c>
      <c r="D685" s="27">
        <f ca="1">AVERAGE(OFFSET(SPY_Close_Price_PQ[[#This Row],[Close]], 0, 0, $D$1*-1))</f>
        <v>404.3066500000001</v>
      </c>
      <c r="E685" s="28">
        <f t="shared" ca="1" si="10"/>
        <v>0</v>
      </c>
    </row>
    <row r="686" spans="1:5" x14ac:dyDescent="0.4">
      <c r="A686" s="5">
        <v>45131</v>
      </c>
      <c r="B686" s="9">
        <v>454.2</v>
      </c>
      <c r="C686" s="27">
        <f ca="1">AVERAGE(OFFSET(SPY_Close_Price_PQ[[#This Row],[Close]], 0, 0, $C$1*-1))</f>
        <v>432.7002</v>
      </c>
      <c r="D686" s="27">
        <f ca="1">AVERAGE(OFFSET(SPY_Close_Price_PQ[[#This Row],[Close]], 0, 0, $D$1*-1))</f>
        <v>404.68779999999998</v>
      </c>
      <c r="E686" s="28">
        <f t="shared" ca="1" si="10"/>
        <v>0</v>
      </c>
    </row>
    <row r="687" spans="1:5" x14ac:dyDescent="0.4">
      <c r="A687" s="4">
        <v>45132</v>
      </c>
      <c r="B687" s="8">
        <v>455.44</v>
      </c>
      <c r="C687" s="27">
        <f ca="1">AVERAGE(OFFSET(SPY_Close_Price_PQ[[#This Row],[Close]], 0, 0, $C$1*-1))</f>
        <v>433.56639999999999</v>
      </c>
      <c r="D687" s="27">
        <f ca="1">AVERAGE(OFFSET(SPY_Close_Price_PQ[[#This Row],[Close]], 0, 0, $D$1*-1))</f>
        <v>405.07955000000004</v>
      </c>
      <c r="E687" s="28">
        <f t="shared" ca="1" si="10"/>
        <v>0</v>
      </c>
    </row>
    <row r="688" spans="1:5" x14ac:dyDescent="0.4">
      <c r="A688" s="5">
        <v>45133</v>
      </c>
      <c r="B688" s="9">
        <v>455.51</v>
      </c>
      <c r="C688" s="27">
        <f ca="1">AVERAGE(OFFSET(SPY_Close_Price_PQ[[#This Row],[Close]], 0, 0, $C$1*-1))</f>
        <v>434.44479999999999</v>
      </c>
      <c r="D688" s="27">
        <f ca="1">AVERAGE(OFFSET(SPY_Close_Price_PQ[[#This Row],[Close]], 0, 0, $D$1*-1))</f>
        <v>405.49109999999996</v>
      </c>
      <c r="E688" s="28">
        <f t="shared" ca="1" si="10"/>
        <v>0</v>
      </c>
    </row>
    <row r="689" spans="1:5" x14ac:dyDescent="0.4">
      <c r="A689" s="4">
        <v>45134</v>
      </c>
      <c r="B689" s="8">
        <v>452.49</v>
      </c>
      <c r="C689" s="27">
        <f ca="1">AVERAGE(OFFSET(SPY_Close_Price_PQ[[#This Row],[Close]], 0, 0, $C$1*-1))</f>
        <v>435.23440000000005</v>
      </c>
      <c r="D689" s="27">
        <f ca="1">AVERAGE(OFFSET(SPY_Close_Price_PQ[[#This Row],[Close]], 0, 0, $D$1*-1))</f>
        <v>405.93959999999998</v>
      </c>
      <c r="E689" s="28">
        <f t="shared" ca="1" si="10"/>
        <v>0</v>
      </c>
    </row>
    <row r="690" spans="1:5" x14ac:dyDescent="0.4">
      <c r="A690" s="5">
        <v>45135</v>
      </c>
      <c r="B690" s="9">
        <v>456.92</v>
      </c>
      <c r="C690" s="27">
        <f ca="1">AVERAGE(OFFSET(SPY_Close_Price_PQ[[#This Row],[Close]], 0, 0, $C$1*-1))</f>
        <v>436.16779999999994</v>
      </c>
      <c r="D690" s="27">
        <f ca="1">AVERAGE(OFFSET(SPY_Close_Price_PQ[[#This Row],[Close]], 0, 0, $D$1*-1))</f>
        <v>406.42409999999995</v>
      </c>
      <c r="E690" s="28">
        <f t="shared" ca="1" si="10"/>
        <v>0</v>
      </c>
    </row>
    <row r="691" spans="1:5" x14ac:dyDescent="0.4">
      <c r="A691" s="4">
        <v>45138</v>
      </c>
      <c r="B691" s="8">
        <v>457.79</v>
      </c>
      <c r="C691" s="27">
        <f ca="1">AVERAGE(OFFSET(SPY_Close_Price_PQ[[#This Row],[Close]], 0, 0, $C$1*-1))</f>
        <v>437.01899999999995</v>
      </c>
      <c r="D691" s="27">
        <f ca="1">AVERAGE(OFFSET(SPY_Close_Price_PQ[[#This Row],[Close]], 0, 0, $D$1*-1))</f>
        <v>406.92434999999989</v>
      </c>
      <c r="E691" s="28">
        <f t="shared" ca="1" si="10"/>
        <v>0</v>
      </c>
    </row>
    <row r="692" spans="1:5" x14ac:dyDescent="0.4">
      <c r="A692" s="5">
        <v>45139</v>
      </c>
      <c r="B692" s="9">
        <v>456.48</v>
      </c>
      <c r="C692" s="27">
        <f ca="1">AVERAGE(OFFSET(SPY_Close_Price_PQ[[#This Row],[Close]], 0, 0, $C$1*-1))</f>
        <v>437.76399999999995</v>
      </c>
      <c r="D692" s="27">
        <f ca="1">AVERAGE(OFFSET(SPY_Close_Price_PQ[[#This Row],[Close]], 0, 0, $D$1*-1))</f>
        <v>407.42394999999988</v>
      </c>
      <c r="E692" s="28">
        <f t="shared" ca="1" si="10"/>
        <v>0</v>
      </c>
    </row>
    <row r="693" spans="1:5" x14ac:dyDescent="0.4">
      <c r="A693" s="4">
        <v>45140</v>
      </c>
      <c r="B693" s="8">
        <v>450.13</v>
      </c>
      <c r="C693" s="27">
        <f ca="1">AVERAGE(OFFSET(SPY_Close_Price_PQ[[#This Row],[Close]], 0, 0, $C$1*-1))</f>
        <v>438.39419999999996</v>
      </c>
      <c r="D693" s="27">
        <f ca="1">AVERAGE(OFFSET(SPY_Close_Price_PQ[[#This Row],[Close]], 0, 0, $D$1*-1))</f>
        <v>407.84474999999992</v>
      </c>
      <c r="E693" s="28">
        <f t="shared" ca="1" si="10"/>
        <v>0</v>
      </c>
    </row>
    <row r="694" spans="1:5" x14ac:dyDescent="0.4">
      <c r="A694" s="5">
        <v>45141</v>
      </c>
      <c r="B694" s="9">
        <v>448.84</v>
      </c>
      <c r="C694" s="27">
        <f ca="1">AVERAGE(OFFSET(SPY_Close_Price_PQ[[#This Row],[Close]], 0, 0, $C$1*-1))</f>
        <v>438.99520000000007</v>
      </c>
      <c r="D694" s="27">
        <f ca="1">AVERAGE(OFFSET(SPY_Close_Price_PQ[[#This Row],[Close]], 0, 0, $D$1*-1))</f>
        <v>408.30079999999987</v>
      </c>
      <c r="E694" s="28">
        <f t="shared" ca="1" si="10"/>
        <v>0</v>
      </c>
    </row>
    <row r="695" spans="1:5" x14ac:dyDescent="0.4">
      <c r="A695" s="4">
        <v>45142</v>
      </c>
      <c r="B695" s="8">
        <v>446.81</v>
      </c>
      <c r="C695" s="27">
        <f ca="1">AVERAGE(OFFSET(SPY_Close_Price_PQ[[#This Row],[Close]], 0, 0, $C$1*-1))</f>
        <v>439.64959999999996</v>
      </c>
      <c r="D695" s="27">
        <f ca="1">AVERAGE(OFFSET(SPY_Close_Price_PQ[[#This Row],[Close]], 0, 0, $D$1*-1))</f>
        <v>408.7007499999998</v>
      </c>
      <c r="E695" s="28">
        <f t="shared" ca="1" si="10"/>
        <v>0</v>
      </c>
    </row>
    <row r="696" spans="1:5" x14ac:dyDescent="0.4">
      <c r="A696" s="5">
        <v>45145</v>
      </c>
      <c r="B696" s="9">
        <v>450.71</v>
      </c>
      <c r="C696" s="27">
        <f ca="1">AVERAGE(OFFSET(SPY_Close_Price_PQ[[#This Row],[Close]], 0, 0, $C$1*-1))</f>
        <v>440.44200000000006</v>
      </c>
      <c r="D696" s="27">
        <f ca="1">AVERAGE(OFFSET(SPY_Close_Price_PQ[[#This Row],[Close]], 0, 0, $D$1*-1))</f>
        <v>409.09864999999991</v>
      </c>
      <c r="E696" s="28">
        <f t="shared" ca="1" si="10"/>
        <v>0</v>
      </c>
    </row>
    <row r="697" spans="1:5" x14ac:dyDescent="0.4">
      <c r="A697" s="4">
        <v>45146</v>
      </c>
      <c r="B697" s="8">
        <v>448.75</v>
      </c>
      <c r="C697" s="27">
        <f ca="1">AVERAGE(OFFSET(SPY_Close_Price_PQ[[#This Row],[Close]], 0, 0, $C$1*-1))</f>
        <v>441.12400000000002</v>
      </c>
      <c r="D697" s="27">
        <f ca="1">AVERAGE(OFFSET(SPY_Close_Price_PQ[[#This Row],[Close]], 0, 0, $D$1*-1))</f>
        <v>409.49989999999991</v>
      </c>
      <c r="E697" s="28">
        <f t="shared" ca="1" si="10"/>
        <v>0</v>
      </c>
    </row>
    <row r="698" spans="1:5" x14ac:dyDescent="0.4">
      <c r="A698" s="5">
        <v>45147</v>
      </c>
      <c r="B698" s="9">
        <v>445.75</v>
      </c>
      <c r="C698" s="27">
        <f ca="1">AVERAGE(OFFSET(SPY_Close_Price_PQ[[#This Row],[Close]], 0, 0, $C$1*-1))</f>
        <v>441.6386</v>
      </c>
      <c r="D698" s="27">
        <f ca="1">AVERAGE(OFFSET(SPY_Close_Price_PQ[[#This Row],[Close]], 0, 0, $D$1*-1))</f>
        <v>409.9015999999998</v>
      </c>
      <c r="E698" s="28">
        <f t="shared" ca="1" si="10"/>
        <v>0</v>
      </c>
    </row>
    <row r="699" spans="1:5" x14ac:dyDescent="0.4">
      <c r="A699" s="4">
        <v>45148</v>
      </c>
      <c r="B699" s="8">
        <v>445.91</v>
      </c>
      <c r="C699" s="27">
        <f ca="1">AVERAGE(OFFSET(SPY_Close_Price_PQ[[#This Row],[Close]], 0, 0, $C$1*-1))</f>
        <v>442.15320000000008</v>
      </c>
      <c r="D699" s="27">
        <f ca="1">AVERAGE(OFFSET(SPY_Close_Price_PQ[[#This Row],[Close]], 0, 0, $D$1*-1))</f>
        <v>410.25969999999984</v>
      </c>
      <c r="E699" s="28">
        <f t="shared" ca="1" si="10"/>
        <v>0</v>
      </c>
    </row>
    <row r="700" spans="1:5" x14ac:dyDescent="0.4">
      <c r="A700" s="5">
        <v>45149</v>
      </c>
      <c r="B700" s="9">
        <v>445.65</v>
      </c>
      <c r="C700" s="27">
        <f ca="1">AVERAGE(OFFSET(SPY_Close_Price_PQ[[#This Row],[Close]], 0, 0, $C$1*-1))</f>
        <v>442.70920000000012</v>
      </c>
      <c r="D700" s="27">
        <f ca="1">AVERAGE(OFFSET(SPY_Close_Price_PQ[[#This Row],[Close]], 0, 0, $D$1*-1))</f>
        <v>410.59359999999987</v>
      </c>
      <c r="E700" s="28">
        <f t="shared" ca="1" si="10"/>
        <v>0</v>
      </c>
    </row>
    <row r="701" spans="1:5" x14ac:dyDescent="0.4">
      <c r="A701" s="4">
        <v>45152</v>
      </c>
      <c r="B701" s="8">
        <v>448.11</v>
      </c>
      <c r="C701" s="27">
        <f ca="1">AVERAGE(OFFSET(SPY_Close_Price_PQ[[#This Row],[Close]], 0, 0, $C$1*-1))</f>
        <v>443.23500000000013</v>
      </c>
      <c r="D701" s="27">
        <f ca="1">AVERAGE(OFFSET(SPY_Close_Price_PQ[[#This Row],[Close]], 0, 0, $D$1*-1))</f>
        <v>410.9095499999998</v>
      </c>
      <c r="E701" s="28">
        <f t="shared" ca="1" si="10"/>
        <v>0</v>
      </c>
    </row>
    <row r="702" spans="1:5" x14ac:dyDescent="0.4">
      <c r="A702" s="5">
        <v>45153</v>
      </c>
      <c r="B702" s="9">
        <v>442.89</v>
      </c>
      <c r="C702" s="27">
        <f ca="1">AVERAGE(OFFSET(SPY_Close_Price_PQ[[#This Row],[Close]], 0, 0, $C$1*-1))</f>
        <v>443.53440000000012</v>
      </c>
      <c r="D702" s="27">
        <f ca="1">AVERAGE(OFFSET(SPY_Close_Price_PQ[[#This Row],[Close]], 0, 0, $D$1*-1))</f>
        <v>411.21389999999985</v>
      </c>
      <c r="E702" s="28">
        <f t="shared" ca="1" si="10"/>
        <v>0</v>
      </c>
    </row>
    <row r="703" spans="1:5" x14ac:dyDescent="0.4">
      <c r="A703" s="4">
        <v>45154</v>
      </c>
      <c r="B703" s="8">
        <v>439.64</v>
      </c>
      <c r="C703" s="27">
        <f ca="1">AVERAGE(OFFSET(SPY_Close_Price_PQ[[#This Row],[Close]], 0, 0, $C$1*-1))</f>
        <v>443.78520000000003</v>
      </c>
      <c r="D703" s="27">
        <f ca="1">AVERAGE(OFFSET(SPY_Close_Price_PQ[[#This Row],[Close]], 0, 0, $D$1*-1))</f>
        <v>411.51219999999989</v>
      </c>
      <c r="E703" s="28">
        <f t="shared" ca="1" si="10"/>
        <v>0</v>
      </c>
    </row>
    <row r="704" spans="1:5" x14ac:dyDescent="0.4">
      <c r="A704" s="5">
        <v>45155</v>
      </c>
      <c r="B704" s="9">
        <v>436.29</v>
      </c>
      <c r="C704" s="27">
        <f ca="1">AVERAGE(OFFSET(SPY_Close_Price_PQ[[#This Row],[Close]], 0, 0, $C$1*-1))</f>
        <v>443.95040000000006</v>
      </c>
      <c r="D704" s="27">
        <f ca="1">AVERAGE(OFFSET(SPY_Close_Price_PQ[[#This Row],[Close]], 0, 0, $D$1*-1))</f>
        <v>411.74854999999974</v>
      </c>
      <c r="E704" s="28">
        <f t="shared" ca="1" si="10"/>
        <v>0</v>
      </c>
    </row>
    <row r="705" spans="1:5" x14ac:dyDescent="0.4">
      <c r="A705" s="4">
        <v>45156</v>
      </c>
      <c r="B705" s="8">
        <v>436.5</v>
      </c>
      <c r="C705" s="27">
        <f ca="1">AVERAGE(OFFSET(SPY_Close_Price_PQ[[#This Row],[Close]], 0, 0, $C$1*-1))</f>
        <v>444.14940000000007</v>
      </c>
      <c r="D705" s="27">
        <f ca="1">AVERAGE(OFFSET(SPY_Close_Price_PQ[[#This Row],[Close]], 0, 0, $D$1*-1))</f>
        <v>411.99999999999983</v>
      </c>
      <c r="E705" s="28">
        <f t="shared" ca="1" si="10"/>
        <v>0</v>
      </c>
    </row>
    <row r="706" spans="1:5" x14ac:dyDescent="0.4">
      <c r="A706" s="5">
        <v>45159</v>
      </c>
      <c r="B706" s="9">
        <v>439.34</v>
      </c>
      <c r="C706" s="27">
        <f ca="1">AVERAGE(OFFSET(SPY_Close_Price_PQ[[#This Row],[Close]], 0, 0, $C$1*-1))</f>
        <v>444.35360000000009</v>
      </c>
      <c r="D706" s="27">
        <f ca="1">AVERAGE(OFFSET(SPY_Close_Price_PQ[[#This Row],[Close]], 0, 0, $D$1*-1))</f>
        <v>412.27409999999981</v>
      </c>
      <c r="E706" s="28">
        <f t="shared" ca="1" si="10"/>
        <v>0</v>
      </c>
    </row>
    <row r="707" spans="1:5" x14ac:dyDescent="0.4">
      <c r="A707" s="4">
        <v>45160</v>
      </c>
      <c r="B707" s="8">
        <v>438.15</v>
      </c>
      <c r="C707" s="27">
        <f ca="1">AVERAGE(OFFSET(SPY_Close_Price_PQ[[#This Row],[Close]], 0, 0, $C$1*-1))</f>
        <v>444.51860000000011</v>
      </c>
      <c r="D707" s="27">
        <f ca="1">AVERAGE(OFFSET(SPY_Close_Price_PQ[[#This Row],[Close]], 0, 0, $D$1*-1))</f>
        <v>412.59049999999974</v>
      </c>
      <c r="E707" s="28">
        <f t="shared" ca="1" si="10"/>
        <v>0</v>
      </c>
    </row>
    <row r="708" spans="1:5" x14ac:dyDescent="0.4">
      <c r="A708" s="5">
        <v>45161</v>
      </c>
      <c r="B708" s="9">
        <v>443.03</v>
      </c>
      <c r="C708" s="27">
        <f ca="1">AVERAGE(OFFSET(SPY_Close_Price_PQ[[#This Row],[Close]], 0, 0, $C$1*-1))</f>
        <v>444.70320000000009</v>
      </c>
      <c r="D708" s="27">
        <f ca="1">AVERAGE(OFFSET(SPY_Close_Price_PQ[[#This Row],[Close]], 0, 0, $D$1*-1))</f>
        <v>412.95059999999978</v>
      </c>
      <c r="E708" s="28">
        <f t="shared" ref="E708:E771" ca="1" si="11">IF(AND(C707&lt;D707,C708&gt;D708),1,0)</f>
        <v>0</v>
      </c>
    </row>
    <row r="709" spans="1:5" x14ac:dyDescent="0.4">
      <c r="A709" s="4">
        <v>45162</v>
      </c>
      <c r="B709" s="8">
        <v>436.89</v>
      </c>
      <c r="C709" s="27">
        <f ca="1">AVERAGE(OFFSET(SPY_Close_Price_PQ[[#This Row],[Close]], 0, 0, $C$1*-1))</f>
        <v>444.70780000000008</v>
      </c>
      <c r="D709" s="27">
        <f ca="1">AVERAGE(OFFSET(SPY_Close_Price_PQ[[#This Row],[Close]], 0, 0, $D$1*-1))</f>
        <v>413.2532999999998</v>
      </c>
      <c r="E709" s="28">
        <f t="shared" ca="1" si="11"/>
        <v>0</v>
      </c>
    </row>
    <row r="710" spans="1:5" x14ac:dyDescent="0.4">
      <c r="A710" s="5">
        <v>45163</v>
      </c>
      <c r="B710" s="9">
        <v>439.97</v>
      </c>
      <c r="C710" s="27">
        <f ca="1">AVERAGE(OFFSET(SPY_Close_Price_PQ[[#This Row],[Close]], 0, 0, $C$1*-1))</f>
        <v>444.76360000000005</v>
      </c>
      <c r="D710" s="27">
        <f ca="1">AVERAGE(OFFSET(SPY_Close_Price_PQ[[#This Row],[Close]], 0, 0, $D$1*-1))</f>
        <v>413.55339999999984</v>
      </c>
      <c r="E710" s="28">
        <f t="shared" ca="1" si="11"/>
        <v>0</v>
      </c>
    </row>
    <row r="711" spans="1:5" x14ac:dyDescent="0.4">
      <c r="A711" s="4">
        <v>45166</v>
      </c>
      <c r="B711" s="8">
        <v>442.76</v>
      </c>
      <c r="C711" s="27">
        <f ca="1">AVERAGE(OFFSET(SPY_Close_Price_PQ[[#This Row],[Close]], 0, 0, $C$1*-1))</f>
        <v>444.76679999999999</v>
      </c>
      <c r="D711" s="27">
        <f ca="1">AVERAGE(OFFSET(SPY_Close_Price_PQ[[#This Row],[Close]], 0, 0, $D$1*-1))</f>
        <v>413.85719999999981</v>
      </c>
      <c r="E711" s="28">
        <f t="shared" ca="1" si="11"/>
        <v>0</v>
      </c>
    </row>
    <row r="712" spans="1:5" x14ac:dyDescent="0.4">
      <c r="A712" s="5">
        <v>45167</v>
      </c>
      <c r="B712" s="9">
        <v>449.16</v>
      </c>
      <c r="C712" s="27">
        <f ca="1">AVERAGE(OFFSET(SPY_Close_Price_PQ[[#This Row],[Close]], 0, 0, $C$1*-1))</f>
        <v>444.96080000000006</v>
      </c>
      <c r="D712" s="27">
        <f ca="1">AVERAGE(OFFSET(SPY_Close_Price_PQ[[#This Row],[Close]], 0, 0, $D$1*-1))</f>
        <v>414.23234999999971</v>
      </c>
      <c r="E712" s="28">
        <f t="shared" ca="1" si="11"/>
        <v>0</v>
      </c>
    </row>
    <row r="713" spans="1:5" x14ac:dyDescent="0.4">
      <c r="A713" s="4">
        <v>45168</v>
      </c>
      <c r="B713" s="8">
        <v>451.01</v>
      </c>
      <c r="C713" s="27">
        <f ca="1">AVERAGE(OFFSET(SPY_Close_Price_PQ[[#This Row],[Close]], 0, 0, $C$1*-1))</f>
        <v>445.23739999999998</v>
      </c>
      <c r="D713" s="27">
        <f ca="1">AVERAGE(OFFSET(SPY_Close_Price_PQ[[#This Row],[Close]], 0, 0, $D$1*-1))</f>
        <v>414.51394999999968</v>
      </c>
      <c r="E713" s="28">
        <f t="shared" ca="1" si="11"/>
        <v>0</v>
      </c>
    </row>
    <row r="714" spans="1:5" x14ac:dyDescent="0.4">
      <c r="A714" s="5">
        <v>45169</v>
      </c>
      <c r="B714" s="9">
        <v>450.35</v>
      </c>
      <c r="C714" s="27">
        <f ca="1">AVERAGE(OFFSET(SPY_Close_Price_PQ[[#This Row],[Close]], 0, 0, $C$1*-1))</f>
        <v>445.54559999999992</v>
      </c>
      <c r="D714" s="27">
        <f ca="1">AVERAGE(OFFSET(SPY_Close_Price_PQ[[#This Row],[Close]], 0, 0, $D$1*-1))</f>
        <v>414.77314999999976</v>
      </c>
      <c r="E714" s="28">
        <f t="shared" ca="1" si="11"/>
        <v>0</v>
      </c>
    </row>
    <row r="715" spans="1:5" x14ac:dyDescent="0.4">
      <c r="A715" s="4">
        <v>45170</v>
      </c>
      <c r="B715" s="8">
        <v>451.19</v>
      </c>
      <c r="C715" s="27">
        <f ca="1">AVERAGE(OFFSET(SPY_Close_Price_PQ[[#This Row],[Close]], 0, 0, $C$1*-1))</f>
        <v>445.83919999999989</v>
      </c>
      <c r="D715" s="27">
        <f ca="1">AVERAGE(OFFSET(SPY_Close_Price_PQ[[#This Row],[Close]], 0, 0, $D$1*-1))</f>
        <v>415.0534999999997</v>
      </c>
      <c r="E715" s="28">
        <f t="shared" ca="1" si="11"/>
        <v>0</v>
      </c>
    </row>
    <row r="716" spans="1:5" x14ac:dyDescent="0.4">
      <c r="A716" s="5">
        <v>45174</v>
      </c>
      <c r="B716" s="9">
        <v>449.24</v>
      </c>
      <c r="C716" s="27">
        <f ca="1">AVERAGE(OFFSET(SPY_Close_Price_PQ[[#This Row],[Close]], 0, 0, $C$1*-1))</f>
        <v>446.15979999999996</v>
      </c>
      <c r="D716" s="27">
        <f ca="1">AVERAGE(OFFSET(SPY_Close_Price_PQ[[#This Row],[Close]], 0, 0, $D$1*-1))</f>
        <v>415.30724999999978</v>
      </c>
      <c r="E716" s="28">
        <f t="shared" ca="1" si="11"/>
        <v>0</v>
      </c>
    </row>
    <row r="717" spans="1:5" x14ac:dyDescent="0.4">
      <c r="A717" s="4">
        <v>45175</v>
      </c>
      <c r="B717" s="8">
        <v>446.22</v>
      </c>
      <c r="C717" s="27">
        <f ca="1">AVERAGE(OFFSET(SPY_Close_Price_PQ[[#This Row],[Close]], 0, 0, $C$1*-1))</f>
        <v>446.45539999999994</v>
      </c>
      <c r="D717" s="27">
        <f ca="1">AVERAGE(OFFSET(SPY_Close_Price_PQ[[#This Row],[Close]], 0, 0, $D$1*-1))</f>
        <v>415.56109999999973</v>
      </c>
      <c r="E717" s="28">
        <f t="shared" ca="1" si="11"/>
        <v>0</v>
      </c>
    </row>
    <row r="718" spans="1:5" x14ac:dyDescent="0.4">
      <c r="A718" s="5">
        <v>45176</v>
      </c>
      <c r="B718" s="9">
        <v>444.85</v>
      </c>
      <c r="C718" s="27">
        <f ca="1">AVERAGE(OFFSET(SPY_Close_Price_PQ[[#This Row],[Close]], 0, 0, $C$1*-1))</f>
        <v>446.62899999999985</v>
      </c>
      <c r="D718" s="27">
        <f ca="1">AVERAGE(OFFSET(SPY_Close_Price_PQ[[#This Row],[Close]], 0, 0, $D$1*-1))</f>
        <v>415.81414999999981</v>
      </c>
      <c r="E718" s="28">
        <f t="shared" ca="1" si="11"/>
        <v>0</v>
      </c>
    </row>
    <row r="719" spans="1:5" x14ac:dyDescent="0.4">
      <c r="A719" s="4">
        <v>45177</v>
      </c>
      <c r="B719" s="8">
        <v>445.52</v>
      </c>
      <c r="C719" s="27">
        <f ca="1">AVERAGE(OFFSET(SPY_Close_Price_PQ[[#This Row],[Close]], 0, 0, $C$1*-1))</f>
        <v>446.81159999999988</v>
      </c>
      <c r="D719" s="27">
        <f ca="1">AVERAGE(OFFSET(SPY_Close_Price_PQ[[#This Row],[Close]], 0, 0, $D$1*-1))</f>
        <v>416.06159999999977</v>
      </c>
      <c r="E719" s="28">
        <f t="shared" ca="1" si="11"/>
        <v>0</v>
      </c>
    </row>
    <row r="720" spans="1:5" x14ac:dyDescent="0.4">
      <c r="A720" s="5">
        <v>45180</v>
      </c>
      <c r="B720" s="9">
        <v>448.45</v>
      </c>
      <c r="C720" s="27">
        <f ca="1">AVERAGE(OFFSET(SPY_Close_Price_PQ[[#This Row],[Close]], 0, 0, $C$1*-1))</f>
        <v>447.01839999999987</v>
      </c>
      <c r="D720" s="27">
        <f ca="1">AVERAGE(OFFSET(SPY_Close_Price_PQ[[#This Row],[Close]], 0, 0, $D$1*-1))</f>
        <v>416.33089999999976</v>
      </c>
      <c r="E720" s="28">
        <f t="shared" ca="1" si="11"/>
        <v>0</v>
      </c>
    </row>
    <row r="721" spans="1:5" x14ac:dyDescent="0.4">
      <c r="A721" s="4">
        <v>45181</v>
      </c>
      <c r="B721" s="8">
        <v>445.99</v>
      </c>
      <c r="C721" s="27">
        <f ca="1">AVERAGE(OFFSET(SPY_Close_Price_PQ[[#This Row],[Close]], 0, 0, $C$1*-1))</f>
        <v>447.07259999999985</v>
      </c>
      <c r="D721" s="27">
        <f ca="1">AVERAGE(OFFSET(SPY_Close_Price_PQ[[#This Row],[Close]], 0, 0, $D$1*-1))</f>
        <v>416.56134999999972</v>
      </c>
      <c r="E721" s="28">
        <f t="shared" ca="1" si="11"/>
        <v>0</v>
      </c>
    </row>
    <row r="722" spans="1:5" x14ac:dyDescent="0.4">
      <c r="A722" s="5">
        <v>45182</v>
      </c>
      <c r="B722" s="9">
        <v>446.51</v>
      </c>
      <c r="C722" s="27">
        <f ca="1">AVERAGE(OFFSET(SPY_Close_Price_PQ[[#This Row],[Close]], 0, 0, $C$1*-1))</f>
        <v>447.1269999999999</v>
      </c>
      <c r="D722" s="27">
        <f ca="1">AVERAGE(OFFSET(SPY_Close_Price_PQ[[#This Row],[Close]], 0, 0, $D$1*-1))</f>
        <v>416.78179999999981</v>
      </c>
      <c r="E722" s="28">
        <f t="shared" ca="1" si="11"/>
        <v>0</v>
      </c>
    </row>
    <row r="723" spans="1:5" x14ac:dyDescent="0.4">
      <c r="A723" s="4">
        <v>45183</v>
      </c>
      <c r="B723" s="8">
        <v>450.36</v>
      </c>
      <c r="C723" s="27">
        <f ca="1">AVERAGE(OFFSET(SPY_Close_Price_PQ[[#This Row],[Close]], 0, 0, $C$1*-1))</f>
        <v>447.27159999999986</v>
      </c>
      <c r="D723" s="27">
        <f ca="1">AVERAGE(OFFSET(SPY_Close_Price_PQ[[#This Row],[Close]], 0, 0, $D$1*-1))</f>
        <v>417.02194999999978</v>
      </c>
      <c r="E723" s="28">
        <f t="shared" ca="1" si="11"/>
        <v>0</v>
      </c>
    </row>
    <row r="724" spans="1:5" x14ac:dyDescent="0.4">
      <c r="A724" s="5">
        <v>45184</v>
      </c>
      <c r="B724" s="9">
        <v>443.37</v>
      </c>
      <c r="C724" s="27">
        <f ca="1">AVERAGE(OFFSET(SPY_Close_Price_PQ[[#This Row],[Close]], 0, 0, $C$1*-1))</f>
        <v>447.34579999999988</v>
      </c>
      <c r="D724" s="27">
        <f ca="1">AVERAGE(OFFSET(SPY_Close_Price_PQ[[#This Row],[Close]], 0, 0, $D$1*-1))</f>
        <v>417.25924999999972</v>
      </c>
      <c r="E724" s="28">
        <f t="shared" ca="1" si="11"/>
        <v>0</v>
      </c>
    </row>
    <row r="725" spans="1:5" x14ac:dyDescent="0.4">
      <c r="A725" s="4">
        <v>45187</v>
      </c>
      <c r="B725" s="8">
        <v>443.63</v>
      </c>
      <c r="C725" s="27">
        <f ca="1">AVERAGE(OFFSET(SPY_Close_Price_PQ[[#This Row],[Close]], 0, 0, $C$1*-1))</f>
        <v>447.4473999999999</v>
      </c>
      <c r="D725" s="27">
        <f ca="1">AVERAGE(OFFSET(SPY_Close_Price_PQ[[#This Row],[Close]], 0, 0, $D$1*-1))</f>
        <v>417.50124999999986</v>
      </c>
      <c r="E725" s="28">
        <f t="shared" ca="1" si="11"/>
        <v>0</v>
      </c>
    </row>
    <row r="726" spans="1:5" x14ac:dyDescent="0.4">
      <c r="A726" s="5">
        <v>45188</v>
      </c>
      <c r="B726" s="9">
        <v>442.71</v>
      </c>
      <c r="C726" s="27">
        <f ca="1">AVERAGE(OFFSET(SPY_Close_Price_PQ[[#This Row],[Close]], 0, 0, $C$1*-1))</f>
        <v>447.50839999999994</v>
      </c>
      <c r="D726" s="27">
        <f ca="1">AVERAGE(OFFSET(SPY_Close_Price_PQ[[#This Row],[Close]], 0, 0, $D$1*-1))</f>
        <v>417.67639999999994</v>
      </c>
      <c r="E726" s="28">
        <f t="shared" ca="1" si="11"/>
        <v>0</v>
      </c>
    </row>
    <row r="727" spans="1:5" x14ac:dyDescent="0.4">
      <c r="A727" s="4">
        <v>45189</v>
      </c>
      <c r="B727" s="8">
        <v>438.64</v>
      </c>
      <c r="C727" s="27">
        <f ca="1">AVERAGE(OFFSET(SPY_Close_Price_PQ[[#This Row],[Close]], 0, 0, $C$1*-1))</f>
        <v>447.43199999999996</v>
      </c>
      <c r="D727" s="27">
        <f ca="1">AVERAGE(OFFSET(SPY_Close_Price_PQ[[#This Row],[Close]], 0, 0, $D$1*-1))</f>
        <v>417.83269999999987</v>
      </c>
      <c r="E727" s="28">
        <f t="shared" ca="1" si="11"/>
        <v>0</v>
      </c>
    </row>
    <row r="728" spans="1:5" x14ac:dyDescent="0.4">
      <c r="A728" s="5">
        <v>45190</v>
      </c>
      <c r="B728" s="9">
        <v>431.39</v>
      </c>
      <c r="C728" s="27">
        <f ca="1">AVERAGE(OFFSET(SPY_Close_Price_PQ[[#This Row],[Close]], 0, 0, $C$1*-1))</f>
        <v>447.13940000000002</v>
      </c>
      <c r="D728" s="27">
        <f ca="1">AVERAGE(OFFSET(SPY_Close_Price_PQ[[#This Row],[Close]], 0, 0, $D$1*-1))</f>
        <v>417.95509999999996</v>
      </c>
      <c r="E728" s="28">
        <f t="shared" ca="1" si="11"/>
        <v>0</v>
      </c>
    </row>
    <row r="729" spans="1:5" x14ac:dyDescent="0.4">
      <c r="A729" s="4">
        <v>45191</v>
      </c>
      <c r="B729" s="8">
        <v>430.42</v>
      </c>
      <c r="C729" s="27">
        <f ca="1">AVERAGE(OFFSET(SPY_Close_Price_PQ[[#This Row],[Close]], 0, 0, $C$1*-1))</f>
        <v>446.75659999999993</v>
      </c>
      <c r="D729" s="27">
        <f ca="1">AVERAGE(OFFSET(SPY_Close_Price_PQ[[#This Row],[Close]], 0, 0, $D$1*-1))</f>
        <v>418.10924999999997</v>
      </c>
      <c r="E729" s="28">
        <f t="shared" ca="1" si="11"/>
        <v>0</v>
      </c>
    </row>
    <row r="730" spans="1:5" x14ac:dyDescent="0.4">
      <c r="A730" s="5">
        <v>45194</v>
      </c>
      <c r="B730" s="9">
        <v>432.23</v>
      </c>
      <c r="C730" s="27">
        <f ca="1">AVERAGE(OFFSET(SPY_Close_Price_PQ[[#This Row],[Close]], 0, 0, $C$1*-1))</f>
        <v>446.41559999999998</v>
      </c>
      <c r="D730" s="27">
        <f ca="1">AVERAGE(OFFSET(SPY_Close_Price_PQ[[#This Row],[Close]], 0, 0, $D$1*-1))</f>
        <v>418.30124999999992</v>
      </c>
      <c r="E730" s="28">
        <f t="shared" ca="1" si="11"/>
        <v>0</v>
      </c>
    </row>
    <row r="731" spans="1:5" x14ac:dyDescent="0.4">
      <c r="A731" s="4">
        <v>45195</v>
      </c>
      <c r="B731" s="8">
        <v>425.88</v>
      </c>
      <c r="C731" s="27">
        <f ca="1">AVERAGE(OFFSET(SPY_Close_Price_PQ[[#This Row],[Close]], 0, 0, $C$1*-1))</f>
        <v>445.91640000000001</v>
      </c>
      <c r="D731" s="27">
        <f ca="1">AVERAGE(OFFSET(SPY_Close_Price_PQ[[#This Row],[Close]], 0, 0, $D$1*-1))</f>
        <v>418.46484999999996</v>
      </c>
      <c r="E731" s="28">
        <f t="shared" ca="1" si="11"/>
        <v>0</v>
      </c>
    </row>
    <row r="732" spans="1:5" x14ac:dyDescent="0.4">
      <c r="A732" s="5">
        <v>45196</v>
      </c>
      <c r="B732" s="9">
        <v>426.05</v>
      </c>
      <c r="C732" s="27">
        <f ca="1">AVERAGE(OFFSET(SPY_Close_Price_PQ[[#This Row],[Close]], 0, 0, $C$1*-1))</f>
        <v>445.35359999999991</v>
      </c>
      <c r="D732" s="27">
        <f ca="1">AVERAGE(OFFSET(SPY_Close_Price_PQ[[#This Row],[Close]], 0, 0, $D$1*-1))</f>
        <v>418.61389999999994</v>
      </c>
      <c r="E732" s="28">
        <f t="shared" ca="1" si="11"/>
        <v>0</v>
      </c>
    </row>
    <row r="733" spans="1:5" x14ac:dyDescent="0.4">
      <c r="A733" s="4">
        <v>45197</v>
      </c>
      <c r="B733" s="8">
        <v>428.52</v>
      </c>
      <c r="C733" s="27">
        <f ca="1">AVERAGE(OFFSET(SPY_Close_Price_PQ[[#This Row],[Close]], 0, 0, $C$1*-1))</f>
        <v>444.81999999999994</v>
      </c>
      <c r="D733" s="27">
        <f ca="1">AVERAGE(OFFSET(SPY_Close_Price_PQ[[#This Row],[Close]], 0, 0, $D$1*-1))</f>
        <v>418.79009999999994</v>
      </c>
      <c r="E733" s="28">
        <f t="shared" ca="1" si="11"/>
        <v>0</v>
      </c>
    </row>
    <row r="734" spans="1:5" x14ac:dyDescent="0.4">
      <c r="A734" s="5">
        <v>45198</v>
      </c>
      <c r="B734" s="9">
        <v>427.48</v>
      </c>
      <c r="C734" s="27">
        <f ca="1">AVERAGE(OFFSET(SPY_Close_Price_PQ[[#This Row],[Close]], 0, 0, $C$1*-1))</f>
        <v>444.32599999999991</v>
      </c>
      <c r="D734" s="27">
        <f ca="1">AVERAGE(OFFSET(SPY_Close_Price_PQ[[#This Row],[Close]], 0, 0, $D$1*-1))</f>
        <v>418.93274999999994</v>
      </c>
      <c r="E734" s="28">
        <f t="shared" ca="1" si="11"/>
        <v>0</v>
      </c>
    </row>
    <row r="735" spans="1:5" x14ac:dyDescent="0.4">
      <c r="A735" s="4">
        <v>45201</v>
      </c>
      <c r="B735" s="8">
        <v>427.31</v>
      </c>
      <c r="C735" s="27">
        <f ca="1">AVERAGE(OFFSET(SPY_Close_Price_PQ[[#This Row],[Close]], 0, 0, $C$1*-1))</f>
        <v>443.82859999999999</v>
      </c>
      <c r="D735" s="27">
        <f ca="1">AVERAGE(OFFSET(SPY_Close_Price_PQ[[#This Row],[Close]], 0, 0, $D$1*-1))</f>
        <v>419.05944999999991</v>
      </c>
      <c r="E735" s="28">
        <f t="shared" ca="1" si="11"/>
        <v>0</v>
      </c>
    </row>
    <row r="736" spans="1:5" x14ac:dyDescent="0.4">
      <c r="A736" s="5">
        <v>45202</v>
      </c>
      <c r="B736" s="9">
        <v>421.59</v>
      </c>
      <c r="C736" s="27">
        <f ca="1">AVERAGE(OFFSET(SPY_Close_Price_PQ[[#This Row],[Close]], 0, 0, $C$1*-1))</f>
        <v>443.1764</v>
      </c>
      <c r="D736" s="27">
        <f ca="1">AVERAGE(OFFSET(SPY_Close_Price_PQ[[#This Row],[Close]], 0, 0, $D$1*-1))</f>
        <v>419.17039999999986</v>
      </c>
      <c r="E736" s="28">
        <f t="shared" ca="1" si="11"/>
        <v>0</v>
      </c>
    </row>
    <row r="737" spans="1:5" x14ac:dyDescent="0.4">
      <c r="A737" s="4">
        <v>45203</v>
      </c>
      <c r="B737" s="8">
        <v>424.66</v>
      </c>
      <c r="C737" s="27">
        <f ca="1">AVERAGE(OFFSET(SPY_Close_Price_PQ[[#This Row],[Close]], 0, 0, $C$1*-1))</f>
        <v>442.56080000000003</v>
      </c>
      <c r="D737" s="27">
        <f ca="1">AVERAGE(OFFSET(SPY_Close_Price_PQ[[#This Row],[Close]], 0, 0, $D$1*-1))</f>
        <v>419.34554999999983</v>
      </c>
      <c r="E737" s="28">
        <f t="shared" ca="1" si="11"/>
        <v>0</v>
      </c>
    </row>
    <row r="738" spans="1:5" x14ac:dyDescent="0.4">
      <c r="A738" s="5">
        <v>45204</v>
      </c>
      <c r="B738" s="9">
        <v>424.5</v>
      </c>
      <c r="C738" s="27">
        <f ca="1">AVERAGE(OFFSET(SPY_Close_Price_PQ[[#This Row],[Close]], 0, 0, $C$1*-1))</f>
        <v>441.94059999999996</v>
      </c>
      <c r="D738" s="27">
        <f ca="1">AVERAGE(OFFSET(SPY_Close_Price_PQ[[#This Row],[Close]], 0, 0, $D$1*-1))</f>
        <v>419.55169999999993</v>
      </c>
      <c r="E738" s="28">
        <f t="shared" ca="1" si="11"/>
        <v>0</v>
      </c>
    </row>
    <row r="739" spans="1:5" x14ac:dyDescent="0.4">
      <c r="A739" s="4">
        <v>45205</v>
      </c>
      <c r="B739" s="8">
        <v>429.54</v>
      </c>
      <c r="C739" s="27">
        <f ca="1">AVERAGE(OFFSET(SPY_Close_Price_PQ[[#This Row],[Close]], 0, 0, $C$1*-1))</f>
        <v>441.48160000000001</v>
      </c>
      <c r="D739" s="27">
        <f ca="1">AVERAGE(OFFSET(SPY_Close_Price_PQ[[#This Row],[Close]], 0, 0, $D$1*-1))</f>
        <v>419.79929999999985</v>
      </c>
      <c r="E739" s="28">
        <f t="shared" ca="1" si="11"/>
        <v>0</v>
      </c>
    </row>
    <row r="740" spans="1:5" x14ac:dyDescent="0.4">
      <c r="A740" s="5">
        <v>45208</v>
      </c>
      <c r="B740" s="9">
        <v>432.29</v>
      </c>
      <c r="C740" s="27">
        <f ca="1">AVERAGE(OFFSET(SPY_Close_Price_PQ[[#This Row],[Close]], 0, 0, $C$1*-1))</f>
        <v>440.98900000000003</v>
      </c>
      <c r="D740" s="27">
        <f ca="1">AVERAGE(OFFSET(SPY_Close_Price_PQ[[#This Row],[Close]], 0, 0, $D$1*-1))</f>
        <v>420.05804999999987</v>
      </c>
      <c r="E740" s="28">
        <f t="shared" ca="1" si="11"/>
        <v>0</v>
      </c>
    </row>
    <row r="741" spans="1:5" x14ac:dyDescent="0.4">
      <c r="A741" s="4">
        <v>45209</v>
      </c>
      <c r="B741" s="8">
        <v>434.54</v>
      </c>
      <c r="C741" s="27">
        <f ca="1">AVERAGE(OFFSET(SPY_Close_Price_PQ[[#This Row],[Close]], 0, 0, $C$1*-1))</f>
        <v>440.52400000000011</v>
      </c>
      <c r="D741" s="27">
        <f ca="1">AVERAGE(OFFSET(SPY_Close_Price_PQ[[#This Row],[Close]], 0, 0, $D$1*-1))</f>
        <v>420.29959999999977</v>
      </c>
      <c r="E741" s="28">
        <f t="shared" ca="1" si="11"/>
        <v>0</v>
      </c>
    </row>
    <row r="742" spans="1:5" x14ac:dyDescent="0.4">
      <c r="A742" s="5">
        <v>45210</v>
      </c>
      <c r="B742" s="9">
        <v>436.32</v>
      </c>
      <c r="C742" s="27">
        <f ca="1">AVERAGE(OFFSET(SPY_Close_Price_PQ[[#This Row],[Close]], 0, 0, $C$1*-1))</f>
        <v>440.12080000000009</v>
      </c>
      <c r="D742" s="27">
        <f ca="1">AVERAGE(OFFSET(SPY_Close_Price_PQ[[#This Row],[Close]], 0, 0, $D$1*-1))</f>
        <v>420.57759999999985</v>
      </c>
      <c r="E742" s="28">
        <f t="shared" ca="1" si="11"/>
        <v>0</v>
      </c>
    </row>
    <row r="743" spans="1:5" x14ac:dyDescent="0.4">
      <c r="A743" s="4">
        <v>45211</v>
      </c>
      <c r="B743" s="8">
        <v>433.66</v>
      </c>
      <c r="C743" s="27">
        <f ca="1">AVERAGE(OFFSET(SPY_Close_Price_PQ[[#This Row],[Close]], 0, 0, $C$1*-1))</f>
        <v>439.79140000000007</v>
      </c>
      <c r="D743" s="27">
        <f ca="1">AVERAGE(OFFSET(SPY_Close_Price_PQ[[#This Row],[Close]], 0, 0, $D$1*-1))</f>
        <v>420.83134999999987</v>
      </c>
      <c r="E743" s="28">
        <f t="shared" ca="1" si="11"/>
        <v>0</v>
      </c>
    </row>
    <row r="744" spans="1:5" x14ac:dyDescent="0.4">
      <c r="A744" s="5">
        <v>45212</v>
      </c>
      <c r="B744" s="9">
        <v>431.5</v>
      </c>
      <c r="C744" s="27">
        <f ca="1">AVERAGE(OFFSET(SPY_Close_Price_PQ[[#This Row],[Close]], 0, 0, $C$1*-1))</f>
        <v>439.44460000000004</v>
      </c>
      <c r="D744" s="27">
        <f ca="1">AVERAGE(OFFSET(SPY_Close_Price_PQ[[#This Row],[Close]], 0, 0, $D$1*-1))</f>
        <v>421.08184999999992</v>
      </c>
      <c r="E744" s="28">
        <f t="shared" ca="1" si="11"/>
        <v>0</v>
      </c>
    </row>
    <row r="745" spans="1:5" x14ac:dyDescent="0.4">
      <c r="A745" s="4">
        <v>45215</v>
      </c>
      <c r="B745" s="8">
        <v>436.04</v>
      </c>
      <c r="C745" s="27">
        <f ca="1">AVERAGE(OFFSET(SPY_Close_Price_PQ[[#This Row],[Close]], 0, 0, $C$1*-1))</f>
        <v>439.22920000000005</v>
      </c>
      <c r="D745" s="27">
        <f ca="1">AVERAGE(OFFSET(SPY_Close_Price_PQ[[#This Row],[Close]], 0, 0, $D$1*-1))</f>
        <v>421.37874999999991</v>
      </c>
      <c r="E745" s="28">
        <f t="shared" ca="1" si="11"/>
        <v>0</v>
      </c>
    </row>
    <row r="746" spans="1:5" x14ac:dyDescent="0.4">
      <c r="A746" s="5">
        <v>45216</v>
      </c>
      <c r="B746" s="9">
        <v>436.02</v>
      </c>
      <c r="C746" s="27">
        <f ca="1">AVERAGE(OFFSET(SPY_Close_Price_PQ[[#This Row],[Close]], 0, 0, $C$1*-1))</f>
        <v>438.93540000000007</v>
      </c>
      <c r="D746" s="27">
        <f ca="1">AVERAGE(OFFSET(SPY_Close_Price_PQ[[#This Row],[Close]], 0, 0, $D$1*-1))</f>
        <v>421.64164999999986</v>
      </c>
      <c r="E746" s="28">
        <f t="shared" ca="1" si="11"/>
        <v>0</v>
      </c>
    </row>
    <row r="747" spans="1:5" x14ac:dyDescent="0.4">
      <c r="A747" s="4">
        <v>45217</v>
      </c>
      <c r="B747" s="8">
        <v>430.21</v>
      </c>
      <c r="C747" s="27">
        <f ca="1">AVERAGE(OFFSET(SPY_Close_Price_PQ[[#This Row],[Close]], 0, 0, $C$1*-1))</f>
        <v>438.56459999999998</v>
      </c>
      <c r="D747" s="27">
        <f ca="1">AVERAGE(OFFSET(SPY_Close_Price_PQ[[#This Row],[Close]], 0, 0, $D$1*-1))</f>
        <v>421.88054999999991</v>
      </c>
      <c r="E747" s="28">
        <f t="shared" ca="1" si="11"/>
        <v>0</v>
      </c>
    </row>
    <row r="748" spans="1:5" x14ac:dyDescent="0.4">
      <c r="A748" s="5">
        <v>45218</v>
      </c>
      <c r="B748" s="9">
        <v>426.43</v>
      </c>
      <c r="C748" s="27">
        <f ca="1">AVERAGE(OFFSET(SPY_Close_Price_PQ[[#This Row],[Close]], 0, 0, $C$1*-1))</f>
        <v>438.1782</v>
      </c>
      <c r="D748" s="27">
        <f ca="1">AVERAGE(OFFSET(SPY_Close_Price_PQ[[#This Row],[Close]], 0, 0, $D$1*-1))</f>
        <v>422.10859999999991</v>
      </c>
      <c r="E748" s="28">
        <f t="shared" ca="1" si="11"/>
        <v>0</v>
      </c>
    </row>
    <row r="749" spans="1:5" x14ac:dyDescent="0.4">
      <c r="A749" s="4">
        <v>45219</v>
      </c>
      <c r="B749" s="8">
        <v>421.19</v>
      </c>
      <c r="C749" s="27">
        <f ca="1">AVERAGE(OFFSET(SPY_Close_Price_PQ[[#This Row],[Close]], 0, 0, $C$1*-1))</f>
        <v>437.68380000000002</v>
      </c>
      <c r="D749" s="27">
        <f ca="1">AVERAGE(OFFSET(SPY_Close_Price_PQ[[#This Row],[Close]], 0, 0, $D$1*-1))</f>
        <v>422.29575</v>
      </c>
      <c r="E749" s="28">
        <f t="shared" ca="1" si="11"/>
        <v>0</v>
      </c>
    </row>
    <row r="750" spans="1:5" x14ac:dyDescent="0.4">
      <c r="A750" s="5">
        <v>45222</v>
      </c>
      <c r="B750" s="9">
        <v>420.46</v>
      </c>
      <c r="C750" s="27">
        <f ca="1">AVERAGE(OFFSET(SPY_Close_Price_PQ[[#This Row],[Close]], 0, 0, $C$1*-1))</f>
        <v>437.17999999999995</v>
      </c>
      <c r="D750" s="27">
        <f ca="1">AVERAGE(OFFSET(SPY_Close_Price_PQ[[#This Row],[Close]], 0, 0, $D$1*-1))</f>
        <v>422.50115</v>
      </c>
      <c r="E750" s="28">
        <f t="shared" ca="1" si="11"/>
        <v>0</v>
      </c>
    </row>
    <row r="751" spans="1:5" x14ac:dyDescent="0.4">
      <c r="A751" s="4">
        <v>45223</v>
      </c>
      <c r="B751" s="8">
        <v>423.63</v>
      </c>
      <c r="C751" s="27">
        <f ca="1">AVERAGE(OFFSET(SPY_Close_Price_PQ[[#This Row],[Close]], 0, 0, $C$1*-1))</f>
        <v>436.69039999999995</v>
      </c>
      <c r="D751" s="27">
        <f ca="1">AVERAGE(OFFSET(SPY_Close_Price_PQ[[#This Row],[Close]], 0, 0, $D$1*-1))</f>
        <v>422.67890000000006</v>
      </c>
      <c r="E751" s="28">
        <f t="shared" ca="1" si="11"/>
        <v>0</v>
      </c>
    </row>
    <row r="752" spans="1:5" x14ac:dyDescent="0.4">
      <c r="A752" s="5">
        <v>45224</v>
      </c>
      <c r="B752" s="9">
        <v>417.55</v>
      </c>
      <c r="C752" s="27">
        <f ca="1">AVERAGE(OFFSET(SPY_Close_Price_PQ[[#This Row],[Close]], 0, 0, $C$1*-1))</f>
        <v>436.18359999999996</v>
      </c>
      <c r="D752" s="27">
        <f ca="1">AVERAGE(OFFSET(SPY_Close_Price_PQ[[#This Row],[Close]], 0, 0, $D$1*-1))</f>
        <v>422.82735000000008</v>
      </c>
      <c r="E752" s="28">
        <f t="shared" ca="1" si="11"/>
        <v>0</v>
      </c>
    </row>
    <row r="753" spans="1:5" x14ac:dyDescent="0.4">
      <c r="A753" s="4">
        <v>45225</v>
      </c>
      <c r="B753" s="8">
        <v>412.55</v>
      </c>
      <c r="C753" s="27">
        <f ca="1">AVERAGE(OFFSET(SPY_Close_Price_PQ[[#This Row],[Close]], 0, 0, $C$1*-1))</f>
        <v>435.64179999999988</v>
      </c>
      <c r="D753" s="27">
        <f ca="1">AVERAGE(OFFSET(SPY_Close_Price_PQ[[#This Row],[Close]], 0, 0, $D$1*-1))</f>
        <v>422.93720000000008</v>
      </c>
      <c r="E753" s="28">
        <f t="shared" ca="1" si="11"/>
        <v>0</v>
      </c>
    </row>
    <row r="754" spans="1:5" x14ac:dyDescent="0.4">
      <c r="A754" s="5">
        <v>45226</v>
      </c>
      <c r="B754" s="9">
        <v>410.68</v>
      </c>
      <c r="C754" s="27">
        <f ca="1">AVERAGE(OFFSET(SPY_Close_Price_PQ[[#This Row],[Close]], 0, 0, $C$1*-1))</f>
        <v>435.12959999999993</v>
      </c>
      <c r="D754" s="27">
        <f ca="1">AVERAGE(OFFSET(SPY_Close_Price_PQ[[#This Row],[Close]], 0, 0, $D$1*-1))</f>
        <v>423.01300000000009</v>
      </c>
      <c r="E754" s="28">
        <f t="shared" ca="1" si="11"/>
        <v>0</v>
      </c>
    </row>
    <row r="755" spans="1:5" x14ac:dyDescent="0.4">
      <c r="A755" s="4">
        <v>45229</v>
      </c>
      <c r="B755" s="8">
        <v>415.59</v>
      </c>
      <c r="C755" s="27">
        <f ca="1">AVERAGE(OFFSET(SPY_Close_Price_PQ[[#This Row],[Close]], 0, 0, $C$1*-1))</f>
        <v>434.71139999999991</v>
      </c>
      <c r="D755" s="27">
        <f ca="1">AVERAGE(OFFSET(SPY_Close_Price_PQ[[#This Row],[Close]], 0, 0, $D$1*-1))</f>
        <v>423.10615000000007</v>
      </c>
      <c r="E755" s="28">
        <f t="shared" ca="1" si="11"/>
        <v>0</v>
      </c>
    </row>
    <row r="756" spans="1:5" x14ac:dyDescent="0.4">
      <c r="A756" s="5">
        <v>45230</v>
      </c>
      <c r="B756" s="9">
        <v>418.2</v>
      </c>
      <c r="C756" s="27">
        <f ca="1">AVERAGE(OFFSET(SPY_Close_Price_PQ[[#This Row],[Close]], 0, 0, $C$1*-1))</f>
        <v>434.28859999999992</v>
      </c>
      <c r="D756" s="27">
        <f ca="1">AVERAGE(OFFSET(SPY_Close_Price_PQ[[#This Row],[Close]], 0, 0, $D$1*-1))</f>
        <v>423.20465000000013</v>
      </c>
      <c r="E756" s="28">
        <f t="shared" ca="1" si="11"/>
        <v>0</v>
      </c>
    </row>
    <row r="757" spans="1:5" x14ac:dyDescent="0.4">
      <c r="A757" s="4">
        <v>45231</v>
      </c>
      <c r="B757" s="8">
        <v>422.66</v>
      </c>
      <c r="C757" s="27">
        <f ca="1">AVERAGE(OFFSET(SPY_Close_Price_PQ[[#This Row],[Close]], 0, 0, $C$1*-1))</f>
        <v>433.97879999999992</v>
      </c>
      <c r="D757" s="27">
        <f ca="1">AVERAGE(OFFSET(SPY_Close_Price_PQ[[#This Row],[Close]], 0, 0, $D$1*-1))</f>
        <v>423.3291000000001</v>
      </c>
      <c r="E757" s="28">
        <f t="shared" ca="1" si="11"/>
        <v>0</v>
      </c>
    </row>
    <row r="758" spans="1:5" x14ac:dyDescent="0.4">
      <c r="A758" s="5">
        <v>45232</v>
      </c>
      <c r="B758" s="9">
        <v>430.76</v>
      </c>
      <c r="C758" s="27">
        <f ca="1">AVERAGE(OFFSET(SPY_Close_Price_PQ[[#This Row],[Close]], 0, 0, $C$1*-1))</f>
        <v>433.7333999999999</v>
      </c>
      <c r="D758" s="27">
        <f ca="1">AVERAGE(OFFSET(SPY_Close_Price_PQ[[#This Row],[Close]], 0, 0, $D$1*-1))</f>
        <v>423.52545000000015</v>
      </c>
      <c r="E758" s="28">
        <f t="shared" ca="1" si="11"/>
        <v>0</v>
      </c>
    </row>
    <row r="759" spans="1:5" x14ac:dyDescent="0.4">
      <c r="A759" s="4">
        <v>45233</v>
      </c>
      <c r="B759" s="8">
        <v>434.69</v>
      </c>
      <c r="C759" s="27">
        <f ca="1">AVERAGE(OFFSET(SPY_Close_Price_PQ[[#This Row],[Close]], 0, 0, $C$1*-1))</f>
        <v>433.68939999999998</v>
      </c>
      <c r="D759" s="27">
        <f ca="1">AVERAGE(OFFSET(SPY_Close_Price_PQ[[#This Row],[Close]], 0, 0, $D$1*-1))</f>
        <v>423.75570000000005</v>
      </c>
      <c r="E759" s="28">
        <f t="shared" ca="1" si="11"/>
        <v>0</v>
      </c>
    </row>
    <row r="760" spans="1:5" x14ac:dyDescent="0.4">
      <c r="A760" s="5">
        <v>45236</v>
      </c>
      <c r="B760" s="9">
        <v>435.69</v>
      </c>
      <c r="C760" s="27">
        <f ca="1">AVERAGE(OFFSET(SPY_Close_Price_PQ[[#This Row],[Close]], 0, 0, $C$1*-1))</f>
        <v>433.60379999999992</v>
      </c>
      <c r="D760" s="27">
        <f ca="1">AVERAGE(OFFSET(SPY_Close_Price_PQ[[#This Row],[Close]], 0, 0, $D$1*-1))</f>
        <v>423.95475000000005</v>
      </c>
      <c r="E760" s="28">
        <f t="shared" ca="1" si="11"/>
        <v>0</v>
      </c>
    </row>
    <row r="761" spans="1:5" x14ac:dyDescent="0.4">
      <c r="A761" s="4">
        <v>45237</v>
      </c>
      <c r="B761" s="8">
        <v>436.93</v>
      </c>
      <c r="C761" s="27">
        <f ca="1">AVERAGE(OFFSET(SPY_Close_Price_PQ[[#This Row],[Close]], 0, 0, $C$1*-1))</f>
        <v>433.48719999999992</v>
      </c>
      <c r="D761" s="27">
        <f ca="1">AVERAGE(OFFSET(SPY_Close_Price_PQ[[#This Row],[Close]], 0, 0, $D$1*-1))</f>
        <v>424.13625000000002</v>
      </c>
      <c r="E761" s="28">
        <f t="shared" ca="1" si="11"/>
        <v>0</v>
      </c>
    </row>
    <row r="762" spans="1:5" x14ac:dyDescent="0.4">
      <c r="A762" s="5">
        <v>45238</v>
      </c>
      <c r="B762" s="9">
        <v>437.25</v>
      </c>
      <c r="C762" s="27">
        <f ca="1">AVERAGE(OFFSET(SPY_Close_Price_PQ[[#This Row],[Close]], 0, 0, $C$1*-1))</f>
        <v>433.24899999999997</v>
      </c>
      <c r="D762" s="27">
        <f ca="1">AVERAGE(OFFSET(SPY_Close_Price_PQ[[#This Row],[Close]], 0, 0, $D$1*-1))</f>
        <v>424.32149999999996</v>
      </c>
      <c r="E762" s="28">
        <f t="shared" ca="1" si="11"/>
        <v>0</v>
      </c>
    </row>
    <row r="763" spans="1:5" x14ac:dyDescent="0.4">
      <c r="A763" s="4">
        <v>45239</v>
      </c>
      <c r="B763" s="8">
        <v>433.84</v>
      </c>
      <c r="C763" s="27">
        <f ca="1">AVERAGE(OFFSET(SPY_Close_Price_PQ[[#This Row],[Close]], 0, 0, $C$1*-1))</f>
        <v>432.90559999999999</v>
      </c>
      <c r="D763" s="27">
        <f ca="1">AVERAGE(OFFSET(SPY_Close_Price_PQ[[#This Row],[Close]], 0, 0, $D$1*-1))</f>
        <v>424.48894999999987</v>
      </c>
      <c r="E763" s="28">
        <f t="shared" ca="1" si="11"/>
        <v>0</v>
      </c>
    </row>
    <row r="764" spans="1:5" x14ac:dyDescent="0.4">
      <c r="A764" s="5">
        <v>45240</v>
      </c>
      <c r="B764" s="9">
        <v>440.61</v>
      </c>
      <c r="C764" s="27">
        <f ca="1">AVERAGE(OFFSET(SPY_Close_Price_PQ[[#This Row],[Close]], 0, 0, $C$1*-1))</f>
        <v>432.71080000000001</v>
      </c>
      <c r="D764" s="27">
        <f ca="1">AVERAGE(OFFSET(SPY_Close_Price_PQ[[#This Row],[Close]], 0, 0, $D$1*-1))</f>
        <v>424.66824999999989</v>
      </c>
      <c r="E764" s="28">
        <f t="shared" ca="1" si="11"/>
        <v>0</v>
      </c>
    </row>
    <row r="765" spans="1:5" x14ac:dyDescent="0.4">
      <c r="A765" s="4">
        <v>45243</v>
      </c>
      <c r="B765" s="8">
        <v>440.19</v>
      </c>
      <c r="C765" s="27">
        <f ca="1">AVERAGE(OFFSET(SPY_Close_Price_PQ[[#This Row],[Close]], 0, 0, $C$1*-1))</f>
        <v>432.49079999999992</v>
      </c>
      <c r="D765" s="27">
        <f ca="1">AVERAGE(OFFSET(SPY_Close_Price_PQ[[#This Row],[Close]], 0, 0, $D$1*-1))</f>
        <v>424.84079999999994</v>
      </c>
      <c r="E765" s="28">
        <f t="shared" ca="1" si="11"/>
        <v>0</v>
      </c>
    </row>
    <row r="766" spans="1:5" x14ac:dyDescent="0.4">
      <c r="A766" s="5">
        <v>45244</v>
      </c>
      <c r="B766" s="9">
        <v>448.73</v>
      </c>
      <c r="C766" s="27">
        <f ca="1">AVERAGE(OFFSET(SPY_Close_Price_PQ[[#This Row],[Close]], 0, 0, $C$1*-1))</f>
        <v>432.48059999999992</v>
      </c>
      <c r="D766" s="27">
        <f ca="1">AVERAGE(OFFSET(SPY_Close_Price_PQ[[#This Row],[Close]], 0, 0, $D$1*-1))</f>
        <v>425.08149999999989</v>
      </c>
      <c r="E766" s="28">
        <f t="shared" ca="1" si="11"/>
        <v>0</v>
      </c>
    </row>
    <row r="767" spans="1:5" x14ac:dyDescent="0.4">
      <c r="A767" s="4">
        <v>45245</v>
      </c>
      <c r="B767" s="8">
        <v>449.68</v>
      </c>
      <c r="C767" s="27">
        <f ca="1">AVERAGE(OFFSET(SPY_Close_Price_PQ[[#This Row],[Close]], 0, 0, $C$1*-1))</f>
        <v>432.54979999999989</v>
      </c>
      <c r="D767" s="27">
        <f ca="1">AVERAGE(OFFSET(SPY_Close_Price_PQ[[#This Row],[Close]], 0, 0, $D$1*-1))</f>
        <v>425.29749999999984</v>
      </c>
      <c r="E767" s="28">
        <f t="shared" ca="1" si="11"/>
        <v>0</v>
      </c>
    </row>
    <row r="768" spans="1:5" x14ac:dyDescent="0.4">
      <c r="A768" s="5">
        <v>45246</v>
      </c>
      <c r="B768" s="9">
        <v>450.23</v>
      </c>
      <c r="C768" s="27">
        <f ca="1">AVERAGE(OFFSET(SPY_Close_Price_PQ[[#This Row],[Close]], 0, 0, $C$1*-1))</f>
        <v>432.6574</v>
      </c>
      <c r="D768" s="27">
        <f ca="1">AVERAGE(OFFSET(SPY_Close_Price_PQ[[#This Row],[Close]], 0, 0, $D$1*-1))</f>
        <v>425.49464999999987</v>
      </c>
      <c r="E768" s="28">
        <f t="shared" ca="1" si="11"/>
        <v>0</v>
      </c>
    </row>
    <row r="769" spans="1:5" x14ac:dyDescent="0.4">
      <c r="A769" s="4">
        <v>45247</v>
      </c>
      <c r="B769" s="8">
        <v>450.79</v>
      </c>
      <c r="C769" s="27">
        <f ca="1">AVERAGE(OFFSET(SPY_Close_Price_PQ[[#This Row],[Close]], 0, 0, $C$1*-1))</f>
        <v>432.76279999999991</v>
      </c>
      <c r="D769" s="27">
        <f ca="1">AVERAGE(OFFSET(SPY_Close_Price_PQ[[#This Row],[Close]], 0, 0, $D$1*-1))</f>
        <v>425.66469999999987</v>
      </c>
      <c r="E769" s="28">
        <f t="shared" ca="1" si="11"/>
        <v>0</v>
      </c>
    </row>
    <row r="770" spans="1:5" x14ac:dyDescent="0.4">
      <c r="A770" s="5">
        <v>45250</v>
      </c>
      <c r="B770" s="9">
        <v>454.26</v>
      </c>
      <c r="C770" s="27">
        <f ca="1">AVERAGE(OFFSET(SPY_Close_Price_PQ[[#This Row],[Close]], 0, 0, $C$1*-1))</f>
        <v>432.87899999999996</v>
      </c>
      <c r="D770" s="27">
        <f ca="1">AVERAGE(OFFSET(SPY_Close_Price_PQ[[#This Row],[Close]], 0, 0, $D$1*-1))</f>
        <v>425.8742499999999</v>
      </c>
      <c r="E770" s="28">
        <f t="shared" ca="1" si="11"/>
        <v>0</v>
      </c>
    </row>
    <row r="771" spans="1:5" x14ac:dyDescent="0.4">
      <c r="A771" s="4">
        <v>45251</v>
      </c>
      <c r="B771" s="8">
        <v>453.27</v>
      </c>
      <c r="C771" s="27">
        <f ca="1">AVERAGE(OFFSET(SPY_Close_Price_PQ[[#This Row],[Close]], 0, 0, $C$1*-1))</f>
        <v>433.02459999999996</v>
      </c>
      <c r="D771" s="27">
        <f ca="1">AVERAGE(OFFSET(SPY_Close_Price_PQ[[#This Row],[Close]], 0, 0, $D$1*-1))</f>
        <v>426.0914499999999</v>
      </c>
      <c r="E771" s="28">
        <f t="shared" ca="1" si="11"/>
        <v>0</v>
      </c>
    </row>
    <row r="772" spans="1:5" x14ac:dyDescent="0.4">
      <c r="A772" s="5">
        <v>45252</v>
      </c>
      <c r="B772" s="9">
        <v>455.02</v>
      </c>
      <c r="C772" s="27">
        <f ca="1">AVERAGE(OFFSET(SPY_Close_Price_PQ[[#This Row],[Close]], 0, 0, $C$1*-1))</f>
        <v>433.19479999999999</v>
      </c>
      <c r="D772" s="27">
        <f ca="1">AVERAGE(OFFSET(SPY_Close_Price_PQ[[#This Row],[Close]], 0, 0, $D$1*-1))</f>
        <v>426.29059999999993</v>
      </c>
      <c r="E772" s="28">
        <f t="shared" ref="E772:E835" ca="1" si="12">IF(AND(C771&lt;D771,C772&gt;D772),1,0)</f>
        <v>0</v>
      </c>
    </row>
    <row r="773" spans="1:5" x14ac:dyDescent="0.4">
      <c r="A773" s="4">
        <v>45254</v>
      </c>
      <c r="B773" s="8">
        <v>455.3</v>
      </c>
      <c r="C773" s="27">
        <f ca="1">AVERAGE(OFFSET(SPY_Close_Price_PQ[[#This Row],[Close]], 0, 0, $C$1*-1))</f>
        <v>433.29360000000003</v>
      </c>
      <c r="D773" s="27">
        <f ca="1">AVERAGE(OFFSET(SPY_Close_Price_PQ[[#This Row],[Close]], 0, 0, $D$1*-1))</f>
        <v>426.51384999999993</v>
      </c>
      <c r="E773" s="28">
        <f t="shared" ca="1" si="12"/>
        <v>0</v>
      </c>
    </row>
    <row r="774" spans="1:5" x14ac:dyDescent="0.4">
      <c r="A774" s="5">
        <v>45257</v>
      </c>
      <c r="B774" s="9">
        <v>454.48</v>
      </c>
      <c r="C774" s="27">
        <f ca="1">AVERAGE(OFFSET(SPY_Close_Price_PQ[[#This Row],[Close]], 0, 0, $C$1*-1))</f>
        <v>433.51579999999996</v>
      </c>
      <c r="D774" s="27">
        <f ca="1">AVERAGE(OFFSET(SPY_Close_Price_PQ[[#This Row],[Close]], 0, 0, $D$1*-1))</f>
        <v>426.75079999999986</v>
      </c>
      <c r="E774" s="28">
        <f t="shared" ca="1" si="12"/>
        <v>0</v>
      </c>
    </row>
    <row r="775" spans="1:5" x14ac:dyDescent="0.4">
      <c r="A775" s="4">
        <v>45258</v>
      </c>
      <c r="B775" s="8">
        <v>454.93</v>
      </c>
      <c r="C775" s="27">
        <f ca="1">AVERAGE(OFFSET(SPY_Close_Price_PQ[[#This Row],[Close]], 0, 0, $C$1*-1))</f>
        <v>433.74179999999996</v>
      </c>
      <c r="D775" s="27">
        <f ca="1">AVERAGE(OFFSET(SPY_Close_Price_PQ[[#This Row],[Close]], 0, 0, $D$1*-1))</f>
        <v>426.98524999999978</v>
      </c>
      <c r="E775" s="28">
        <f t="shared" ca="1" si="12"/>
        <v>0</v>
      </c>
    </row>
    <row r="776" spans="1:5" x14ac:dyDescent="0.4">
      <c r="A776" s="5">
        <v>45259</v>
      </c>
      <c r="B776" s="9">
        <v>454.61</v>
      </c>
      <c r="C776" s="27">
        <f ca="1">AVERAGE(OFFSET(SPY_Close_Price_PQ[[#This Row],[Close]], 0, 0, $C$1*-1))</f>
        <v>433.97979999999995</v>
      </c>
      <c r="D776" s="27">
        <f ca="1">AVERAGE(OFFSET(SPY_Close_Price_PQ[[#This Row],[Close]], 0, 0, $D$1*-1))</f>
        <v>427.19414999999981</v>
      </c>
      <c r="E776" s="28">
        <f t="shared" ca="1" si="12"/>
        <v>0</v>
      </c>
    </row>
    <row r="777" spans="1:5" x14ac:dyDescent="0.4">
      <c r="A777" s="4">
        <v>45260</v>
      </c>
      <c r="B777" s="8">
        <v>456.4</v>
      </c>
      <c r="C777" s="27">
        <f ca="1">AVERAGE(OFFSET(SPY_Close_Price_PQ[[#This Row],[Close]], 0, 0, $C$1*-1))</f>
        <v>434.33500000000009</v>
      </c>
      <c r="D777" s="27">
        <f ca="1">AVERAGE(OFFSET(SPY_Close_Price_PQ[[#This Row],[Close]], 0, 0, $D$1*-1))</f>
        <v>427.41294999999974</v>
      </c>
      <c r="E777" s="28">
        <f t="shared" ca="1" si="12"/>
        <v>0</v>
      </c>
    </row>
    <row r="778" spans="1:5" x14ac:dyDescent="0.4">
      <c r="A778" s="5">
        <v>45261</v>
      </c>
      <c r="B778" s="9">
        <v>459.1</v>
      </c>
      <c r="C778" s="27">
        <f ca="1">AVERAGE(OFFSET(SPY_Close_Price_PQ[[#This Row],[Close]], 0, 0, $C$1*-1))</f>
        <v>434.88919999999996</v>
      </c>
      <c r="D778" s="27">
        <f ca="1">AVERAGE(OFFSET(SPY_Close_Price_PQ[[#This Row],[Close]], 0, 0, $D$1*-1))</f>
        <v>427.63854999999973</v>
      </c>
      <c r="E778" s="28">
        <f t="shared" ca="1" si="12"/>
        <v>0</v>
      </c>
    </row>
    <row r="779" spans="1:5" x14ac:dyDescent="0.4">
      <c r="A779" s="4">
        <v>45264</v>
      </c>
      <c r="B779" s="8">
        <v>456.69</v>
      </c>
      <c r="C779" s="27">
        <f ca="1">AVERAGE(OFFSET(SPY_Close_Price_PQ[[#This Row],[Close]], 0, 0, $C$1*-1))</f>
        <v>435.41460000000001</v>
      </c>
      <c r="D779" s="27">
        <f ca="1">AVERAGE(OFFSET(SPY_Close_Price_PQ[[#This Row],[Close]], 0, 0, $D$1*-1))</f>
        <v>427.88059999999973</v>
      </c>
      <c r="E779" s="28">
        <f t="shared" ca="1" si="12"/>
        <v>0</v>
      </c>
    </row>
    <row r="780" spans="1:5" x14ac:dyDescent="0.4">
      <c r="A780" s="5">
        <v>45265</v>
      </c>
      <c r="B780" s="9">
        <v>456.6</v>
      </c>
      <c r="C780" s="27">
        <f ca="1">AVERAGE(OFFSET(SPY_Close_Price_PQ[[#This Row],[Close]], 0, 0, $C$1*-1))</f>
        <v>435.90199999999987</v>
      </c>
      <c r="D780" s="27">
        <f ca="1">AVERAGE(OFFSET(SPY_Close_Price_PQ[[#This Row],[Close]], 0, 0, $D$1*-1))</f>
        <v>428.12729999999982</v>
      </c>
      <c r="E780" s="28">
        <f t="shared" ca="1" si="12"/>
        <v>0</v>
      </c>
    </row>
    <row r="781" spans="1:5" x14ac:dyDescent="0.4">
      <c r="A781" s="4">
        <v>45266</v>
      </c>
      <c r="B781" s="8">
        <v>454.76</v>
      </c>
      <c r="C781" s="27">
        <f ca="1">AVERAGE(OFFSET(SPY_Close_Price_PQ[[#This Row],[Close]], 0, 0, $C$1*-1))</f>
        <v>436.47959999999989</v>
      </c>
      <c r="D781" s="27">
        <f ca="1">AVERAGE(OFFSET(SPY_Close_Price_PQ[[#This Row],[Close]], 0, 0, $D$1*-1))</f>
        <v>428.40564999999981</v>
      </c>
      <c r="E781" s="28">
        <f t="shared" ca="1" si="12"/>
        <v>0</v>
      </c>
    </row>
    <row r="782" spans="1:5" x14ac:dyDescent="0.4">
      <c r="A782" s="5">
        <v>45267</v>
      </c>
      <c r="B782" s="9">
        <v>458.23</v>
      </c>
      <c r="C782" s="27">
        <f ca="1">AVERAGE(OFFSET(SPY_Close_Price_PQ[[#This Row],[Close]], 0, 0, $C$1*-1))</f>
        <v>437.12319999999994</v>
      </c>
      <c r="D782" s="27">
        <f ca="1">AVERAGE(OFFSET(SPY_Close_Price_PQ[[#This Row],[Close]], 0, 0, $D$1*-1))</f>
        <v>428.70409999999976</v>
      </c>
      <c r="E782" s="28">
        <f t="shared" ca="1" si="12"/>
        <v>0</v>
      </c>
    </row>
    <row r="783" spans="1:5" x14ac:dyDescent="0.4">
      <c r="A783" s="4">
        <v>45268</v>
      </c>
      <c r="B783" s="8">
        <v>460.2</v>
      </c>
      <c r="C783" s="27">
        <f ca="1">AVERAGE(OFFSET(SPY_Close_Price_PQ[[#This Row],[Close]], 0, 0, $C$1*-1))</f>
        <v>437.7568</v>
      </c>
      <c r="D783" s="27">
        <f ca="1">AVERAGE(OFFSET(SPY_Close_Price_PQ[[#This Row],[Close]], 0, 0, $D$1*-1))</f>
        <v>429.00179999999972</v>
      </c>
      <c r="E783" s="28">
        <f t="shared" ca="1" si="12"/>
        <v>0</v>
      </c>
    </row>
    <row r="784" spans="1:5" x14ac:dyDescent="0.4">
      <c r="A784" s="5">
        <v>45271</v>
      </c>
      <c r="B784" s="9">
        <v>461.99</v>
      </c>
      <c r="C784" s="27">
        <f ca="1">AVERAGE(OFFSET(SPY_Close_Price_PQ[[#This Row],[Close]], 0, 0, $C$1*-1))</f>
        <v>438.44700000000006</v>
      </c>
      <c r="D784" s="27">
        <f ca="1">AVERAGE(OFFSET(SPY_Close_Price_PQ[[#This Row],[Close]], 0, 0, $D$1*-1))</f>
        <v>429.32984999999979</v>
      </c>
      <c r="E784" s="28">
        <f t="shared" ca="1" si="12"/>
        <v>0</v>
      </c>
    </row>
    <row r="785" spans="1:5" x14ac:dyDescent="0.4">
      <c r="A785" s="4">
        <v>45272</v>
      </c>
      <c r="B785" s="8">
        <v>464.1</v>
      </c>
      <c r="C785" s="27">
        <f ca="1">AVERAGE(OFFSET(SPY_Close_Price_PQ[[#This Row],[Close]], 0, 0, $C$1*-1))</f>
        <v>439.18280000000004</v>
      </c>
      <c r="D785" s="27">
        <f ca="1">AVERAGE(OFFSET(SPY_Close_Price_PQ[[#This Row],[Close]], 0, 0, $D$1*-1))</f>
        <v>429.66169999999977</v>
      </c>
      <c r="E785" s="28">
        <f t="shared" ca="1" si="12"/>
        <v>0</v>
      </c>
    </row>
    <row r="786" spans="1:5" x14ac:dyDescent="0.4">
      <c r="A786" s="5">
        <v>45273</v>
      </c>
      <c r="B786" s="9">
        <v>470.5</v>
      </c>
      <c r="C786" s="27">
        <f ca="1">AVERAGE(OFFSET(SPY_Close_Price_PQ[[#This Row],[Close]], 0, 0, $C$1*-1))</f>
        <v>440.16100000000006</v>
      </c>
      <c r="D786" s="27">
        <f ca="1">AVERAGE(OFFSET(SPY_Close_Price_PQ[[#This Row],[Close]], 0, 0, $D$1*-1))</f>
        <v>430.03289999999981</v>
      </c>
      <c r="E786" s="28">
        <f t="shared" ca="1" si="12"/>
        <v>0</v>
      </c>
    </row>
    <row r="787" spans="1:5" x14ac:dyDescent="0.4">
      <c r="A787" s="4">
        <v>45274</v>
      </c>
      <c r="B787" s="8">
        <v>472.01</v>
      </c>
      <c r="C787" s="27">
        <f ca="1">AVERAGE(OFFSET(SPY_Close_Price_PQ[[#This Row],[Close]], 0, 0, $C$1*-1))</f>
        <v>441.10799999999995</v>
      </c>
      <c r="D787" s="27">
        <f ca="1">AVERAGE(OFFSET(SPY_Close_Price_PQ[[#This Row],[Close]], 0, 0, $D$1*-1))</f>
        <v>430.41924999999981</v>
      </c>
      <c r="E787" s="28">
        <f t="shared" ca="1" si="12"/>
        <v>0</v>
      </c>
    </row>
    <row r="788" spans="1:5" x14ac:dyDescent="0.4">
      <c r="A788" s="5">
        <v>45275</v>
      </c>
      <c r="B788" s="9">
        <v>469.33</v>
      </c>
      <c r="C788" s="27">
        <f ca="1">AVERAGE(OFFSET(SPY_Close_Price_PQ[[#This Row],[Close]], 0, 0, $C$1*-1))</f>
        <v>442.00459999999998</v>
      </c>
      <c r="D788" s="27">
        <f ca="1">AVERAGE(OFFSET(SPY_Close_Price_PQ[[#This Row],[Close]], 0, 0, $D$1*-1))</f>
        <v>430.77684999999985</v>
      </c>
      <c r="E788" s="28">
        <f t="shared" ca="1" si="12"/>
        <v>0</v>
      </c>
    </row>
    <row r="789" spans="1:5" x14ac:dyDescent="0.4">
      <c r="A789" s="4">
        <v>45278</v>
      </c>
      <c r="B789" s="8">
        <v>471.97</v>
      </c>
      <c r="C789" s="27">
        <f ca="1">AVERAGE(OFFSET(SPY_Close_Price_PQ[[#This Row],[Close]], 0, 0, $C$1*-1))</f>
        <v>442.85320000000002</v>
      </c>
      <c r="D789" s="27">
        <f ca="1">AVERAGE(OFFSET(SPY_Close_Price_PQ[[#This Row],[Close]], 0, 0, $D$1*-1))</f>
        <v>431.11574999999976</v>
      </c>
      <c r="E789" s="28">
        <f t="shared" ca="1" si="12"/>
        <v>0</v>
      </c>
    </row>
    <row r="790" spans="1:5" x14ac:dyDescent="0.4">
      <c r="A790" s="5">
        <v>45279</v>
      </c>
      <c r="B790" s="9">
        <v>474.84</v>
      </c>
      <c r="C790" s="27">
        <f ca="1">AVERAGE(OFFSET(SPY_Close_Price_PQ[[#This Row],[Close]], 0, 0, $C$1*-1))</f>
        <v>443.70419999999996</v>
      </c>
      <c r="D790" s="27">
        <f ca="1">AVERAGE(OFFSET(SPY_Close_Price_PQ[[#This Row],[Close]], 0, 0, $D$1*-1))</f>
        <v>431.46759999999978</v>
      </c>
      <c r="E790" s="28">
        <f t="shared" ca="1" si="12"/>
        <v>0</v>
      </c>
    </row>
    <row r="791" spans="1:5" x14ac:dyDescent="0.4">
      <c r="A791" s="4">
        <v>45280</v>
      </c>
      <c r="B791" s="8">
        <v>468.26</v>
      </c>
      <c r="C791" s="27">
        <f ca="1">AVERAGE(OFFSET(SPY_Close_Price_PQ[[#This Row],[Close]], 0, 0, $C$1*-1))</f>
        <v>444.37860000000001</v>
      </c>
      <c r="D791" s="27">
        <f ca="1">AVERAGE(OFFSET(SPY_Close_Price_PQ[[#This Row],[Close]], 0, 0, $D$1*-1))</f>
        <v>431.81754999999976</v>
      </c>
      <c r="E791" s="28">
        <f t="shared" ca="1" si="12"/>
        <v>0</v>
      </c>
    </row>
    <row r="792" spans="1:5" x14ac:dyDescent="0.4">
      <c r="A792" s="5">
        <v>45281</v>
      </c>
      <c r="B792" s="9">
        <v>472.7</v>
      </c>
      <c r="C792" s="27">
        <f ca="1">AVERAGE(OFFSET(SPY_Close_Price_PQ[[#This Row],[Close]], 0, 0, $C$1*-1))</f>
        <v>445.1062</v>
      </c>
      <c r="D792" s="27">
        <f ca="1">AVERAGE(OFFSET(SPY_Close_Price_PQ[[#This Row],[Close]], 0, 0, $D$1*-1))</f>
        <v>432.18644999999975</v>
      </c>
      <c r="E792" s="28">
        <f t="shared" ca="1" si="12"/>
        <v>0</v>
      </c>
    </row>
    <row r="793" spans="1:5" x14ac:dyDescent="0.4">
      <c r="A793" s="4">
        <v>45282</v>
      </c>
      <c r="B793" s="8">
        <v>473.65</v>
      </c>
      <c r="C793" s="27">
        <f ca="1">AVERAGE(OFFSET(SPY_Close_Price_PQ[[#This Row],[Close]], 0, 0, $C$1*-1))</f>
        <v>445.90600000000006</v>
      </c>
      <c r="D793" s="27">
        <f ca="1">AVERAGE(OFFSET(SPY_Close_Price_PQ[[#This Row],[Close]], 0, 0, $D$1*-1))</f>
        <v>432.59689999999966</v>
      </c>
      <c r="E793" s="28">
        <f t="shared" ca="1" si="12"/>
        <v>0</v>
      </c>
    </row>
    <row r="794" spans="1:5" x14ac:dyDescent="0.4">
      <c r="A794" s="5">
        <v>45286</v>
      </c>
      <c r="B794" s="9">
        <v>475.65</v>
      </c>
      <c r="C794" s="27">
        <f ca="1">AVERAGE(OFFSET(SPY_Close_Price_PQ[[#This Row],[Close]], 0, 0, $C$1*-1))</f>
        <v>446.78900000000016</v>
      </c>
      <c r="D794" s="27">
        <f ca="1">AVERAGE(OFFSET(SPY_Close_Price_PQ[[#This Row],[Close]], 0, 0, $D$1*-1))</f>
        <v>433.04559999999964</v>
      </c>
      <c r="E794" s="28">
        <f t="shared" ca="1" si="12"/>
        <v>0</v>
      </c>
    </row>
    <row r="795" spans="1:5" x14ac:dyDescent="0.4">
      <c r="A795" s="4">
        <v>45287</v>
      </c>
      <c r="B795" s="8">
        <v>476.51</v>
      </c>
      <c r="C795" s="27">
        <f ca="1">AVERAGE(OFFSET(SPY_Close_Price_PQ[[#This Row],[Close]], 0, 0, $C$1*-1))</f>
        <v>447.59840000000003</v>
      </c>
      <c r="D795" s="27">
        <f ca="1">AVERAGE(OFFSET(SPY_Close_Price_PQ[[#This Row],[Close]], 0, 0, $D$1*-1))</f>
        <v>433.50134999999966</v>
      </c>
      <c r="E795" s="28">
        <f t="shared" ca="1" si="12"/>
        <v>0</v>
      </c>
    </row>
    <row r="796" spans="1:5" x14ac:dyDescent="0.4">
      <c r="A796" s="5">
        <v>45288</v>
      </c>
      <c r="B796" s="9">
        <v>476.69</v>
      </c>
      <c r="C796" s="27">
        <f ca="1">AVERAGE(OFFSET(SPY_Close_Price_PQ[[#This Row],[Close]], 0, 0, $C$1*-1))</f>
        <v>448.41180000000008</v>
      </c>
      <c r="D796" s="27">
        <f ca="1">AVERAGE(OFFSET(SPY_Close_Price_PQ[[#This Row],[Close]], 0, 0, $D$1*-1))</f>
        <v>433.92614999999961</v>
      </c>
      <c r="E796" s="28">
        <f t="shared" ca="1" si="12"/>
        <v>0</v>
      </c>
    </row>
    <row r="797" spans="1:5" x14ac:dyDescent="0.4">
      <c r="A797" s="4">
        <v>45289</v>
      </c>
      <c r="B797" s="8">
        <v>475.31</v>
      </c>
      <c r="C797" s="27">
        <f ca="1">AVERAGE(OFFSET(SPY_Close_Price_PQ[[#This Row],[Close]], 0, 0, $C$1*-1))</f>
        <v>449.31380000000007</v>
      </c>
      <c r="D797" s="27">
        <f ca="1">AVERAGE(OFFSET(SPY_Close_Price_PQ[[#This Row],[Close]], 0, 0, $D$1*-1))</f>
        <v>434.35629999999964</v>
      </c>
      <c r="E797" s="28">
        <f t="shared" ca="1" si="12"/>
        <v>0</v>
      </c>
    </row>
    <row r="798" spans="1:5" x14ac:dyDescent="0.4">
      <c r="A798" s="5">
        <v>45293</v>
      </c>
      <c r="B798" s="9">
        <v>472.65</v>
      </c>
      <c r="C798" s="27">
        <f ca="1">AVERAGE(OFFSET(SPY_Close_Price_PQ[[#This Row],[Close]], 0, 0, $C$1*-1))</f>
        <v>450.23820000000012</v>
      </c>
      <c r="D798" s="27">
        <f ca="1">AVERAGE(OFFSET(SPY_Close_Price_PQ[[#This Row],[Close]], 0, 0, $D$1*-1))</f>
        <v>434.73899999999952</v>
      </c>
      <c r="E798" s="28">
        <f t="shared" ca="1" si="12"/>
        <v>0</v>
      </c>
    </row>
    <row r="799" spans="1:5" x14ac:dyDescent="0.4">
      <c r="A799" s="4">
        <v>45294</v>
      </c>
      <c r="B799" s="8">
        <v>468.79</v>
      </c>
      <c r="C799" s="27">
        <f ca="1">AVERAGE(OFFSET(SPY_Close_Price_PQ[[#This Row],[Close]], 0, 0, $C$1*-1))</f>
        <v>451.19020000000012</v>
      </c>
      <c r="D799" s="27">
        <f ca="1">AVERAGE(OFFSET(SPY_Close_Price_PQ[[#This Row],[Close]], 0, 0, $D$1*-1))</f>
        <v>435.13299999999947</v>
      </c>
      <c r="E799" s="28">
        <f t="shared" ca="1" si="12"/>
        <v>0</v>
      </c>
    </row>
    <row r="800" spans="1:5" x14ac:dyDescent="0.4">
      <c r="A800" s="5">
        <v>45295</v>
      </c>
      <c r="B800" s="9">
        <v>467.28</v>
      </c>
      <c r="C800" s="27">
        <f ca="1">AVERAGE(OFFSET(SPY_Close_Price_PQ[[#This Row],[Close]], 0, 0, $C$1*-1))</f>
        <v>452.12660000000011</v>
      </c>
      <c r="D800" s="27">
        <f ca="1">AVERAGE(OFFSET(SPY_Close_Price_PQ[[#This Row],[Close]], 0, 0, $D$1*-1))</f>
        <v>435.50069999999948</v>
      </c>
      <c r="E800" s="28">
        <f t="shared" ca="1" si="12"/>
        <v>0</v>
      </c>
    </row>
    <row r="801" spans="1:5" x14ac:dyDescent="0.4">
      <c r="A801" s="4">
        <v>45296</v>
      </c>
      <c r="B801" s="8">
        <v>467.92</v>
      </c>
      <c r="C801" s="27">
        <f ca="1">AVERAGE(OFFSET(SPY_Close_Price_PQ[[#This Row],[Close]], 0, 0, $C$1*-1))</f>
        <v>453.01240000000007</v>
      </c>
      <c r="D801" s="27">
        <f ca="1">AVERAGE(OFFSET(SPY_Close_Price_PQ[[#This Row],[Close]], 0, 0, $D$1*-1))</f>
        <v>435.84574999999955</v>
      </c>
      <c r="E801" s="28">
        <f t="shared" ca="1" si="12"/>
        <v>0</v>
      </c>
    </row>
    <row r="802" spans="1:5" x14ac:dyDescent="0.4">
      <c r="A802" s="5">
        <v>45299</v>
      </c>
      <c r="B802" s="9">
        <v>474.6</v>
      </c>
      <c r="C802" s="27">
        <f ca="1">AVERAGE(OFFSET(SPY_Close_Price_PQ[[#This Row],[Close]], 0, 0, $C$1*-1))</f>
        <v>454.15339999999998</v>
      </c>
      <c r="D802" s="27">
        <f ca="1">AVERAGE(OFFSET(SPY_Close_Price_PQ[[#This Row],[Close]], 0, 0, $D$1*-1))</f>
        <v>436.25819999999965</v>
      </c>
      <c r="E802" s="28">
        <f t="shared" ca="1" si="12"/>
        <v>0</v>
      </c>
    </row>
    <row r="803" spans="1:5" x14ac:dyDescent="0.4">
      <c r="A803" s="4">
        <v>45300</v>
      </c>
      <c r="B803" s="8">
        <v>473.88</v>
      </c>
      <c r="C803" s="27">
        <f ca="1">AVERAGE(OFFSET(SPY_Close_Price_PQ[[#This Row],[Close]], 0, 0, $C$1*-1))</f>
        <v>455.38</v>
      </c>
      <c r="D803" s="27">
        <f ca="1">AVERAGE(OFFSET(SPY_Close_Price_PQ[[#This Row],[Close]], 0, 0, $D$1*-1))</f>
        <v>436.66174999999959</v>
      </c>
      <c r="E803" s="28">
        <f t="shared" ca="1" si="12"/>
        <v>0</v>
      </c>
    </row>
    <row r="804" spans="1:5" x14ac:dyDescent="0.4">
      <c r="A804" s="5">
        <v>45301</v>
      </c>
      <c r="B804" s="9">
        <v>476.56</v>
      </c>
      <c r="C804" s="27">
        <f ca="1">AVERAGE(OFFSET(SPY_Close_Price_PQ[[#This Row],[Close]], 0, 0, $C$1*-1))</f>
        <v>456.69760000000002</v>
      </c>
      <c r="D804" s="27">
        <f ca="1">AVERAGE(OFFSET(SPY_Close_Price_PQ[[#This Row],[Close]], 0, 0, $D$1*-1))</f>
        <v>437.06579999999957</v>
      </c>
      <c r="E804" s="28">
        <f t="shared" ca="1" si="12"/>
        <v>0</v>
      </c>
    </row>
    <row r="805" spans="1:5" x14ac:dyDescent="0.4">
      <c r="A805" s="4">
        <v>45302</v>
      </c>
      <c r="B805" s="8">
        <v>476.35</v>
      </c>
      <c r="C805" s="27">
        <f ca="1">AVERAGE(OFFSET(SPY_Close_Price_PQ[[#This Row],[Close]], 0, 0, $C$1*-1))</f>
        <v>457.91280000000006</v>
      </c>
      <c r="D805" s="27">
        <f ca="1">AVERAGE(OFFSET(SPY_Close_Price_PQ[[#This Row],[Close]], 0, 0, $D$1*-1))</f>
        <v>437.46509999999967</v>
      </c>
      <c r="E805" s="28">
        <f t="shared" ca="1" si="12"/>
        <v>0</v>
      </c>
    </row>
    <row r="806" spans="1:5" x14ac:dyDescent="0.4">
      <c r="A806" s="5">
        <v>45303</v>
      </c>
      <c r="B806" s="9">
        <v>476.68</v>
      </c>
      <c r="C806" s="27">
        <f ca="1">AVERAGE(OFFSET(SPY_Close_Price_PQ[[#This Row],[Close]], 0, 0, $C$1*-1))</f>
        <v>459.08240000000006</v>
      </c>
      <c r="D806" s="27">
        <f ca="1">AVERAGE(OFFSET(SPY_Close_Price_PQ[[#This Row],[Close]], 0, 0, $D$1*-1))</f>
        <v>437.87049999999959</v>
      </c>
      <c r="E806" s="28">
        <f t="shared" ca="1" si="12"/>
        <v>0</v>
      </c>
    </row>
    <row r="807" spans="1:5" x14ac:dyDescent="0.4">
      <c r="A807" s="4">
        <v>45307</v>
      </c>
      <c r="B807" s="8">
        <v>474.93</v>
      </c>
      <c r="C807" s="27">
        <f ca="1">AVERAGE(OFFSET(SPY_Close_Price_PQ[[#This Row],[Close]], 0, 0, $C$1*-1))</f>
        <v>460.12780000000004</v>
      </c>
      <c r="D807" s="27">
        <f ca="1">AVERAGE(OFFSET(SPY_Close_Price_PQ[[#This Row],[Close]], 0, 0, $D$1*-1))</f>
        <v>438.23839999999961</v>
      </c>
      <c r="E807" s="28">
        <f t="shared" ca="1" si="12"/>
        <v>0</v>
      </c>
    </row>
    <row r="808" spans="1:5" x14ac:dyDescent="0.4">
      <c r="A808" s="5">
        <v>45308</v>
      </c>
      <c r="B808" s="9">
        <v>472.29</v>
      </c>
      <c r="C808" s="27">
        <f ca="1">AVERAGE(OFFSET(SPY_Close_Price_PQ[[#This Row],[Close]], 0, 0, $C$1*-1))</f>
        <v>460.95840000000004</v>
      </c>
      <c r="D808" s="27">
        <f ca="1">AVERAGE(OFFSET(SPY_Close_Price_PQ[[#This Row],[Close]], 0, 0, $D$1*-1))</f>
        <v>438.58134999999953</v>
      </c>
      <c r="E808" s="28">
        <f t="shared" ca="1" si="12"/>
        <v>0</v>
      </c>
    </row>
    <row r="809" spans="1:5" x14ac:dyDescent="0.4">
      <c r="A809" s="4">
        <v>45309</v>
      </c>
      <c r="B809" s="8">
        <v>476.49</v>
      </c>
      <c r="C809" s="27">
        <f ca="1">AVERAGE(OFFSET(SPY_Close_Price_PQ[[#This Row],[Close]], 0, 0, $C$1*-1))</f>
        <v>461.7944</v>
      </c>
      <c r="D809" s="27">
        <f ca="1">AVERAGE(OFFSET(SPY_Close_Price_PQ[[#This Row],[Close]], 0, 0, $D$1*-1))</f>
        <v>438.91684999999961</v>
      </c>
      <c r="E809" s="28">
        <f t="shared" ca="1" si="12"/>
        <v>0</v>
      </c>
    </row>
    <row r="810" spans="1:5" x14ac:dyDescent="0.4">
      <c r="A810" s="5">
        <v>45310</v>
      </c>
      <c r="B810" s="9">
        <v>482.43</v>
      </c>
      <c r="C810" s="27">
        <f ca="1">AVERAGE(OFFSET(SPY_Close_Price_PQ[[#This Row],[Close]], 0, 0, $C$1*-1))</f>
        <v>462.72920000000011</v>
      </c>
      <c r="D810" s="27">
        <f ca="1">AVERAGE(OFFSET(SPY_Close_Price_PQ[[#This Row],[Close]], 0, 0, $D$1*-1))</f>
        <v>439.2742499999996</v>
      </c>
      <c r="E810" s="28">
        <f t="shared" ca="1" si="12"/>
        <v>0</v>
      </c>
    </row>
    <row r="811" spans="1:5" x14ac:dyDescent="0.4">
      <c r="A811" s="4">
        <v>45313</v>
      </c>
      <c r="B811" s="8">
        <v>483.45</v>
      </c>
      <c r="C811" s="27">
        <f ca="1">AVERAGE(OFFSET(SPY_Close_Price_PQ[[#This Row],[Close]], 0, 0, $C$1*-1))</f>
        <v>463.65960000000013</v>
      </c>
      <c r="D811" s="27">
        <f ca="1">AVERAGE(OFFSET(SPY_Close_Price_PQ[[#This Row],[Close]], 0, 0, $D$1*-1))</f>
        <v>439.64814999999959</v>
      </c>
      <c r="E811" s="28">
        <f t="shared" ca="1" si="12"/>
        <v>0</v>
      </c>
    </row>
    <row r="812" spans="1:5" x14ac:dyDescent="0.4">
      <c r="A812" s="5">
        <v>45314</v>
      </c>
      <c r="B812" s="9">
        <v>484.86</v>
      </c>
      <c r="C812" s="27">
        <f ca="1">AVERAGE(OFFSET(SPY_Close_Price_PQ[[#This Row],[Close]], 0, 0, $C$1*-1))</f>
        <v>464.61180000000007</v>
      </c>
      <c r="D812" s="27">
        <f ca="1">AVERAGE(OFFSET(SPY_Close_Price_PQ[[#This Row],[Close]], 0, 0, $D$1*-1))</f>
        <v>440.03444999999954</v>
      </c>
      <c r="E812" s="28">
        <f t="shared" ca="1" si="12"/>
        <v>0</v>
      </c>
    </row>
    <row r="813" spans="1:5" x14ac:dyDescent="0.4">
      <c r="A813" s="4">
        <v>45315</v>
      </c>
      <c r="B813" s="8">
        <v>485.39</v>
      </c>
      <c r="C813" s="27">
        <f ca="1">AVERAGE(OFFSET(SPY_Close_Price_PQ[[#This Row],[Close]], 0, 0, $C$1*-1))</f>
        <v>465.64279999999997</v>
      </c>
      <c r="D813" s="27">
        <f ca="1">AVERAGE(OFFSET(SPY_Close_Price_PQ[[#This Row],[Close]], 0, 0, $D$1*-1))</f>
        <v>440.41544999999962</v>
      </c>
      <c r="E813" s="28">
        <f t="shared" ca="1" si="12"/>
        <v>0</v>
      </c>
    </row>
    <row r="814" spans="1:5" x14ac:dyDescent="0.4">
      <c r="A814" s="5">
        <v>45316</v>
      </c>
      <c r="B814" s="9">
        <v>488.03</v>
      </c>
      <c r="C814" s="27">
        <f ca="1">AVERAGE(OFFSET(SPY_Close_Price_PQ[[#This Row],[Close]], 0, 0, $C$1*-1))</f>
        <v>466.59120000000001</v>
      </c>
      <c r="D814" s="27">
        <f ca="1">AVERAGE(OFFSET(SPY_Close_Price_PQ[[#This Row],[Close]], 0, 0, $D$1*-1))</f>
        <v>440.80754999999959</v>
      </c>
      <c r="E814" s="28">
        <f t="shared" ca="1" si="12"/>
        <v>0</v>
      </c>
    </row>
    <row r="815" spans="1:5" x14ac:dyDescent="0.4">
      <c r="A815" s="4">
        <v>45317</v>
      </c>
      <c r="B815" s="8">
        <v>487.41</v>
      </c>
      <c r="C815" s="27">
        <f ca="1">AVERAGE(OFFSET(SPY_Close_Price_PQ[[#This Row],[Close]], 0, 0, $C$1*-1))</f>
        <v>467.53560000000004</v>
      </c>
      <c r="D815" s="27">
        <f ca="1">AVERAGE(OFFSET(SPY_Close_Price_PQ[[#This Row],[Close]], 0, 0, $D$1*-1))</f>
        <v>441.19599999999969</v>
      </c>
      <c r="E815" s="28">
        <f t="shared" ca="1" si="12"/>
        <v>0</v>
      </c>
    </row>
    <row r="816" spans="1:5" x14ac:dyDescent="0.4">
      <c r="A816" s="5">
        <v>45320</v>
      </c>
      <c r="B816" s="9">
        <v>491.27</v>
      </c>
      <c r="C816" s="27">
        <f ca="1">AVERAGE(OFFSET(SPY_Close_Price_PQ[[#This Row],[Close]], 0, 0, $C$1*-1))</f>
        <v>468.38640000000015</v>
      </c>
      <c r="D816" s="27">
        <f ca="1">AVERAGE(OFFSET(SPY_Close_Price_PQ[[#This Row],[Close]], 0, 0, $D$1*-1))</f>
        <v>441.61209999999971</v>
      </c>
      <c r="E816" s="28">
        <f t="shared" ca="1" si="12"/>
        <v>0</v>
      </c>
    </row>
    <row r="817" spans="1:5" x14ac:dyDescent="0.4">
      <c r="A817" s="4">
        <v>45321</v>
      </c>
      <c r="B817" s="8">
        <v>490.89</v>
      </c>
      <c r="C817" s="27">
        <f ca="1">AVERAGE(OFFSET(SPY_Close_Price_PQ[[#This Row],[Close]], 0, 0, $C$1*-1))</f>
        <v>469.21060000000006</v>
      </c>
      <c r="D817" s="27">
        <f ca="1">AVERAGE(OFFSET(SPY_Close_Price_PQ[[#This Row],[Close]], 0, 0, $D$1*-1))</f>
        <v>441.99919999999975</v>
      </c>
      <c r="E817" s="28">
        <f t="shared" ca="1" si="12"/>
        <v>0</v>
      </c>
    </row>
    <row r="818" spans="1:5" x14ac:dyDescent="0.4">
      <c r="A818" s="5">
        <v>45322</v>
      </c>
      <c r="B818" s="9">
        <v>482.88</v>
      </c>
      <c r="C818" s="27">
        <f ca="1">AVERAGE(OFFSET(SPY_Close_Price_PQ[[#This Row],[Close]], 0, 0, $C$1*-1))</f>
        <v>469.86360000000008</v>
      </c>
      <c r="D818" s="27">
        <f ca="1">AVERAGE(OFFSET(SPY_Close_Price_PQ[[#This Row],[Close]], 0, 0, $D$1*-1))</f>
        <v>442.35129999999981</v>
      </c>
      <c r="E818" s="28">
        <f t="shared" ca="1" si="12"/>
        <v>0</v>
      </c>
    </row>
    <row r="819" spans="1:5" x14ac:dyDescent="0.4">
      <c r="A819" s="4">
        <v>45323</v>
      </c>
      <c r="B819" s="8">
        <v>489.2</v>
      </c>
      <c r="C819" s="27">
        <f ca="1">AVERAGE(OFFSET(SPY_Close_Price_PQ[[#This Row],[Close]], 0, 0, $C$1*-1))</f>
        <v>470.63180000000006</v>
      </c>
      <c r="D819" s="27">
        <f ca="1">AVERAGE(OFFSET(SPY_Close_Price_PQ[[#This Row],[Close]], 0, 0, $D$1*-1))</f>
        <v>442.72759999999988</v>
      </c>
      <c r="E819" s="28">
        <f t="shared" ca="1" si="12"/>
        <v>0</v>
      </c>
    </row>
    <row r="820" spans="1:5" x14ac:dyDescent="0.4">
      <c r="A820" s="5">
        <v>45324</v>
      </c>
      <c r="B820" s="9">
        <v>494.35</v>
      </c>
      <c r="C820" s="27">
        <f ca="1">AVERAGE(OFFSET(SPY_Close_Price_PQ[[#This Row],[Close]], 0, 0, $C$1*-1))</f>
        <v>471.43360000000007</v>
      </c>
      <c r="D820" s="27">
        <f ca="1">AVERAGE(OFFSET(SPY_Close_Price_PQ[[#This Row],[Close]], 0, 0, $D$1*-1))</f>
        <v>443.1282999999998</v>
      </c>
      <c r="E820" s="28">
        <f t="shared" ca="1" si="12"/>
        <v>0</v>
      </c>
    </row>
    <row r="821" spans="1:5" x14ac:dyDescent="0.4">
      <c r="A821" s="4">
        <v>45327</v>
      </c>
      <c r="B821" s="8">
        <v>492.55</v>
      </c>
      <c r="C821" s="27">
        <f ca="1">AVERAGE(OFFSET(SPY_Close_Price_PQ[[#This Row],[Close]], 0, 0, $C$1*-1))</f>
        <v>472.21920000000006</v>
      </c>
      <c r="D821" s="27">
        <f ca="1">AVERAGE(OFFSET(SPY_Close_Price_PQ[[#This Row],[Close]], 0, 0, $D$1*-1))</f>
        <v>443.52034999999984</v>
      </c>
      <c r="E821" s="28">
        <f t="shared" ca="1" si="12"/>
        <v>0</v>
      </c>
    </row>
    <row r="822" spans="1:5" x14ac:dyDescent="0.4">
      <c r="A822" s="5">
        <v>45328</v>
      </c>
      <c r="B822" s="9">
        <v>493.98</v>
      </c>
      <c r="C822" s="27">
        <f ca="1">AVERAGE(OFFSET(SPY_Close_Price_PQ[[#This Row],[Close]], 0, 0, $C$1*-1))</f>
        <v>472.99840000000006</v>
      </c>
      <c r="D822" s="27">
        <f ca="1">AVERAGE(OFFSET(SPY_Close_Price_PQ[[#This Row],[Close]], 0, 0, $D$1*-1))</f>
        <v>443.93084999999985</v>
      </c>
      <c r="E822" s="28">
        <f t="shared" ca="1" si="12"/>
        <v>0</v>
      </c>
    </row>
    <row r="823" spans="1:5" x14ac:dyDescent="0.4">
      <c r="A823" s="4">
        <v>45329</v>
      </c>
      <c r="B823" s="8">
        <v>498.1</v>
      </c>
      <c r="C823" s="27">
        <f ca="1">AVERAGE(OFFSET(SPY_Close_Price_PQ[[#This Row],[Close]], 0, 0, $C$1*-1))</f>
        <v>473.8544</v>
      </c>
      <c r="D823" s="27">
        <f ca="1">AVERAGE(OFFSET(SPY_Close_Price_PQ[[#This Row],[Close]], 0, 0, $D$1*-1))</f>
        <v>444.36034999999981</v>
      </c>
      <c r="E823" s="28">
        <f t="shared" ca="1" si="12"/>
        <v>0</v>
      </c>
    </row>
    <row r="824" spans="1:5" x14ac:dyDescent="0.4">
      <c r="A824" s="5">
        <v>45330</v>
      </c>
      <c r="B824" s="9">
        <v>498.32</v>
      </c>
      <c r="C824" s="27">
        <f ca="1">AVERAGE(OFFSET(SPY_Close_Price_PQ[[#This Row],[Close]], 0, 0, $C$1*-1))</f>
        <v>474.7312</v>
      </c>
      <c r="D824" s="27">
        <f ca="1">AVERAGE(OFFSET(SPY_Close_Price_PQ[[#This Row],[Close]], 0, 0, $D$1*-1))</f>
        <v>444.78879999999992</v>
      </c>
      <c r="E824" s="28">
        <f t="shared" ca="1" si="12"/>
        <v>0</v>
      </c>
    </row>
    <row r="825" spans="1:5" x14ac:dyDescent="0.4">
      <c r="A825" s="4">
        <v>45331</v>
      </c>
      <c r="B825" s="8">
        <v>501.2</v>
      </c>
      <c r="C825" s="27">
        <f ca="1">AVERAGE(OFFSET(SPY_Close_Price_PQ[[#This Row],[Close]], 0, 0, $C$1*-1))</f>
        <v>475.65659999999997</v>
      </c>
      <c r="D825" s="27">
        <f ca="1">AVERAGE(OFFSET(SPY_Close_Price_PQ[[#This Row],[Close]], 0, 0, $D$1*-1))</f>
        <v>445.26439999999985</v>
      </c>
      <c r="E825" s="28">
        <f t="shared" ca="1" si="12"/>
        <v>0</v>
      </c>
    </row>
    <row r="826" spans="1:5" x14ac:dyDescent="0.4">
      <c r="A826" s="5">
        <v>45334</v>
      </c>
      <c r="B826" s="9">
        <v>500.98</v>
      </c>
      <c r="C826" s="27">
        <f ca="1">AVERAGE(OFFSET(SPY_Close_Price_PQ[[#This Row],[Close]], 0, 0, $C$1*-1))</f>
        <v>476.584</v>
      </c>
      <c r="D826" s="27">
        <f ca="1">AVERAGE(OFFSET(SPY_Close_Price_PQ[[#This Row],[Close]], 0, 0, $D$1*-1))</f>
        <v>445.74749999999995</v>
      </c>
      <c r="E826" s="28">
        <f t="shared" ca="1" si="12"/>
        <v>0</v>
      </c>
    </row>
    <row r="827" spans="1:5" x14ac:dyDescent="0.4">
      <c r="A827" s="4">
        <v>45335</v>
      </c>
      <c r="B827" s="8">
        <v>494.08</v>
      </c>
      <c r="C827" s="27">
        <f ca="1">AVERAGE(OFFSET(SPY_Close_Price_PQ[[#This Row],[Close]], 0, 0, $C$1*-1))</f>
        <v>477.33760000000001</v>
      </c>
      <c r="D827" s="27">
        <f ca="1">AVERAGE(OFFSET(SPY_Close_Price_PQ[[#This Row],[Close]], 0, 0, $D$1*-1))</f>
        <v>446.15584999999993</v>
      </c>
      <c r="E827" s="28">
        <f t="shared" ca="1" si="12"/>
        <v>0</v>
      </c>
    </row>
    <row r="828" spans="1:5" x14ac:dyDescent="0.4">
      <c r="A828" s="5">
        <v>45336</v>
      </c>
      <c r="B828" s="9">
        <v>498.57</v>
      </c>
      <c r="C828" s="27">
        <f ca="1">AVERAGE(OFFSET(SPY_Close_Price_PQ[[#This Row],[Close]], 0, 0, $C$1*-1))</f>
        <v>478.12700000000007</v>
      </c>
      <c r="D828" s="27">
        <f ca="1">AVERAGE(OFFSET(SPY_Close_Price_PQ[[#This Row],[Close]], 0, 0, $D$1*-1))</f>
        <v>446.56904999999989</v>
      </c>
      <c r="E828" s="28">
        <f t="shared" ca="1" si="12"/>
        <v>0</v>
      </c>
    </row>
    <row r="829" spans="1:5" x14ac:dyDescent="0.4">
      <c r="A829" s="4">
        <v>45337</v>
      </c>
      <c r="B829" s="8">
        <v>502.01</v>
      </c>
      <c r="C829" s="27">
        <f ca="1">AVERAGE(OFFSET(SPY_Close_Price_PQ[[#This Row],[Close]], 0, 0, $C$1*-1))</f>
        <v>479.03339999999997</v>
      </c>
      <c r="D829" s="27">
        <f ca="1">AVERAGE(OFFSET(SPY_Close_Price_PQ[[#This Row],[Close]], 0, 0, $D$1*-1))</f>
        <v>447.0015499999999</v>
      </c>
      <c r="E829" s="28">
        <f t="shared" ca="1" si="12"/>
        <v>0</v>
      </c>
    </row>
    <row r="830" spans="1:5" x14ac:dyDescent="0.4">
      <c r="A830" s="5">
        <v>45338</v>
      </c>
      <c r="B830" s="9">
        <v>499.51</v>
      </c>
      <c r="C830" s="27">
        <f ca="1">AVERAGE(OFFSET(SPY_Close_Price_PQ[[#This Row],[Close]], 0, 0, $C$1*-1))</f>
        <v>479.89160000000004</v>
      </c>
      <c r="D830" s="27">
        <f ca="1">AVERAGE(OFFSET(SPY_Close_Price_PQ[[#This Row],[Close]], 0, 0, $D$1*-1))</f>
        <v>447.4448999999999</v>
      </c>
      <c r="E830" s="28">
        <f t="shared" ca="1" si="12"/>
        <v>0</v>
      </c>
    </row>
    <row r="831" spans="1:5" x14ac:dyDescent="0.4">
      <c r="A831" s="4">
        <v>45342</v>
      </c>
      <c r="B831" s="8">
        <v>496.76</v>
      </c>
      <c r="C831" s="27">
        <f ca="1">AVERAGE(OFFSET(SPY_Close_Price_PQ[[#This Row],[Close]], 0, 0, $C$1*-1))</f>
        <v>480.7315999999999</v>
      </c>
      <c r="D831" s="27">
        <f ca="1">AVERAGE(OFFSET(SPY_Close_Price_PQ[[#This Row],[Close]], 0, 0, $D$1*-1))</f>
        <v>447.88859999999988</v>
      </c>
      <c r="E831" s="28">
        <f t="shared" ca="1" si="12"/>
        <v>0</v>
      </c>
    </row>
    <row r="832" spans="1:5" x14ac:dyDescent="0.4">
      <c r="A832" s="5">
        <v>45343</v>
      </c>
      <c r="B832" s="9">
        <v>497.21</v>
      </c>
      <c r="C832" s="27">
        <f ca="1">AVERAGE(OFFSET(SPY_Close_Price_PQ[[#This Row],[Close]], 0, 0, $C$1*-1))</f>
        <v>481.51119999999997</v>
      </c>
      <c r="D832" s="27">
        <f ca="1">AVERAGE(OFFSET(SPY_Close_Price_PQ[[#This Row],[Close]], 0, 0, $D$1*-1))</f>
        <v>448.34899999999993</v>
      </c>
      <c r="E832" s="28">
        <f t="shared" ca="1" si="12"/>
        <v>0</v>
      </c>
    </row>
    <row r="833" spans="1:5" x14ac:dyDescent="0.4">
      <c r="A833" s="4">
        <v>45344</v>
      </c>
      <c r="B833" s="8">
        <v>507.5</v>
      </c>
      <c r="C833" s="27">
        <f ca="1">AVERAGE(OFFSET(SPY_Close_Price_PQ[[#This Row],[Close]], 0, 0, $C$1*-1))</f>
        <v>482.45719999999989</v>
      </c>
      <c r="D833" s="27">
        <f ca="1">AVERAGE(OFFSET(SPY_Close_Price_PQ[[#This Row],[Close]], 0, 0, $D$1*-1))</f>
        <v>448.82335</v>
      </c>
      <c r="E833" s="28">
        <f t="shared" ca="1" si="12"/>
        <v>0</v>
      </c>
    </row>
    <row r="834" spans="1:5" x14ac:dyDescent="0.4">
      <c r="A834" s="5">
        <v>45345</v>
      </c>
      <c r="B834" s="9">
        <v>507.85</v>
      </c>
      <c r="C834" s="27">
        <f ca="1">AVERAGE(OFFSET(SPY_Close_Price_PQ[[#This Row],[Close]], 0, 0, $C$1*-1))</f>
        <v>483.37439999999981</v>
      </c>
      <c r="D834" s="27">
        <f ca="1">AVERAGE(OFFSET(SPY_Close_Price_PQ[[#This Row],[Close]], 0, 0, $D$1*-1))</f>
        <v>449.2989</v>
      </c>
      <c r="E834" s="28">
        <f t="shared" ca="1" si="12"/>
        <v>0</v>
      </c>
    </row>
    <row r="835" spans="1:5" x14ac:dyDescent="0.4">
      <c r="A835" s="4">
        <v>45348</v>
      </c>
      <c r="B835" s="8">
        <v>505.99</v>
      </c>
      <c r="C835" s="27">
        <f ca="1">AVERAGE(OFFSET(SPY_Close_Price_PQ[[#This Row],[Close]], 0, 0, $C$1*-1))</f>
        <v>484.21219999999988</v>
      </c>
      <c r="D835" s="27">
        <f ca="1">AVERAGE(OFFSET(SPY_Close_Price_PQ[[#This Row],[Close]], 0, 0, $D$1*-1))</f>
        <v>449.77420000000001</v>
      </c>
      <c r="E835" s="28">
        <f t="shared" ca="1" si="12"/>
        <v>0</v>
      </c>
    </row>
    <row r="836" spans="1:5" x14ac:dyDescent="0.4">
      <c r="A836" s="5">
        <v>45349</v>
      </c>
      <c r="B836" s="9">
        <v>506.93</v>
      </c>
      <c r="C836" s="27">
        <f ca="1">AVERAGE(OFFSET(SPY_Close_Price_PQ[[#This Row],[Close]], 0, 0, $C$1*-1))</f>
        <v>484.94079999999997</v>
      </c>
      <c r="D836" s="27">
        <f ca="1">AVERAGE(OFFSET(SPY_Close_Price_PQ[[#This Row],[Close]], 0, 0, $D$1*-1))</f>
        <v>450.24459999999993</v>
      </c>
      <c r="E836" s="28">
        <f t="shared" ref="E836:E899" ca="1" si="13">IF(AND(C835&lt;D835,C836&gt;D836),1,0)</f>
        <v>0</v>
      </c>
    </row>
    <row r="837" spans="1:5" x14ac:dyDescent="0.4">
      <c r="A837" s="4">
        <v>45350</v>
      </c>
      <c r="B837" s="8">
        <v>506.26</v>
      </c>
      <c r="C837" s="27">
        <f ca="1">AVERAGE(OFFSET(SPY_Close_Price_PQ[[#This Row],[Close]], 0, 0, $C$1*-1))</f>
        <v>485.62579999999997</v>
      </c>
      <c r="D837" s="27">
        <f ca="1">AVERAGE(OFFSET(SPY_Close_Price_PQ[[#This Row],[Close]], 0, 0, $D$1*-1))</f>
        <v>450.71524999999986</v>
      </c>
      <c r="E837" s="28">
        <f t="shared" ca="1" si="13"/>
        <v>0</v>
      </c>
    </row>
    <row r="838" spans="1:5" x14ac:dyDescent="0.4">
      <c r="A838" s="5">
        <v>45351</v>
      </c>
      <c r="B838" s="9">
        <v>508.08</v>
      </c>
      <c r="C838" s="27">
        <f ca="1">AVERAGE(OFFSET(SPY_Close_Price_PQ[[#This Row],[Close]], 0, 0, $C$1*-1))</f>
        <v>486.40079999999995</v>
      </c>
      <c r="D838" s="27">
        <f ca="1">AVERAGE(OFFSET(SPY_Close_Price_PQ[[#This Row],[Close]], 0, 0, $D$1*-1))</f>
        <v>451.19769999999988</v>
      </c>
      <c r="E838" s="28">
        <f t="shared" ca="1" si="13"/>
        <v>0</v>
      </c>
    </row>
    <row r="839" spans="1:5" x14ac:dyDescent="0.4">
      <c r="A839" s="4">
        <v>45352</v>
      </c>
      <c r="B839" s="8">
        <v>512.85</v>
      </c>
      <c r="C839" s="27">
        <f ca="1">AVERAGE(OFFSET(SPY_Close_Price_PQ[[#This Row],[Close]], 0, 0, $C$1*-1))</f>
        <v>487.21839999999997</v>
      </c>
      <c r="D839" s="27">
        <f ca="1">AVERAGE(OFFSET(SPY_Close_Price_PQ[[#This Row],[Close]], 0, 0, $D$1*-1))</f>
        <v>451.69689999999997</v>
      </c>
      <c r="E839" s="28">
        <f t="shared" ca="1" si="13"/>
        <v>0</v>
      </c>
    </row>
    <row r="840" spans="1:5" x14ac:dyDescent="0.4">
      <c r="A840" s="5">
        <v>45355</v>
      </c>
      <c r="B840" s="9">
        <v>512.29999999999995</v>
      </c>
      <c r="C840" s="27">
        <f ca="1">AVERAGE(OFFSET(SPY_Close_Price_PQ[[#This Row],[Close]], 0, 0, $C$1*-1))</f>
        <v>487.96759999999995</v>
      </c>
      <c r="D840" s="27">
        <f ca="1">AVERAGE(OFFSET(SPY_Close_Price_PQ[[#This Row],[Close]], 0, 0, $D$1*-1))</f>
        <v>452.2071499999999</v>
      </c>
      <c r="E840" s="28">
        <f t="shared" ca="1" si="13"/>
        <v>0</v>
      </c>
    </row>
    <row r="841" spans="1:5" x14ac:dyDescent="0.4">
      <c r="A841" s="4">
        <v>45356</v>
      </c>
      <c r="B841" s="8">
        <v>507.18</v>
      </c>
      <c r="C841" s="27">
        <f ca="1">AVERAGE(OFFSET(SPY_Close_Price_PQ[[#This Row],[Close]], 0, 0, $C$1*-1))</f>
        <v>488.74599999999998</v>
      </c>
      <c r="D841" s="27">
        <f ca="1">AVERAGE(OFFSET(SPY_Close_Price_PQ[[#This Row],[Close]], 0, 0, $D$1*-1))</f>
        <v>452.66689999999988</v>
      </c>
      <c r="E841" s="28">
        <f t="shared" ca="1" si="13"/>
        <v>0</v>
      </c>
    </row>
    <row r="842" spans="1:5" x14ac:dyDescent="0.4">
      <c r="A842" s="5">
        <v>45357</v>
      </c>
      <c r="B842" s="9">
        <v>509.75</v>
      </c>
      <c r="C842" s="27">
        <f ca="1">AVERAGE(OFFSET(SPY_Close_Price_PQ[[#This Row],[Close]], 0, 0, $C$1*-1))</f>
        <v>489.48699999999997</v>
      </c>
      <c r="D842" s="27">
        <f ca="1">AVERAGE(OFFSET(SPY_Close_Price_PQ[[#This Row],[Close]], 0, 0, $D$1*-1))</f>
        <v>453.1194999999999</v>
      </c>
      <c r="E842" s="28">
        <f t="shared" ca="1" si="13"/>
        <v>0</v>
      </c>
    </row>
    <row r="843" spans="1:5" x14ac:dyDescent="0.4">
      <c r="A843" s="4">
        <v>45358</v>
      </c>
      <c r="B843" s="8">
        <v>514.80999999999995</v>
      </c>
      <c r="C843" s="27">
        <f ca="1">AVERAGE(OFFSET(SPY_Close_Price_PQ[[#This Row],[Close]], 0, 0, $C$1*-1))</f>
        <v>490.31019999999995</v>
      </c>
      <c r="D843" s="27">
        <f ca="1">AVERAGE(OFFSET(SPY_Close_Price_PQ[[#This Row],[Close]], 0, 0, $D$1*-1))</f>
        <v>453.60044999999997</v>
      </c>
      <c r="E843" s="28">
        <f t="shared" ca="1" si="13"/>
        <v>0</v>
      </c>
    </row>
    <row r="844" spans="1:5" x14ac:dyDescent="0.4">
      <c r="A844" s="5">
        <v>45359</v>
      </c>
      <c r="B844" s="9">
        <v>511.72</v>
      </c>
      <c r="C844" s="27">
        <f ca="1">AVERAGE(OFFSET(SPY_Close_Price_PQ[[#This Row],[Close]], 0, 0, $C$1*-1))</f>
        <v>491.03159999999991</v>
      </c>
      <c r="D844" s="27">
        <f ca="1">AVERAGE(OFFSET(SPY_Close_Price_PQ[[#This Row],[Close]], 0, 0, $D$1*-1))</f>
        <v>454.06509999999997</v>
      </c>
      <c r="E844" s="28">
        <f t="shared" ca="1" si="13"/>
        <v>0</v>
      </c>
    </row>
    <row r="845" spans="1:5" x14ac:dyDescent="0.4">
      <c r="A845" s="4">
        <v>45362</v>
      </c>
      <c r="B845" s="8">
        <v>511.28</v>
      </c>
      <c r="C845" s="27">
        <f ca="1">AVERAGE(OFFSET(SPY_Close_Price_PQ[[#This Row],[Close]], 0, 0, $C$1*-1))</f>
        <v>491.72699999999992</v>
      </c>
      <c r="D845" s="27">
        <f ca="1">AVERAGE(OFFSET(SPY_Close_Price_PQ[[#This Row],[Close]], 0, 0, $D$1*-1))</f>
        <v>454.55105000000003</v>
      </c>
      <c r="E845" s="28">
        <f t="shared" ca="1" si="13"/>
        <v>0</v>
      </c>
    </row>
    <row r="846" spans="1:5" x14ac:dyDescent="0.4">
      <c r="A846" s="5">
        <v>45363</v>
      </c>
      <c r="B846" s="9">
        <v>516.78</v>
      </c>
      <c r="C846" s="27">
        <f ca="1">AVERAGE(OFFSET(SPY_Close_Price_PQ[[#This Row],[Close]], 0, 0, $C$1*-1))</f>
        <v>492.52879999999988</v>
      </c>
      <c r="D846" s="27">
        <f ca="1">AVERAGE(OFFSET(SPY_Close_Price_PQ[[#This Row],[Close]], 0, 0, $D$1*-1))</f>
        <v>455.07950000000005</v>
      </c>
      <c r="E846" s="28">
        <f t="shared" ca="1" si="13"/>
        <v>0</v>
      </c>
    </row>
    <row r="847" spans="1:5" x14ac:dyDescent="0.4">
      <c r="A847" s="4">
        <v>45364</v>
      </c>
      <c r="B847" s="8">
        <v>515.97</v>
      </c>
      <c r="C847" s="27">
        <f ca="1">AVERAGE(OFFSET(SPY_Close_Price_PQ[[#This Row],[Close]], 0, 0, $C$1*-1))</f>
        <v>493.34199999999998</v>
      </c>
      <c r="D847" s="27">
        <f ca="1">AVERAGE(OFFSET(SPY_Close_Price_PQ[[#This Row],[Close]], 0, 0, $D$1*-1))</f>
        <v>455.5861000000001</v>
      </c>
      <c r="E847" s="28">
        <f t="shared" ca="1" si="13"/>
        <v>0</v>
      </c>
    </row>
    <row r="848" spans="1:5" x14ac:dyDescent="0.4">
      <c r="A848" s="5">
        <v>45365</v>
      </c>
      <c r="B848" s="9">
        <v>514.95000000000005</v>
      </c>
      <c r="C848" s="27">
        <f ca="1">AVERAGE(OFFSET(SPY_Close_Price_PQ[[#This Row],[Close]], 0, 0, $C$1*-1))</f>
        <v>494.18799999999993</v>
      </c>
      <c r="D848" s="27">
        <f ca="1">AVERAGE(OFFSET(SPY_Close_Price_PQ[[#This Row],[Close]], 0, 0, $D$1*-1))</f>
        <v>456.06075000000004</v>
      </c>
      <c r="E848" s="28">
        <f t="shared" ca="1" si="13"/>
        <v>0</v>
      </c>
    </row>
    <row r="849" spans="1:5" x14ac:dyDescent="0.4">
      <c r="A849" s="4">
        <v>45366</v>
      </c>
      <c r="B849" s="8">
        <v>509.83</v>
      </c>
      <c r="C849" s="27">
        <f ca="1">AVERAGE(OFFSET(SPY_Close_Price_PQ[[#This Row],[Close]], 0, 0, $C$1*-1))</f>
        <v>495.00879999999995</v>
      </c>
      <c r="D849" s="27">
        <f ca="1">AVERAGE(OFFSET(SPY_Close_Price_PQ[[#This Row],[Close]], 0, 0, $D$1*-1))</f>
        <v>456.50900000000007</v>
      </c>
      <c r="E849" s="28">
        <f t="shared" ca="1" si="13"/>
        <v>0</v>
      </c>
    </row>
    <row r="850" spans="1:5" x14ac:dyDescent="0.4">
      <c r="A850" s="5">
        <v>45369</v>
      </c>
      <c r="B850" s="9">
        <v>512.86</v>
      </c>
      <c r="C850" s="27">
        <f ca="1">AVERAGE(OFFSET(SPY_Close_Price_PQ[[#This Row],[Close]], 0, 0, $C$1*-1))</f>
        <v>495.92040000000009</v>
      </c>
      <c r="D850" s="27">
        <f ca="1">AVERAGE(OFFSET(SPY_Close_Price_PQ[[#This Row],[Close]], 0, 0, $D$1*-1))</f>
        <v>456.98405000000014</v>
      </c>
      <c r="E850" s="28">
        <f t="shared" ca="1" si="13"/>
        <v>0</v>
      </c>
    </row>
    <row r="851" spans="1:5" x14ac:dyDescent="0.4">
      <c r="A851" s="4">
        <v>45370</v>
      </c>
      <c r="B851" s="8">
        <v>515.71</v>
      </c>
      <c r="C851" s="27">
        <f ca="1">AVERAGE(OFFSET(SPY_Close_Price_PQ[[#This Row],[Close]], 0, 0, $C$1*-1))</f>
        <v>496.87620000000004</v>
      </c>
      <c r="D851" s="27">
        <f ca="1">AVERAGE(OFFSET(SPY_Close_Price_PQ[[#This Row],[Close]], 0, 0, $D$1*-1))</f>
        <v>457.45350000000019</v>
      </c>
      <c r="E851" s="28">
        <f t="shared" ca="1" si="13"/>
        <v>0</v>
      </c>
    </row>
    <row r="852" spans="1:5" x14ac:dyDescent="0.4">
      <c r="A852" s="5">
        <v>45371</v>
      </c>
      <c r="B852" s="9">
        <v>520.48</v>
      </c>
      <c r="C852" s="27">
        <f ca="1">AVERAGE(OFFSET(SPY_Close_Price_PQ[[#This Row],[Close]], 0, 0, $C$1*-1))</f>
        <v>497.79380000000003</v>
      </c>
      <c r="D852" s="27">
        <f ca="1">AVERAGE(OFFSET(SPY_Close_Price_PQ[[#This Row],[Close]], 0, 0, $D$1*-1))</f>
        <v>457.91630000000021</v>
      </c>
      <c r="E852" s="28">
        <f t="shared" ca="1" si="13"/>
        <v>0</v>
      </c>
    </row>
    <row r="853" spans="1:5" x14ac:dyDescent="0.4">
      <c r="A853" s="4">
        <v>45372</v>
      </c>
      <c r="B853" s="8">
        <v>522.20000000000005</v>
      </c>
      <c r="C853" s="27">
        <f ca="1">AVERAGE(OFFSET(SPY_Close_Price_PQ[[#This Row],[Close]], 0, 0, $C$1*-1))</f>
        <v>498.76020000000005</v>
      </c>
      <c r="D853" s="27">
        <f ca="1">AVERAGE(OFFSET(SPY_Close_Price_PQ[[#This Row],[Close]], 0, 0, $D$1*-1))</f>
        <v>458.39180000000016</v>
      </c>
      <c r="E853" s="28">
        <f t="shared" ca="1" si="13"/>
        <v>0</v>
      </c>
    </row>
    <row r="854" spans="1:5" x14ac:dyDescent="0.4">
      <c r="A854" s="5">
        <v>45373</v>
      </c>
      <c r="B854" s="9">
        <v>521.21</v>
      </c>
      <c r="C854" s="27">
        <f ca="1">AVERAGE(OFFSET(SPY_Close_Price_PQ[[#This Row],[Close]], 0, 0, $C$1*-1))</f>
        <v>499.65320000000008</v>
      </c>
      <c r="D854" s="27">
        <f ca="1">AVERAGE(OFFSET(SPY_Close_Price_PQ[[#This Row],[Close]], 0, 0, $D$1*-1))</f>
        <v>458.85770000000019</v>
      </c>
      <c r="E854" s="28">
        <f t="shared" ca="1" si="13"/>
        <v>0</v>
      </c>
    </row>
    <row r="855" spans="1:5" x14ac:dyDescent="0.4">
      <c r="A855" s="4">
        <v>45376</v>
      </c>
      <c r="B855" s="8">
        <v>519.77</v>
      </c>
      <c r="C855" s="27">
        <f ca="1">AVERAGE(OFFSET(SPY_Close_Price_PQ[[#This Row],[Close]], 0, 0, $C$1*-1))</f>
        <v>500.52160000000003</v>
      </c>
      <c r="D855" s="27">
        <f ca="1">AVERAGE(OFFSET(SPY_Close_Price_PQ[[#This Row],[Close]], 0, 0, $D$1*-1))</f>
        <v>459.32380000000018</v>
      </c>
      <c r="E855" s="28">
        <f t="shared" ca="1" si="13"/>
        <v>0</v>
      </c>
    </row>
    <row r="856" spans="1:5" x14ac:dyDescent="0.4">
      <c r="A856" s="5">
        <v>45377</v>
      </c>
      <c r="B856" s="9">
        <v>518.80999999999995</v>
      </c>
      <c r="C856" s="27">
        <f ca="1">AVERAGE(OFFSET(SPY_Close_Price_PQ[[#This Row],[Close]], 0, 0, $C$1*-1))</f>
        <v>501.36420000000015</v>
      </c>
      <c r="D856" s="27">
        <f ca="1">AVERAGE(OFFSET(SPY_Close_Price_PQ[[#This Row],[Close]], 0, 0, $D$1*-1))</f>
        <v>459.77220000000017</v>
      </c>
      <c r="E856" s="28">
        <f t="shared" ca="1" si="13"/>
        <v>0</v>
      </c>
    </row>
    <row r="857" spans="1:5" x14ac:dyDescent="0.4">
      <c r="A857" s="4">
        <v>45378</v>
      </c>
      <c r="B857" s="8">
        <v>523.16999999999996</v>
      </c>
      <c r="C857" s="27">
        <f ca="1">AVERAGE(OFFSET(SPY_Close_Price_PQ[[#This Row],[Close]], 0, 0, $C$1*-1))</f>
        <v>502.32900000000001</v>
      </c>
      <c r="D857" s="27">
        <f ca="1">AVERAGE(OFFSET(SPY_Close_Price_PQ[[#This Row],[Close]], 0, 0, $D$1*-1))</f>
        <v>460.23855000000009</v>
      </c>
      <c r="E857" s="28">
        <f t="shared" ca="1" si="13"/>
        <v>0</v>
      </c>
    </row>
    <row r="858" spans="1:5" x14ac:dyDescent="0.4">
      <c r="A858" s="5">
        <v>45379</v>
      </c>
      <c r="B858" s="9">
        <v>523.07000000000005</v>
      </c>
      <c r="C858" s="27">
        <f ca="1">AVERAGE(OFFSET(SPY_Close_Price_PQ[[#This Row],[Close]], 0, 0, $C$1*-1))</f>
        <v>503.34460000000007</v>
      </c>
      <c r="D858" s="27">
        <f ca="1">AVERAGE(OFFSET(SPY_Close_Price_PQ[[#This Row],[Close]], 0, 0, $D$1*-1))</f>
        <v>460.68490000000014</v>
      </c>
      <c r="E858" s="28">
        <f t="shared" ca="1" si="13"/>
        <v>0</v>
      </c>
    </row>
    <row r="859" spans="1:5" x14ac:dyDescent="0.4">
      <c r="A859" s="4">
        <v>45383</v>
      </c>
      <c r="B859" s="8">
        <v>522.16</v>
      </c>
      <c r="C859" s="27">
        <f ca="1">AVERAGE(OFFSET(SPY_Close_Price_PQ[[#This Row],[Close]], 0, 0, $C$1*-1))</f>
        <v>504.2580000000001</v>
      </c>
      <c r="D859" s="27">
        <f ca="1">AVERAGE(OFFSET(SPY_Close_Price_PQ[[#This Row],[Close]], 0, 0, $D$1*-1))</f>
        <v>461.11240000000015</v>
      </c>
      <c r="E859" s="28">
        <f t="shared" ca="1" si="13"/>
        <v>0</v>
      </c>
    </row>
    <row r="860" spans="1:5" x14ac:dyDescent="0.4">
      <c r="A860" s="5">
        <v>45384</v>
      </c>
      <c r="B860" s="9">
        <v>518.84</v>
      </c>
      <c r="C860" s="27">
        <f ca="1">AVERAGE(OFFSET(SPY_Close_Price_PQ[[#This Row],[Close]], 0, 0, $C$1*-1))</f>
        <v>504.98620000000005</v>
      </c>
      <c r="D860" s="27">
        <f ca="1">AVERAGE(OFFSET(SPY_Close_Price_PQ[[#This Row],[Close]], 0, 0, $D$1*-1))</f>
        <v>461.52070000000015</v>
      </c>
      <c r="E860" s="28">
        <f t="shared" ca="1" si="13"/>
        <v>0</v>
      </c>
    </row>
    <row r="861" spans="1:5" x14ac:dyDescent="0.4">
      <c r="A861" s="4">
        <v>45385</v>
      </c>
      <c r="B861" s="8">
        <v>519.41</v>
      </c>
      <c r="C861" s="27">
        <f ca="1">AVERAGE(OFFSET(SPY_Close_Price_PQ[[#This Row],[Close]], 0, 0, $C$1*-1))</f>
        <v>505.7054</v>
      </c>
      <c r="D861" s="27">
        <f ca="1">AVERAGE(OFFSET(SPY_Close_Price_PQ[[#This Row],[Close]], 0, 0, $D$1*-1))</f>
        <v>461.90475000000021</v>
      </c>
      <c r="E861" s="28">
        <f t="shared" ca="1" si="13"/>
        <v>0</v>
      </c>
    </row>
    <row r="862" spans="1:5" x14ac:dyDescent="0.4">
      <c r="A862" s="5">
        <v>45386</v>
      </c>
      <c r="B862" s="9">
        <v>513.07000000000005</v>
      </c>
      <c r="C862" s="27">
        <f ca="1">AVERAGE(OFFSET(SPY_Close_Price_PQ[[#This Row],[Close]], 0, 0, $C$1*-1))</f>
        <v>506.26959999999997</v>
      </c>
      <c r="D862" s="27">
        <f ca="1">AVERAGE(OFFSET(SPY_Close_Price_PQ[[#This Row],[Close]], 0, 0, $D$1*-1))</f>
        <v>462.2728000000003</v>
      </c>
      <c r="E862" s="28">
        <f t="shared" ca="1" si="13"/>
        <v>0</v>
      </c>
    </row>
    <row r="863" spans="1:5" x14ac:dyDescent="0.4">
      <c r="A863" s="4">
        <v>45387</v>
      </c>
      <c r="B863" s="8">
        <v>518.42999999999995</v>
      </c>
      <c r="C863" s="27">
        <f ca="1">AVERAGE(OFFSET(SPY_Close_Price_PQ[[#This Row],[Close]], 0, 0, $C$1*-1))</f>
        <v>506.93040000000002</v>
      </c>
      <c r="D863" s="27">
        <f ca="1">AVERAGE(OFFSET(SPY_Close_Price_PQ[[#This Row],[Close]], 0, 0, $D$1*-1))</f>
        <v>462.67905000000019</v>
      </c>
      <c r="E863" s="28">
        <f t="shared" ca="1" si="13"/>
        <v>0</v>
      </c>
    </row>
    <row r="864" spans="1:5" x14ac:dyDescent="0.4">
      <c r="A864" s="5">
        <v>45390</v>
      </c>
      <c r="B864" s="9">
        <v>518.72</v>
      </c>
      <c r="C864" s="27">
        <f ca="1">AVERAGE(OFFSET(SPY_Close_Price_PQ[[#This Row],[Close]], 0, 0, $C$1*-1))</f>
        <v>507.54420000000005</v>
      </c>
      <c r="D864" s="27">
        <f ca="1">AVERAGE(OFFSET(SPY_Close_Price_PQ[[#This Row],[Close]], 0, 0, $D$1*-1))</f>
        <v>463.0979500000002</v>
      </c>
      <c r="E864" s="28">
        <f t="shared" ca="1" si="13"/>
        <v>0</v>
      </c>
    </row>
    <row r="865" spans="1:5" x14ac:dyDescent="0.4">
      <c r="A865" s="4">
        <v>45391</v>
      </c>
      <c r="B865" s="8">
        <v>519.32000000000005</v>
      </c>
      <c r="C865" s="27">
        <f ca="1">AVERAGE(OFFSET(SPY_Close_Price_PQ[[#This Row],[Close]], 0, 0, $C$1*-1))</f>
        <v>508.18239999999997</v>
      </c>
      <c r="D865" s="27">
        <f ca="1">AVERAGE(OFFSET(SPY_Close_Price_PQ[[#This Row],[Close]], 0, 0, $D$1*-1))</f>
        <v>463.51200000000028</v>
      </c>
      <c r="E865" s="28">
        <f t="shared" ca="1" si="13"/>
        <v>0</v>
      </c>
    </row>
    <row r="866" spans="1:5" x14ac:dyDescent="0.4">
      <c r="A866" s="5">
        <v>45392</v>
      </c>
      <c r="B866" s="9">
        <v>514.12</v>
      </c>
      <c r="C866" s="27">
        <f ca="1">AVERAGE(OFFSET(SPY_Close_Price_PQ[[#This Row],[Close]], 0, 0, $C$1*-1))</f>
        <v>508.63940000000002</v>
      </c>
      <c r="D866" s="27">
        <f ca="1">AVERAGE(OFFSET(SPY_Close_Price_PQ[[#This Row],[Close]], 0, 0, $D$1*-1))</f>
        <v>463.91655000000026</v>
      </c>
      <c r="E866" s="28">
        <f t="shared" ca="1" si="13"/>
        <v>0</v>
      </c>
    </row>
    <row r="867" spans="1:5" x14ac:dyDescent="0.4">
      <c r="A867" s="4">
        <v>45393</v>
      </c>
      <c r="B867" s="8">
        <v>518</v>
      </c>
      <c r="C867" s="27">
        <f ca="1">AVERAGE(OFFSET(SPY_Close_Price_PQ[[#This Row],[Close]], 0, 0, $C$1*-1))</f>
        <v>509.18159999999995</v>
      </c>
      <c r="D867" s="27">
        <f ca="1">AVERAGE(OFFSET(SPY_Close_Price_PQ[[#This Row],[Close]], 0, 0, $D$1*-1))</f>
        <v>464.34935000000024</v>
      </c>
      <c r="E867" s="28">
        <f t="shared" ca="1" si="13"/>
        <v>0</v>
      </c>
    </row>
    <row r="868" spans="1:5" x14ac:dyDescent="0.4">
      <c r="A868" s="5">
        <v>45394</v>
      </c>
      <c r="B868" s="9">
        <v>510.85</v>
      </c>
      <c r="C868" s="27">
        <f ca="1">AVERAGE(OFFSET(SPY_Close_Price_PQ[[#This Row],[Close]], 0, 0, $C$1*-1))</f>
        <v>509.74099999999999</v>
      </c>
      <c r="D868" s="27">
        <f ca="1">AVERAGE(OFFSET(SPY_Close_Price_PQ[[#This Row],[Close]], 0, 0, $D$1*-1))</f>
        <v>464.72275000000025</v>
      </c>
      <c r="E868" s="28">
        <f t="shared" ca="1" si="13"/>
        <v>0</v>
      </c>
    </row>
    <row r="869" spans="1:5" x14ac:dyDescent="0.4">
      <c r="A869" s="4">
        <v>45397</v>
      </c>
      <c r="B869" s="8">
        <v>504.45</v>
      </c>
      <c r="C869" s="27">
        <f ca="1">AVERAGE(OFFSET(SPY_Close_Price_PQ[[#This Row],[Close]], 0, 0, $C$1*-1))</f>
        <v>510.04599999999999</v>
      </c>
      <c r="D869" s="27">
        <f ca="1">AVERAGE(OFFSET(SPY_Close_Price_PQ[[#This Row],[Close]], 0, 0, $D$1*-1))</f>
        <v>465.0630500000002</v>
      </c>
      <c r="E869" s="28">
        <f t="shared" ca="1" si="13"/>
        <v>0</v>
      </c>
    </row>
    <row r="870" spans="1:5" x14ac:dyDescent="0.4">
      <c r="A870" s="5">
        <v>45398</v>
      </c>
      <c r="B870" s="9">
        <v>503.53</v>
      </c>
      <c r="C870" s="27">
        <f ca="1">AVERAGE(OFFSET(SPY_Close_Price_PQ[[#This Row],[Close]], 0, 0, $C$1*-1))</f>
        <v>510.2296</v>
      </c>
      <c r="D870" s="27">
        <f ca="1">AVERAGE(OFFSET(SPY_Close_Price_PQ[[#This Row],[Close]], 0, 0, $D$1*-1))</f>
        <v>465.39015000000023</v>
      </c>
      <c r="E870" s="28">
        <f t="shared" ca="1" si="13"/>
        <v>0</v>
      </c>
    </row>
    <row r="871" spans="1:5" x14ac:dyDescent="0.4">
      <c r="A871" s="4">
        <v>45399</v>
      </c>
      <c r="B871" s="8">
        <v>500.55</v>
      </c>
      <c r="C871" s="27">
        <f ca="1">AVERAGE(OFFSET(SPY_Close_Price_PQ[[#This Row],[Close]], 0, 0, $C$1*-1))</f>
        <v>510.38959999999997</v>
      </c>
      <c r="D871" s="27">
        <f ca="1">AVERAGE(OFFSET(SPY_Close_Price_PQ[[#This Row],[Close]], 0, 0, $D$1*-1))</f>
        <v>465.67650000000026</v>
      </c>
      <c r="E871" s="28">
        <f t="shared" ca="1" si="13"/>
        <v>0</v>
      </c>
    </row>
    <row r="872" spans="1:5" x14ac:dyDescent="0.4">
      <c r="A872" s="5">
        <v>45400</v>
      </c>
      <c r="B872" s="9">
        <v>499.52</v>
      </c>
      <c r="C872" s="27">
        <f ca="1">AVERAGE(OFFSET(SPY_Close_Price_PQ[[#This Row],[Close]], 0, 0, $C$1*-1))</f>
        <v>510.50039999999996</v>
      </c>
      <c r="D872" s="27">
        <f ca="1">AVERAGE(OFFSET(SPY_Close_Price_PQ[[#This Row],[Close]], 0, 0, $D$1*-1))</f>
        <v>465.95515000000023</v>
      </c>
      <c r="E872" s="28">
        <f t="shared" ca="1" si="13"/>
        <v>0</v>
      </c>
    </row>
    <row r="873" spans="1:5" x14ac:dyDescent="0.4">
      <c r="A873" s="4">
        <v>45401</v>
      </c>
      <c r="B873" s="8">
        <v>495.16</v>
      </c>
      <c r="C873" s="27">
        <f ca="1">AVERAGE(OFFSET(SPY_Close_Price_PQ[[#This Row],[Close]], 0, 0, $C$1*-1))</f>
        <v>510.44159999999994</v>
      </c>
      <c r="D873" s="27">
        <f ca="1">AVERAGE(OFFSET(SPY_Close_Price_PQ[[#This Row],[Close]], 0, 0, $D$1*-1))</f>
        <v>466.21530000000018</v>
      </c>
      <c r="E873" s="28">
        <f t="shared" ca="1" si="13"/>
        <v>0</v>
      </c>
    </row>
    <row r="874" spans="1:5" x14ac:dyDescent="0.4">
      <c r="A874" s="5">
        <v>45404</v>
      </c>
      <c r="B874" s="9">
        <v>499.72</v>
      </c>
      <c r="C874" s="27">
        <f ca="1">AVERAGE(OFFSET(SPY_Close_Price_PQ[[#This Row],[Close]], 0, 0, $C$1*-1))</f>
        <v>510.46960000000001</v>
      </c>
      <c r="D874" s="27">
        <f ca="1">AVERAGE(OFFSET(SPY_Close_Price_PQ[[#This Row],[Close]], 0, 0, $D$1*-1))</f>
        <v>466.51560000000018</v>
      </c>
      <c r="E874" s="28">
        <f t="shared" ca="1" si="13"/>
        <v>0</v>
      </c>
    </row>
    <row r="875" spans="1:5" x14ac:dyDescent="0.4">
      <c r="A875" s="4">
        <v>45405</v>
      </c>
      <c r="B875" s="8">
        <v>505.65</v>
      </c>
      <c r="C875" s="27">
        <f ca="1">AVERAGE(OFFSET(SPY_Close_Price_PQ[[#This Row],[Close]], 0, 0, $C$1*-1))</f>
        <v>510.55860000000001</v>
      </c>
      <c r="D875" s="27">
        <f ca="1">AVERAGE(OFFSET(SPY_Close_Price_PQ[[#This Row],[Close]], 0, 0, $D$1*-1))</f>
        <v>466.85110000000014</v>
      </c>
      <c r="E875" s="28">
        <f t="shared" ca="1" si="13"/>
        <v>0</v>
      </c>
    </row>
    <row r="876" spans="1:5" x14ac:dyDescent="0.4">
      <c r="A876" s="5">
        <v>45406</v>
      </c>
      <c r="B876" s="9">
        <v>505.41</v>
      </c>
      <c r="C876" s="27">
        <f ca="1">AVERAGE(OFFSET(SPY_Close_Price_PQ[[#This Row],[Close]], 0, 0, $C$1*-1))</f>
        <v>510.6472</v>
      </c>
      <c r="D876" s="27">
        <f ca="1">AVERAGE(OFFSET(SPY_Close_Price_PQ[[#This Row],[Close]], 0, 0, $D$1*-1))</f>
        <v>467.17985000000022</v>
      </c>
      <c r="E876" s="28">
        <f t="shared" ca="1" si="13"/>
        <v>0</v>
      </c>
    </row>
    <row r="877" spans="1:5" x14ac:dyDescent="0.4">
      <c r="A877" s="4">
        <v>45407</v>
      </c>
      <c r="B877" s="8">
        <v>503.49</v>
      </c>
      <c r="C877" s="27">
        <f ca="1">AVERAGE(OFFSET(SPY_Close_Price_PQ[[#This Row],[Close]], 0, 0, $C$1*-1))</f>
        <v>510.83540000000011</v>
      </c>
      <c r="D877" s="27">
        <f ca="1">AVERAGE(OFFSET(SPY_Close_Price_PQ[[#This Row],[Close]], 0, 0, $D$1*-1))</f>
        <v>467.48500000000024</v>
      </c>
      <c r="E877" s="28">
        <f t="shared" ca="1" si="13"/>
        <v>0</v>
      </c>
    </row>
    <row r="878" spans="1:5" x14ac:dyDescent="0.4">
      <c r="A878" s="5">
        <v>45408</v>
      </c>
      <c r="B878" s="9">
        <v>508.26</v>
      </c>
      <c r="C878" s="27">
        <f ca="1">AVERAGE(OFFSET(SPY_Close_Price_PQ[[#This Row],[Close]], 0, 0, $C$1*-1))</f>
        <v>511.0292</v>
      </c>
      <c r="D878" s="27">
        <f ca="1">AVERAGE(OFFSET(SPY_Close_Price_PQ[[#This Row],[Close]], 0, 0, $D$1*-1))</f>
        <v>467.79620000000017</v>
      </c>
      <c r="E878" s="28">
        <f t="shared" ca="1" si="13"/>
        <v>0</v>
      </c>
    </row>
    <row r="879" spans="1:5" x14ac:dyDescent="0.4">
      <c r="A879" s="4">
        <v>45411</v>
      </c>
      <c r="B879" s="8">
        <v>510.06</v>
      </c>
      <c r="C879" s="27">
        <f ca="1">AVERAGE(OFFSET(SPY_Close_Price_PQ[[#This Row],[Close]], 0, 0, $C$1*-1))</f>
        <v>511.19020000000006</v>
      </c>
      <c r="D879" s="27">
        <f ca="1">AVERAGE(OFFSET(SPY_Close_Price_PQ[[#This Row],[Close]], 0, 0, $D$1*-1))</f>
        <v>468.09870000000012</v>
      </c>
      <c r="E879" s="28">
        <f t="shared" ca="1" si="13"/>
        <v>0</v>
      </c>
    </row>
    <row r="880" spans="1:5" x14ac:dyDescent="0.4">
      <c r="A880" s="5">
        <v>45412</v>
      </c>
      <c r="B880" s="9">
        <v>501.98</v>
      </c>
      <c r="C880" s="27">
        <f ca="1">AVERAGE(OFFSET(SPY_Close_Price_PQ[[#This Row],[Close]], 0, 0, $C$1*-1))</f>
        <v>511.23960000000005</v>
      </c>
      <c r="D880" s="27">
        <f ca="1">AVERAGE(OFFSET(SPY_Close_Price_PQ[[#This Row],[Close]], 0, 0, $D$1*-1))</f>
        <v>468.36220000000014</v>
      </c>
      <c r="E880" s="28">
        <f t="shared" ca="1" si="13"/>
        <v>0</v>
      </c>
    </row>
    <row r="881" spans="1:5" x14ac:dyDescent="0.4">
      <c r="A881" s="4">
        <v>45413</v>
      </c>
      <c r="B881" s="8">
        <v>500.35</v>
      </c>
      <c r="C881" s="27">
        <f ca="1">AVERAGE(OFFSET(SPY_Close_Price_PQ[[#This Row],[Close]], 0, 0, $C$1*-1))</f>
        <v>511.31139999999999</v>
      </c>
      <c r="D881" s="27">
        <f ca="1">AVERAGE(OFFSET(SPY_Close_Price_PQ[[#This Row],[Close]], 0, 0, $D$1*-1))</f>
        <v>468.60975000000019</v>
      </c>
      <c r="E881" s="28">
        <f t="shared" ca="1" si="13"/>
        <v>0</v>
      </c>
    </row>
    <row r="882" spans="1:5" x14ac:dyDescent="0.4">
      <c r="A882" s="5">
        <v>45414</v>
      </c>
      <c r="B882" s="9">
        <v>505.03</v>
      </c>
      <c r="C882" s="27">
        <f ca="1">AVERAGE(OFFSET(SPY_Close_Price_PQ[[#This Row],[Close]], 0, 0, $C$1*-1))</f>
        <v>511.46780000000001</v>
      </c>
      <c r="D882" s="27">
        <f ca="1">AVERAGE(OFFSET(SPY_Close_Price_PQ[[#This Row],[Close]], 0, 0, $D$1*-1))</f>
        <v>468.86395000000016</v>
      </c>
      <c r="E882" s="28">
        <f t="shared" ca="1" si="13"/>
        <v>0</v>
      </c>
    </row>
    <row r="883" spans="1:5" x14ac:dyDescent="0.4">
      <c r="A883" s="4">
        <v>45415</v>
      </c>
      <c r="B883" s="8">
        <v>511.29</v>
      </c>
      <c r="C883" s="27">
        <f ca="1">AVERAGE(OFFSET(SPY_Close_Price_PQ[[#This Row],[Close]], 0, 0, $C$1*-1))</f>
        <v>511.54359999999991</v>
      </c>
      <c r="D883" s="27">
        <f ca="1">AVERAGE(OFFSET(SPY_Close_Price_PQ[[#This Row],[Close]], 0, 0, $D$1*-1))</f>
        <v>469.14440000000008</v>
      </c>
      <c r="E883" s="28">
        <f t="shared" ca="1" si="13"/>
        <v>0</v>
      </c>
    </row>
    <row r="884" spans="1:5" x14ac:dyDescent="0.4">
      <c r="A884" s="5">
        <v>45418</v>
      </c>
      <c r="B884" s="9">
        <v>516.57000000000005</v>
      </c>
      <c r="C884" s="27">
        <f ca="1">AVERAGE(OFFSET(SPY_Close_Price_PQ[[#This Row],[Close]], 0, 0, $C$1*-1))</f>
        <v>511.71799999999996</v>
      </c>
      <c r="D884" s="27">
        <f ca="1">AVERAGE(OFFSET(SPY_Close_Price_PQ[[#This Row],[Close]], 0, 0, $D$1*-1))</f>
        <v>469.46635000000009</v>
      </c>
      <c r="E884" s="28">
        <f t="shared" ca="1" si="13"/>
        <v>0</v>
      </c>
    </row>
    <row r="885" spans="1:5" x14ac:dyDescent="0.4">
      <c r="A885" s="4">
        <v>45419</v>
      </c>
      <c r="B885" s="8">
        <v>517.14</v>
      </c>
      <c r="C885" s="27">
        <f ca="1">AVERAGE(OFFSET(SPY_Close_Price_PQ[[#This Row],[Close]], 0, 0, $C$1*-1))</f>
        <v>511.94099999999997</v>
      </c>
      <c r="D885" s="27">
        <f ca="1">AVERAGE(OFFSET(SPY_Close_Price_PQ[[#This Row],[Close]], 0, 0, $D$1*-1))</f>
        <v>469.79115000000013</v>
      </c>
      <c r="E885" s="28">
        <f t="shared" ca="1" si="13"/>
        <v>0</v>
      </c>
    </row>
    <row r="886" spans="1:5" x14ac:dyDescent="0.4">
      <c r="A886" s="5">
        <v>45420</v>
      </c>
      <c r="B886" s="9">
        <v>517.19000000000005</v>
      </c>
      <c r="C886" s="27">
        <f ca="1">AVERAGE(OFFSET(SPY_Close_Price_PQ[[#This Row],[Close]], 0, 0, $C$1*-1))</f>
        <v>512.14619999999991</v>
      </c>
      <c r="D886" s="27">
        <f ca="1">AVERAGE(OFFSET(SPY_Close_Price_PQ[[#This Row],[Close]], 0, 0, $D$1*-1))</f>
        <v>470.10610000000014</v>
      </c>
      <c r="E886" s="28">
        <f t="shared" ca="1" si="13"/>
        <v>0</v>
      </c>
    </row>
    <row r="887" spans="1:5" x14ac:dyDescent="0.4">
      <c r="A887" s="4">
        <v>45421</v>
      </c>
      <c r="B887" s="8">
        <v>520.16999999999996</v>
      </c>
      <c r="C887" s="27">
        <f ca="1">AVERAGE(OFFSET(SPY_Close_Price_PQ[[#This Row],[Close]], 0, 0, $C$1*-1))</f>
        <v>512.42439999999988</v>
      </c>
      <c r="D887" s="27">
        <f ca="1">AVERAGE(OFFSET(SPY_Close_Price_PQ[[#This Row],[Close]], 0, 0, $D$1*-1))</f>
        <v>470.42975000000018</v>
      </c>
      <c r="E887" s="28">
        <f t="shared" ca="1" si="13"/>
        <v>0</v>
      </c>
    </row>
    <row r="888" spans="1:5" x14ac:dyDescent="0.4">
      <c r="A888" s="5">
        <v>45422</v>
      </c>
      <c r="B888" s="9">
        <v>520.84</v>
      </c>
      <c r="C888" s="27">
        <f ca="1">AVERAGE(OFFSET(SPY_Close_Price_PQ[[#This Row],[Close]], 0, 0, $C$1*-1))</f>
        <v>512.67959999999994</v>
      </c>
      <c r="D888" s="27">
        <f ca="1">AVERAGE(OFFSET(SPY_Close_Price_PQ[[#This Row],[Close]], 0, 0, $D$1*-1))</f>
        <v>470.75640000000016</v>
      </c>
      <c r="E888" s="28">
        <f t="shared" ca="1" si="13"/>
        <v>0</v>
      </c>
    </row>
    <row r="889" spans="1:5" x14ac:dyDescent="0.4">
      <c r="A889" s="4">
        <v>45425</v>
      </c>
      <c r="B889" s="8">
        <v>520.91</v>
      </c>
      <c r="C889" s="27">
        <f ca="1">AVERAGE(OFFSET(SPY_Close_Price_PQ[[#This Row],[Close]], 0, 0, $C$1*-1))</f>
        <v>512.84079999999994</v>
      </c>
      <c r="D889" s="27">
        <f ca="1">AVERAGE(OFFSET(SPY_Close_Price_PQ[[#This Row],[Close]], 0, 0, $D$1*-1))</f>
        <v>471.09850000000012</v>
      </c>
      <c r="E889" s="28">
        <f t="shared" ca="1" si="13"/>
        <v>0</v>
      </c>
    </row>
    <row r="890" spans="1:5" x14ac:dyDescent="0.4">
      <c r="A890" s="5">
        <v>45426</v>
      </c>
      <c r="B890" s="9">
        <v>523.29999999999995</v>
      </c>
      <c r="C890" s="27">
        <f ca="1">AVERAGE(OFFSET(SPY_Close_Price_PQ[[#This Row],[Close]], 0, 0, $C$1*-1))</f>
        <v>513.06079999999997</v>
      </c>
      <c r="D890" s="27">
        <f ca="1">AVERAGE(OFFSET(SPY_Close_Price_PQ[[#This Row],[Close]], 0, 0, $D$1*-1))</f>
        <v>471.43040000000013</v>
      </c>
      <c r="E890" s="28">
        <f t="shared" ca="1" si="13"/>
        <v>0</v>
      </c>
    </row>
    <row r="891" spans="1:5" x14ac:dyDescent="0.4">
      <c r="A891" s="4">
        <v>45427</v>
      </c>
      <c r="B891" s="8">
        <v>529.78</v>
      </c>
      <c r="C891" s="27">
        <f ca="1">AVERAGE(OFFSET(SPY_Close_Price_PQ[[#This Row],[Close]], 0, 0, $C$1*-1))</f>
        <v>513.51279999999997</v>
      </c>
      <c r="D891" s="27">
        <f ca="1">AVERAGE(OFFSET(SPY_Close_Price_PQ[[#This Row],[Close]], 0, 0, $D$1*-1))</f>
        <v>471.7903500000001</v>
      </c>
      <c r="E891" s="28">
        <f t="shared" ca="1" si="13"/>
        <v>0</v>
      </c>
    </row>
    <row r="892" spans="1:5" x14ac:dyDescent="0.4">
      <c r="A892" s="5">
        <v>45428</v>
      </c>
      <c r="B892" s="9">
        <v>528.69000000000005</v>
      </c>
      <c r="C892" s="27">
        <f ca="1">AVERAGE(OFFSET(SPY_Close_Price_PQ[[#This Row],[Close]], 0, 0, $C$1*-1))</f>
        <v>513.89159999999993</v>
      </c>
      <c r="D892" s="27">
        <f ca="1">AVERAGE(OFFSET(SPY_Close_Price_PQ[[#This Row],[Close]], 0, 0, $D$1*-1))</f>
        <v>472.15140000000014</v>
      </c>
      <c r="E892" s="28">
        <f t="shared" ca="1" si="13"/>
        <v>0</v>
      </c>
    </row>
    <row r="893" spans="1:5" x14ac:dyDescent="0.4">
      <c r="A893" s="4">
        <v>45429</v>
      </c>
      <c r="B893" s="8">
        <v>529.45000000000005</v>
      </c>
      <c r="C893" s="27">
        <f ca="1">AVERAGE(OFFSET(SPY_Close_Price_PQ[[#This Row],[Close]], 0, 0, $C$1*-1))</f>
        <v>514.18439999999987</v>
      </c>
      <c r="D893" s="27">
        <f ca="1">AVERAGE(OFFSET(SPY_Close_Price_PQ[[#This Row],[Close]], 0, 0, $D$1*-1))</f>
        <v>472.54800000000012</v>
      </c>
      <c r="E893" s="28">
        <f t="shared" ca="1" si="13"/>
        <v>0</v>
      </c>
    </row>
    <row r="894" spans="1:5" x14ac:dyDescent="0.4">
      <c r="A894" s="5">
        <v>45432</v>
      </c>
      <c r="B894" s="9">
        <v>530.05999999999995</v>
      </c>
      <c r="C894" s="27">
        <f ca="1">AVERAGE(OFFSET(SPY_Close_Price_PQ[[#This Row],[Close]], 0, 0, $C$1*-1))</f>
        <v>514.55119999999988</v>
      </c>
      <c r="D894" s="27">
        <f ca="1">AVERAGE(OFFSET(SPY_Close_Price_PQ[[#This Row],[Close]], 0, 0, $D$1*-1))</f>
        <v>472.9541000000001</v>
      </c>
      <c r="E894" s="28">
        <f t="shared" ca="1" si="13"/>
        <v>0</v>
      </c>
    </row>
    <row r="895" spans="1:5" x14ac:dyDescent="0.4">
      <c r="A895" s="4">
        <v>45433</v>
      </c>
      <c r="B895" s="8">
        <v>531.36</v>
      </c>
      <c r="C895" s="27">
        <f ca="1">AVERAGE(OFFSET(SPY_Close_Price_PQ[[#This Row],[Close]], 0, 0, $C$1*-1))</f>
        <v>514.9527999999998</v>
      </c>
      <c r="D895" s="27">
        <f ca="1">AVERAGE(OFFSET(SPY_Close_Price_PQ[[#This Row],[Close]], 0, 0, $D$1*-1))</f>
        <v>473.3768500000001</v>
      </c>
      <c r="E895" s="28">
        <f t="shared" ca="1" si="13"/>
        <v>0</v>
      </c>
    </row>
    <row r="896" spans="1:5" x14ac:dyDescent="0.4">
      <c r="A896" s="5">
        <v>45434</v>
      </c>
      <c r="B896" s="9">
        <v>529.83000000000004</v>
      </c>
      <c r="C896" s="27">
        <f ca="1">AVERAGE(OFFSET(SPY_Close_Price_PQ[[#This Row],[Close]], 0, 0, $C$1*-1))</f>
        <v>515.21379999999988</v>
      </c>
      <c r="D896" s="27">
        <f ca="1">AVERAGE(OFFSET(SPY_Close_Price_PQ[[#This Row],[Close]], 0, 0, $D$1*-1))</f>
        <v>473.77245000000011</v>
      </c>
      <c r="E896" s="28">
        <f t="shared" ca="1" si="13"/>
        <v>0</v>
      </c>
    </row>
    <row r="897" spans="1:5" x14ac:dyDescent="0.4">
      <c r="A897" s="4">
        <v>45435</v>
      </c>
      <c r="B897" s="8">
        <v>525.96</v>
      </c>
      <c r="C897" s="27">
        <f ca="1">AVERAGE(OFFSET(SPY_Close_Price_PQ[[#This Row],[Close]], 0, 0, $C$1*-1))</f>
        <v>515.41359999999986</v>
      </c>
      <c r="D897" s="27">
        <f ca="1">AVERAGE(OFFSET(SPY_Close_Price_PQ[[#This Row],[Close]], 0, 0, $D$1*-1))</f>
        <v>474.15850000000012</v>
      </c>
      <c r="E897" s="28">
        <f t="shared" ca="1" si="13"/>
        <v>0</v>
      </c>
    </row>
    <row r="898" spans="1:5" x14ac:dyDescent="0.4">
      <c r="A898" s="5">
        <v>45436</v>
      </c>
      <c r="B898" s="9">
        <v>529.44000000000005</v>
      </c>
      <c r="C898" s="27">
        <f ca="1">AVERAGE(OFFSET(SPY_Close_Price_PQ[[#This Row],[Close]], 0, 0, $C$1*-1))</f>
        <v>515.70339999999987</v>
      </c>
      <c r="D898" s="27">
        <f ca="1">AVERAGE(OFFSET(SPY_Close_Price_PQ[[#This Row],[Close]], 0, 0, $D$1*-1))</f>
        <v>474.57695000000012</v>
      </c>
      <c r="E898" s="28">
        <f t="shared" ca="1" si="13"/>
        <v>0</v>
      </c>
    </row>
    <row r="899" spans="1:5" x14ac:dyDescent="0.4">
      <c r="A899" s="4">
        <v>45440</v>
      </c>
      <c r="B899" s="8">
        <v>529.80999999999995</v>
      </c>
      <c r="C899" s="27">
        <f ca="1">AVERAGE(OFFSET(SPY_Close_Price_PQ[[#This Row],[Close]], 0, 0, $C$1*-1))</f>
        <v>516.10299999999984</v>
      </c>
      <c r="D899" s="27">
        <f ca="1">AVERAGE(OFFSET(SPY_Close_Price_PQ[[#This Row],[Close]], 0, 0, $D$1*-1))</f>
        <v>474.9964500000001</v>
      </c>
      <c r="E899" s="28">
        <f t="shared" ca="1" si="13"/>
        <v>0</v>
      </c>
    </row>
    <row r="900" spans="1:5" x14ac:dyDescent="0.4">
      <c r="A900" s="5">
        <v>45441</v>
      </c>
      <c r="B900" s="9">
        <v>526.1</v>
      </c>
      <c r="C900" s="27">
        <f ca="1">AVERAGE(OFFSET(SPY_Close_Price_PQ[[#This Row],[Close]], 0, 0, $C$1*-1))</f>
        <v>516.36779999999987</v>
      </c>
      <c r="D900" s="27">
        <f ca="1">AVERAGE(OFFSET(SPY_Close_Price_PQ[[#This Row],[Close]], 0, 0, $D$1*-1))</f>
        <v>475.39870000000019</v>
      </c>
      <c r="E900" s="28">
        <f t="shared" ref="E900:E963" ca="1" si="14">IF(AND(C899&lt;D899,C900&gt;D900),1,0)</f>
        <v>0</v>
      </c>
    </row>
    <row r="901" spans="1:5" x14ac:dyDescent="0.4">
      <c r="A901" s="4">
        <v>45442</v>
      </c>
      <c r="B901" s="8">
        <v>522.61</v>
      </c>
      <c r="C901" s="27">
        <f ca="1">AVERAGE(OFFSET(SPY_Close_Price_PQ[[#This Row],[Close]], 0, 0, $C$1*-1))</f>
        <v>516.50579999999991</v>
      </c>
      <c r="D901" s="27">
        <f ca="1">AVERAGE(OFFSET(SPY_Close_Price_PQ[[#This Row],[Close]], 0, 0, $D$1*-1))</f>
        <v>475.77120000000008</v>
      </c>
      <c r="E901" s="28">
        <f t="shared" ca="1" si="14"/>
        <v>0</v>
      </c>
    </row>
    <row r="902" spans="1:5" x14ac:dyDescent="0.4">
      <c r="A902" s="5">
        <v>45443</v>
      </c>
      <c r="B902" s="9">
        <v>527.37</v>
      </c>
      <c r="C902" s="27">
        <f ca="1">AVERAGE(OFFSET(SPY_Close_Price_PQ[[#This Row],[Close]], 0, 0, $C$1*-1))</f>
        <v>516.64359999999988</v>
      </c>
      <c r="D902" s="27">
        <f ca="1">AVERAGE(OFFSET(SPY_Close_Price_PQ[[#This Row],[Close]], 0, 0, $D$1*-1))</f>
        <v>476.19360000000017</v>
      </c>
      <c r="E902" s="28">
        <f t="shared" ca="1" si="14"/>
        <v>0</v>
      </c>
    </row>
    <row r="903" spans="1:5" x14ac:dyDescent="0.4">
      <c r="A903" s="4">
        <v>45446</v>
      </c>
      <c r="B903" s="8">
        <v>527.79999999999995</v>
      </c>
      <c r="C903" s="27">
        <f ca="1">AVERAGE(OFFSET(SPY_Close_Price_PQ[[#This Row],[Close]], 0, 0, $C$1*-1))</f>
        <v>516.75559999999996</v>
      </c>
      <c r="D903" s="27">
        <f ca="1">AVERAGE(OFFSET(SPY_Close_Price_PQ[[#This Row],[Close]], 0, 0, $D$1*-1))</f>
        <v>476.63440000000014</v>
      </c>
      <c r="E903" s="28">
        <f t="shared" ca="1" si="14"/>
        <v>0</v>
      </c>
    </row>
    <row r="904" spans="1:5" x14ac:dyDescent="0.4">
      <c r="A904" s="5">
        <v>45447</v>
      </c>
      <c r="B904" s="9">
        <v>528.39</v>
      </c>
      <c r="C904" s="27">
        <f ca="1">AVERAGE(OFFSET(SPY_Close_Price_PQ[[#This Row],[Close]], 0, 0, $C$1*-1))</f>
        <v>516.89919999999995</v>
      </c>
      <c r="D904" s="27">
        <f ca="1">AVERAGE(OFFSET(SPY_Close_Price_PQ[[#This Row],[Close]], 0, 0, $D$1*-1))</f>
        <v>477.09490000000011</v>
      </c>
      <c r="E904" s="28">
        <f t="shared" ca="1" si="14"/>
        <v>0</v>
      </c>
    </row>
    <row r="905" spans="1:5" x14ac:dyDescent="0.4">
      <c r="A905" s="4">
        <v>45448</v>
      </c>
      <c r="B905" s="8">
        <v>534.66999999999996</v>
      </c>
      <c r="C905" s="27">
        <f ca="1">AVERAGE(OFFSET(SPY_Close_Price_PQ[[#This Row],[Close]], 0, 0, $C$1*-1))</f>
        <v>517.19719999999984</v>
      </c>
      <c r="D905" s="27">
        <f ca="1">AVERAGE(OFFSET(SPY_Close_Price_PQ[[#This Row],[Close]], 0, 0, $D$1*-1))</f>
        <v>477.58575000000013</v>
      </c>
      <c r="E905" s="28">
        <f t="shared" ca="1" si="14"/>
        <v>0</v>
      </c>
    </row>
    <row r="906" spans="1:5" x14ac:dyDescent="0.4">
      <c r="A906" s="5">
        <v>45449</v>
      </c>
      <c r="B906" s="9">
        <v>534.66</v>
      </c>
      <c r="C906" s="27">
        <f ca="1">AVERAGE(OFFSET(SPY_Close_Price_PQ[[#This Row],[Close]], 0, 0, $C$1*-1))</f>
        <v>517.51419999999996</v>
      </c>
      <c r="D906" s="27">
        <f ca="1">AVERAGE(OFFSET(SPY_Close_Price_PQ[[#This Row],[Close]], 0, 0, $D$1*-1))</f>
        <v>478.06235000000015</v>
      </c>
      <c r="E906" s="28">
        <f t="shared" ca="1" si="14"/>
        <v>0</v>
      </c>
    </row>
    <row r="907" spans="1:5" x14ac:dyDescent="0.4">
      <c r="A907" s="4">
        <v>45450</v>
      </c>
      <c r="B907" s="8">
        <v>534.01</v>
      </c>
      <c r="C907" s="27">
        <f ca="1">AVERAGE(OFFSET(SPY_Close_Price_PQ[[#This Row],[Close]], 0, 0, $C$1*-1))</f>
        <v>517.73099999999988</v>
      </c>
      <c r="D907" s="27">
        <f ca="1">AVERAGE(OFFSET(SPY_Close_Price_PQ[[#This Row],[Close]], 0, 0, $D$1*-1))</f>
        <v>478.54165000000006</v>
      </c>
      <c r="E907" s="28">
        <f t="shared" ca="1" si="14"/>
        <v>0</v>
      </c>
    </row>
    <row r="908" spans="1:5" x14ac:dyDescent="0.4">
      <c r="A908" s="5">
        <v>45453</v>
      </c>
      <c r="B908" s="9">
        <v>535.66</v>
      </c>
      <c r="C908" s="27">
        <f ca="1">AVERAGE(OFFSET(SPY_Close_Price_PQ[[#This Row],[Close]], 0, 0, $C$1*-1))</f>
        <v>517.98279999999988</v>
      </c>
      <c r="D908" s="27">
        <f ca="1">AVERAGE(OFFSET(SPY_Close_Price_PQ[[#This Row],[Close]], 0, 0, $D$1*-1))</f>
        <v>479.0048000000001</v>
      </c>
      <c r="E908" s="28">
        <f t="shared" ca="1" si="14"/>
        <v>0</v>
      </c>
    </row>
    <row r="909" spans="1:5" x14ac:dyDescent="0.4">
      <c r="A909" s="4">
        <v>45454</v>
      </c>
      <c r="B909" s="8">
        <v>536.95000000000005</v>
      </c>
      <c r="C909" s="27">
        <f ca="1">AVERAGE(OFFSET(SPY_Close_Price_PQ[[#This Row],[Close]], 0, 0, $C$1*-1))</f>
        <v>518.27859999999998</v>
      </c>
      <c r="D909" s="27">
        <f ca="1">AVERAGE(OFFSET(SPY_Close_Price_PQ[[#This Row],[Close]], 0, 0, $D$1*-1))</f>
        <v>479.50510000000008</v>
      </c>
      <c r="E909" s="28">
        <f t="shared" ca="1" si="14"/>
        <v>0</v>
      </c>
    </row>
    <row r="910" spans="1:5" x14ac:dyDescent="0.4">
      <c r="A910" s="5">
        <v>45455</v>
      </c>
      <c r="B910" s="9">
        <v>541.36</v>
      </c>
      <c r="C910" s="27">
        <f ca="1">AVERAGE(OFFSET(SPY_Close_Price_PQ[[#This Row],[Close]], 0, 0, $C$1*-1))</f>
        <v>518.72899999999993</v>
      </c>
      <c r="D910" s="27">
        <f ca="1">AVERAGE(OFFSET(SPY_Close_Price_PQ[[#This Row],[Close]], 0, 0, $D$1*-1))</f>
        <v>480.0120500000001</v>
      </c>
      <c r="E910" s="28">
        <f t="shared" ca="1" si="14"/>
        <v>0</v>
      </c>
    </row>
    <row r="911" spans="1:5" x14ac:dyDescent="0.4">
      <c r="A911" s="4">
        <v>45456</v>
      </c>
      <c r="B911" s="8">
        <v>542.45000000000005</v>
      </c>
      <c r="C911" s="27">
        <f ca="1">AVERAGE(OFFSET(SPY_Close_Price_PQ[[#This Row],[Close]], 0, 0, $C$1*-1))</f>
        <v>519.18979999999999</v>
      </c>
      <c r="D911" s="27">
        <f ca="1">AVERAGE(OFFSET(SPY_Close_Price_PQ[[#This Row],[Close]], 0, 0, $D$1*-1))</f>
        <v>480.51050000000015</v>
      </c>
      <c r="E911" s="28">
        <f t="shared" ca="1" si="14"/>
        <v>0</v>
      </c>
    </row>
    <row r="912" spans="1:5" x14ac:dyDescent="0.4">
      <c r="A912" s="5">
        <v>45457</v>
      </c>
      <c r="B912" s="9">
        <v>542.78</v>
      </c>
      <c r="C912" s="27">
        <f ca="1">AVERAGE(OFFSET(SPY_Close_Price_PQ[[#This Row],[Close]], 0, 0, $C$1*-1))</f>
        <v>519.78399999999999</v>
      </c>
      <c r="D912" s="27">
        <f ca="1">AVERAGE(OFFSET(SPY_Close_Price_PQ[[#This Row],[Close]], 0, 0, $D$1*-1))</f>
        <v>480.97860000000009</v>
      </c>
      <c r="E912" s="28">
        <f t="shared" ca="1" si="14"/>
        <v>0</v>
      </c>
    </row>
    <row r="913" spans="1:5" x14ac:dyDescent="0.4">
      <c r="A913" s="4">
        <v>45460</v>
      </c>
      <c r="B913" s="8">
        <v>547.1</v>
      </c>
      <c r="C913" s="27">
        <f ca="1">AVERAGE(OFFSET(SPY_Close_Price_PQ[[#This Row],[Close]], 0, 0, $C$1*-1))</f>
        <v>520.35739999999987</v>
      </c>
      <c r="D913" s="27">
        <f ca="1">AVERAGE(OFFSET(SPY_Close_Price_PQ[[#This Row],[Close]], 0, 0, $D$1*-1))</f>
        <v>481.45905000000016</v>
      </c>
      <c r="E913" s="28">
        <f t="shared" ca="1" si="14"/>
        <v>0</v>
      </c>
    </row>
    <row r="914" spans="1:5" x14ac:dyDescent="0.4">
      <c r="A914" s="5">
        <v>45461</v>
      </c>
      <c r="B914" s="9">
        <v>548.49</v>
      </c>
      <c r="C914" s="27">
        <f ca="1">AVERAGE(OFFSET(SPY_Close_Price_PQ[[#This Row],[Close]], 0, 0, $C$1*-1))</f>
        <v>520.95279999999991</v>
      </c>
      <c r="D914" s="27">
        <f ca="1">AVERAGE(OFFSET(SPY_Close_Price_PQ[[#This Row],[Close]], 0, 0, $D$1*-1))</f>
        <v>481.94975000000011</v>
      </c>
      <c r="E914" s="28">
        <f t="shared" ca="1" si="14"/>
        <v>0</v>
      </c>
    </row>
    <row r="915" spans="1:5" x14ac:dyDescent="0.4">
      <c r="A915" s="4">
        <v>45463</v>
      </c>
      <c r="B915" s="8">
        <v>547</v>
      </c>
      <c r="C915" s="27">
        <f ca="1">AVERAGE(OFFSET(SPY_Close_Price_PQ[[#This Row],[Close]], 0, 0, $C$1*-1))</f>
        <v>521.50639999999987</v>
      </c>
      <c r="D915" s="27">
        <f ca="1">AVERAGE(OFFSET(SPY_Close_Price_PQ[[#This Row],[Close]], 0, 0, $D$1*-1))</f>
        <v>482.42880000000014</v>
      </c>
      <c r="E915" s="28">
        <f t="shared" ca="1" si="14"/>
        <v>0</v>
      </c>
    </row>
    <row r="916" spans="1:5" x14ac:dyDescent="0.4">
      <c r="A916" s="5">
        <v>45464</v>
      </c>
      <c r="B916" s="9">
        <v>544.51</v>
      </c>
      <c r="C916" s="27">
        <f ca="1">AVERAGE(OFFSET(SPY_Close_Price_PQ[[#This Row],[Close]], 0, 0, $C$1*-1))</f>
        <v>522.11419999999987</v>
      </c>
      <c r="D916" s="27">
        <f ca="1">AVERAGE(OFFSET(SPY_Close_Price_PQ[[#This Row],[Close]], 0, 0, $D$1*-1))</f>
        <v>482.90515000000005</v>
      </c>
      <c r="E916" s="28">
        <f t="shared" ca="1" si="14"/>
        <v>0</v>
      </c>
    </row>
    <row r="917" spans="1:5" x14ac:dyDescent="0.4">
      <c r="A917" s="4">
        <v>45467</v>
      </c>
      <c r="B917" s="8">
        <v>542.74</v>
      </c>
      <c r="C917" s="27">
        <f ca="1">AVERAGE(OFFSET(SPY_Close_Price_PQ[[#This Row],[Close]], 0, 0, $C$1*-1))</f>
        <v>522.60899999999992</v>
      </c>
      <c r="D917" s="27">
        <f ca="1">AVERAGE(OFFSET(SPY_Close_Price_PQ[[#This Row],[Close]], 0, 0, $D$1*-1))</f>
        <v>483.3877500000001</v>
      </c>
      <c r="E917" s="28">
        <f t="shared" ca="1" si="14"/>
        <v>0</v>
      </c>
    </row>
    <row r="918" spans="1:5" x14ac:dyDescent="0.4">
      <c r="A918" s="5">
        <v>45468</v>
      </c>
      <c r="B918" s="9">
        <v>544.83000000000004</v>
      </c>
      <c r="C918" s="27">
        <f ca="1">AVERAGE(OFFSET(SPY_Close_Price_PQ[[#This Row],[Close]], 0, 0, $C$1*-1))</f>
        <v>523.28859999999997</v>
      </c>
      <c r="D918" s="27">
        <f ca="1">AVERAGE(OFFSET(SPY_Close_Price_PQ[[#This Row],[Close]], 0, 0, $D$1*-1))</f>
        <v>483.88765000000006</v>
      </c>
      <c r="E918" s="28">
        <f t="shared" ca="1" si="14"/>
        <v>0</v>
      </c>
    </row>
    <row r="919" spans="1:5" x14ac:dyDescent="0.4">
      <c r="A919" s="4">
        <v>45469</v>
      </c>
      <c r="B919" s="8">
        <v>545.51</v>
      </c>
      <c r="C919" s="27">
        <f ca="1">AVERAGE(OFFSET(SPY_Close_Price_PQ[[#This Row],[Close]], 0, 0, $C$1*-1))</f>
        <v>524.10979999999984</v>
      </c>
      <c r="D919" s="27">
        <f ca="1">AVERAGE(OFFSET(SPY_Close_Price_PQ[[#This Row],[Close]], 0, 0, $D$1*-1))</f>
        <v>484.38760000000002</v>
      </c>
      <c r="E919" s="28">
        <f t="shared" ca="1" si="14"/>
        <v>0</v>
      </c>
    </row>
    <row r="920" spans="1:5" x14ac:dyDescent="0.4">
      <c r="A920" s="5">
        <v>45470</v>
      </c>
      <c r="B920" s="9">
        <v>546.37</v>
      </c>
      <c r="C920" s="27">
        <f ca="1">AVERAGE(OFFSET(SPY_Close_Price_PQ[[#This Row],[Close]], 0, 0, $C$1*-1))</f>
        <v>524.96659999999997</v>
      </c>
      <c r="D920" s="27">
        <f ca="1">AVERAGE(OFFSET(SPY_Close_Price_PQ[[#This Row],[Close]], 0, 0, $D$1*-1))</f>
        <v>484.87720000000002</v>
      </c>
      <c r="E920" s="28">
        <f t="shared" ca="1" si="14"/>
        <v>0</v>
      </c>
    </row>
    <row r="921" spans="1:5" x14ac:dyDescent="0.4">
      <c r="A921" s="4">
        <v>45471</v>
      </c>
      <c r="B921" s="8">
        <v>544.22</v>
      </c>
      <c r="C921" s="27">
        <f ca="1">AVERAGE(OFFSET(SPY_Close_Price_PQ[[#This Row],[Close]], 0, 0, $C$1*-1))</f>
        <v>525.84</v>
      </c>
      <c r="D921" s="27">
        <f ca="1">AVERAGE(OFFSET(SPY_Close_Price_PQ[[#This Row],[Close]], 0, 0, $D$1*-1))</f>
        <v>485.36834999999996</v>
      </c>
      <c r="E921" s="28">
        <f t="shared" ca="1" si="14"/>
        <v>0</v>
      </c>
    </row>
    <row r="922" spans="1:5" x14ac:dyDescent="0.4">
      <c r="A922" s="5">
        <v>45474</v>
      </c>
      <c r="B922" s="9">
        <v>545.34</v>
      </c>
      <c r="C922" s="27">
        <f ca="1">AVERAGE(OFFSET(SPY_Close_Price_PQ[[#This Row],[Close]], 0, 0, $C$1*-1))</f>
        <v>526.75639999999999</v>
      </c>
      <c r="D922" s="27">
        <f ca="1">AVERAGE(OFFSET(SPY_Close_Price_PQ[[#This Row],[Close]], 0, 0, $D$1*-1))</f>
        <v>485.86250000000001</v>
      </c>
      <c r="E922" s="28">
        <f t="shared" ca="1" si="14"/>
        <v>0</v>
      </c>
    </row>
    <row r="923" spans="1:5" x14ac:dyDescent="0.4">
      <c r="A923" s="4">
        <v>45475</v>
      </c>
      <c r="B923" s="8">
        <v>549.01</v>
      </c>
      <c r="C923" s="27">
        <f ca="1">AVERAGE(OFFSET(SPY_Close_Price_PQ[[#This Row],[Close]], 0, 0, $C$1*-1))</f>
        <v>527.83339999999998</v>
      </c>
      <c r="D923" s="27">
        <f ca="1">AVERAGE(OFFSET(SPY_Close_Price_PQ[[#This Row],[Close]], 0, 0, $D$1*-1))</f>
        <v>486.35574999999994</v>
      </c>
      <c r="E923" s="28">
        <f t="shared" ca="1" si="14"/>
        <v>0</v>
      </c>
    </row>
    <row r="924" spans="1:5" x14ac:dyDescent="0.4">
      <c r="A924" s="5">
        <v>45476</v>
      </c>
      <c r="B924" s="9">
        <v>551.46</v>
      </c>
      <c r="C924" s="27">
        <f ca="1">AVERAGE(OFFSET(SPY_Close_Price_PQ[[#This Row],[Close]], 0, 0, $C$1*-1))</f>
        <v>528.8682</v>
      </c>
      <c r="D924" s="27">
        <f ca="1">AVERAGE(OFFSET(SPY_Close_Price_PQ[[#This Row],[Close]], 0, 0, $D$1*-1))</f>
        <v>486.89619999999996</v>
      </c>
      <c r="E924" s="28">
        <f t="shared" ca="1" si="14"/>
        <v>0</v>
      </c>
    </row>
    <row r="925" spans="1:5" x14ac:dyDescent="0.4">
      <c r="A925" s="4">
        <v>45478</v>
      </c>
      <c r="B925" s="8">
        <v>554.64</v>
      </c>
      <c r="C925" s="27">
        <f ca="1">AVERAGE(OFFSET(SPY_Close_Price_PQ[[#This Row],[Close]], 0, 0, $C$1*-1))</f>
        <v>529.84800000000007</v>
      </c>
      <c r="D925" s="27">
        <f ca="1">AVERAGE(OFFSET(SPY_Close_Price_PQ[[#This Row],[Close]], 0, 0, $D$1*-1))</f>
        <v>487.45125000000002</v>
      </c>
      <c r="E925" s="28">
        <f t="shared" ca="1" si="14"/>
        <v>0</v>
      </c>
    </row>
    <row r="926" spans="1:5" x14ac:dyDescent="0.4">
      <c r="A926" s="5">
        <v>45481</v>
      </c>
      <c r="B926" s="9">
        <v>555.28</v>
      </c>
      <c r="C926" s="27">
        <f ca="1">AVERAGE(OFFSET(SPY_Close_Price_PQ[[#This Row],[Close]], 0, 0, $C$1*-1))</f>
        <v>530.84540000000004</v>
      </c>
      <c r="D926" s="27">
        <f ca="1">AVERAGE(OFFSET(SPY_Close_Price_PQ[[#This Row],[Close]], 0, 0, $D$1*-1))</f>
        <v>488.01409999999998</v>
      </c>
      <c r="E926" s="28">
        <f t="shared" ca="1" si="14"/>
        <v>0</v>
      </c>
    </row>
    <row r="927" spans="1:5" x14ac:dyDescent="0.4">
      <c r="A927" s="4">
        <v>45482</v>
      </c>
      <c r="B927" s="8">
        <v>555.82000000000005</v>
      </c>
      <c r="C927" s="27">
        <f ca="1">AVERAGE(OFFSET(SPY_Close_Price_PQ[[#This Row],[Close]], 0, 0, $C$1*-1))</f>
        <v>531.89199999999994</v>
      </c>
      <c r="D927" s="27">
        <f ca="1">AVERAGE(OFFSET(SPY_Close_Price_PQ[[#This Row],[Close]], 0, 0, $D$1*-1))</f>
        <v>488.60000000000008</v>
      </c>
      <c r="E927" s="28">
        <f t="shared" ca="1" si="14"/>
        <v>0</v>
      </c>
    </row>
    <row r="928" spans="1:5" x14ac:dyDescent="0.4">
      <c r="A928" s="5">
        <v>45483</v>
      </c>
      <c r="B928" s="9">
        <v>561.32000000000005</v>
      </c>
      <c r="C928" s="27">
        <f ca="1">AVERAGE(OFFSET(SPY_Close_Price_PQ[[#This Row],[Close]], 0, 0, $C$1*-1))</f>
        <v>532.95319999999992</v>
      </c>
      <c r="D928" s="27">
        <f ca="1">AVERAGE(OFFSET(SPY_Close_Price_PQ[[#This Row],[Close]], 0, 0, $D$1*-1))</f>
        <v>489.24965000000009</v>
      </c>
      <c r="E928" s="28">
        <f t="shared" ca="1" si="14"/>
        <v>0</v>
      </c>
    </row>
    <row r="929" spans="1:5" x14ac:dyDescent="0.4">
      <c r="A929" s="4">
        <v>45484</v>
      </c>
      <c r="B929" s="8">
        <v>556.48</v>
      </c>
      <c r="C929" s="27">
        <f ca="1">AVERAGE(OFFSET(SPY_Close_Price_PQ[[#This Row],[Close]], 0, 0, $C$1*-1))</f>
        <v>533.88159999999993</v>
      </c>
      <c r="D929" s="27">
        <f ca="1">AVERAGE(OFFSET(SPY_Close_Price_PQ[[#This Row],[Close]], 0, 0, $D$1*-1))</f>
        <v>489.87995000000001</v>
      </c>
      <c r="E929" s="28">
        <f t="shared" ca="1" si="14"/>
        <v>0</v>
      </c>
    </row>
    <row r="930" spans="1:5" x14ac:dyDescent="0.4">
      <c r="A930" s="5">
        <v>45485</v>
      </c>
      <c r="B930" s="9">
        <v>559.99</v>
      </c>
      <c r="C930" s="27">
        <f ca="1">AVERAGE(OFFSET(SPY_Close_Price_PQ[[#This Row],[Close]], 0, 0, $C$1*-1))</f>
        <v>535.04179999999997</v>
      </c>
      <c r="D930" s="27">
        <f ca="1">AVERAGE(OFFSET(SPY_Close_Price_PQ[[#This Row],[Close]], 0, 0, $D$1*-1))</f>
        <v>490.51875000000007</v>
      </c>
      <c r="E930" s="28">
        <f t="shared" ca="1" si="14"/>
        <v>0</v>
      </c>
    </row>
    <row r="931" spans="1:5" x14ac:dyDescent="0.4">
      <c r="A931" s="4">
        <v>45488</v>
      </c>
      <c r="B931" s="8">
        <v>561.53</v>
      </c>
      <c r="C931" s="27">
        <f ca="1">AVERAGE(OFFSET(SPY_Close_Price_PQ[[#This Row],[Close]], 0, 0, $C$1*-1))</f>
        <v>536.2654</v>
      </c>
      <c r="D931" s="27">
        <f ca="1">AVERAGE(OFFSET(SPY_Close_Price_PQ[[#This Row],[Close]], 0, 0, $D$1*-1))</f>
        <v>491.19700000000012</v>
      </c>
      <c r="E931" s="28">
        <f t="shared" ca="1" si="14"/>
        <v>0</v>
      </c>
    </row>
    <row r="932" spans="1:5" x14ac:dyDescent="0.4">
      <c r="A932" s="5">
        <v>45489</v>
      </c>
      <c r="B932" s="9">
        <v>564.86</v>
      </c>
      <c r="C932" s="27">
        <f ca="1">AVERAGE(OFFSET(SPY_Close_Price_PQ[[#This Row],[Close]], 0, 0, $C$1*-1))</f>
        <v>537.46199999999999</v>
      </c>
      <c r="D932" s="27">
        <f ca="1">AVERAGE(OFFSET(SPY_Close_Price_PQ[[#This Row],[Close]], 0, 0, $D$1*-1))</f>
        <v>491.89105000000001</v>
      </c>
      <c r="E932" s="28">
        <f t="shared" ca="1" si="14"/>
        <v>0</v>
      </c>
    </row>
    <row r="933" spans="1:5" x14ac:dyDescent="0.4">
      <c r="A933" s="4">
        <v>45490</v>
      </c>
      <c r="B933" s="8">
        <v>556.94000000000005</v>
      </c>
      <c r="C933" s="27">
        <f ca="1">AVERAGE(OFFSET(SPY_Close_Price_PQ[[#This Row],[Close]], 0, 0, $C$1*-1))</f>
        <v>538.375</v>
      </c>
      <c r="D933" s="27">
        <f ca="1">AVERAGE(OFFSET(SPY_Close_Price_PQ[[#This Row],[Close]], 0, 0, $D$1*-1))</f>
        <v>492.53315000000009</v>
      </c>
      <c r="E933" s="28">
        <f t="shared" ca="1" si="14"/>
        <v>0</v>
      </c>
    </row>
    <row r="934" spans="1:5" x14ac:dyDescent="0.4">
      <c r="A934" s="5">
        <v>45491</v>
      </c>
      <c r="B934" s="9">
        <v>552.66</v>
      </c>
      <c r="C934" s="27">
        <f ca="1">AVERAGE(OFFSET(SPY_Close_Price_PQ[[#This Row],[Close]], 0, 0, $C$1*-1))</f>
        <v>539.09679999999992</v>
      </c>
      <c r="D934" s="27">
        <f ca="1">AVERAGE(OFFSET(SPY_Close_Price_PQ[[#This Row],[Close]], 0, 0, $D$1*-1))</f>
        <v>493.15905000000015</v>
      </c>
      <c r="E934" s="28">
        <f t="shared" ca="1" si="14"/>
        <v>0</v>
      </c>
    </row>
    <row r="935" spans="1:5" x14ac:dyDescent="0.4">
      <c r="A935" s="4">
        <v>45492</v>
      </c>
      <c r="B935" s="8">
        <v>548.99</v>
      </c>
      <c r="C935" s="27">
        <f ca="1">AVERAGE(OFFSET(SPY_Close_Price_PQ[[#This Row],[Close]], 0, 0, $C$1*-1))</f>
        <v>539.73379999999997</v>
      </c>
      <c r="D935" s="27">
        <f ca="1">AVERAGE(OFFSET(SPY_Close_Price_PQ[[#This Row],[Close]], 0, 0, $D$1*-1))</f>
        <v>493.76745000000011</v>
      </c>
      <c r="E935" s="28">
        <f t="shared" ca="1" si="14"/>
        <v>0</v>
      </c>
    </row>
    <row r="936" spans="1:5" x14ac:dyDescent="0.4">
      <c r="A936" s="5">
        <v>45495</v>
      </c>
      <c r="B936" s="9">
        <v>554.65</v>
      </c>
      <c r="C936" s="27">
        <f ca="1">AVERAGE(OFFSET(SPY_Close_Price_PQ[[#This Row],[Close]], 0, 0, $C$1*-1))</f>
        <v>540.48300000000006</v>
      </c>
      <c r="D936" s="27">
        <f ca="1">AVERAGE(OFFSET(SPY_Close_Price_PQ[[#This Row],[Close]], 0, 0, $D$1*-1))</f>
        <v>494.43275000000011</v>
      </c>
      <c r="E936" s="28">
        <f t="shared" ca="1" si="14"/>
        <v>0</v>
      </c>
    </row>
    <row r="937" spans="1:5" x14ac:dyDescent="0.4">
      <c r="A937" s="4">
        <v>45496</v>
      </c>
      <c r="B937" s="8">
        <v>553.78</v>
      </c>
      <c r="C937" s="27">
        <f ca="1">AVERAGE(OFFSET(SPY_Close_Price_PQ[[#This Row],[Close]], 0, 0, $C$1*-1))</f>
        <v>541.15519999999992</v>
      </c>
      <c r="D937" s="27">
        <f ca="1">AVERAGE(OFFSET(SPY_Close_Price_PQ[[#This Row],[Close]], 0, 0, $D$1*-1))</f>
        <v>495.07835000000011</v>
      </c>
      <c r="E937" s="28">
        <f t="shared" ca="1" si="14"/>
        <v>0</v>
      </c>
    </row>
    <row r="938" spans="1:5" x14ac:dyDescent="0.4">
      <c r="A938" s="5">
        <v>45497</v>
      </c>
      <c r="B938" s="9">
        <v>541.23</v>
      </c>
      <c r="C938" s="27">
        <f ca="1">AVERAGE(OFFSET(SPY_Close_Price_PQ[[#This Row],[Close]], 0, 0, $C$1*-1))</f>
        <v>541.56299999999999</v>
      </c>
      <c r="D938" s="27">
        <f ca="1">AVERAGE(OFFSET(SPY_Close_Price_PQ[[#This Row],[Close]], 0, 0, $D$1*-1))</f>
        <v>495.66200000000009</v>
      </c>
      <c r="E938" s="28">
        <f t="shared" ca="1" si="14"/>
        <v>0</v>
      </c>
    </row>
    <row r="939" spans="1:5" x14ac:dyDescent="0.4">
      <c r="A939" s="4">
        <v>45498</v>
      </c>
      <c r="B939" s="8">
        <v>538.41</v>
      </c>
      <c r="C939" s="27">
        <f ca="1">AVERAGE(OFFSET(SPY_Close_Price_PQ[[#This Row],[Close]], 0, 0, $C$1*-1))</f>
        <v>541.91300000000001</v>
      </c>
      <c r="D939" s="27">
        <f ca="1">AVERAGE(OFFSET(SPY_Close_Price_PQ[[#This Row],[Close]], 0, 0, $D$1*-1))</f>
        <v>496.2063500000001</v>
      </c>
      <c r="E939" s="28">
        <f t="shared" ca="1" si="14"/>
        <v>0</v>
      </c>
    </row>
    <row r="940" spans="1:5" x14ac:dyDescent="0.4">
      <c r="A940" s="5">
        <v>45499</v>
      </c>
      <c r="B940" s="9">
        <v>544.44000000000005</v>
      </c>
      <c r="C940" s="27">
        <f ca="1">AVERAGE(OFFSET(SPY_Close_Price_PQ[[#This Row],[Close]], 0, 0, $C$1*-1))</f>
        <v>542.33579999999995</v>
      </c>
      <c r="D940" s="27">
        <f ca="1">AVERAGE(OFFSET(SPY_Close_Price_PQ[[#This Row],[Close]], 0, 0, $D$1*-1))</f>
        <v>496.76710000000014</v>
      </c>
      <c r="E940" s="28">
        <f t="shared" ca="1" si="14"/>
        <v>0</v>
      </c>
    </row>
    <row r="941" spans="1:5" x14ac:dyDescent="0.4">
      <c r="A941" s="4">
        <v>45502</v>
      </c>
      <c r="B941" s="8">
        <v>544.76</v>
      </c>
      <c r="C941" s="27">
        <f ca="1">AVERAGE(OFFSET(SPY_Close_Price_PQ[[#This Row],[Close]], 0, 0, $C$1*-1))</f>
        <v>542.63539999999989</v>
      </c>
      <c r="D941" s="27">
        <f ca="1">AVERAGE(OFFSET(SPY_Close_Price_PQ[[#This Row],[Close]], 0, 0, $D$1*-1))</f>
        <v>497.31820000000016</v>
      </c>
      <c r="E941" s="28">
        <f t="shared" ca="1" si="14"/>
        <v>0</v>
      </c>
    </row>
    <row r="942" spans="1:5" x14ac:dyDescent="0.4">
      <c r="A942" s="5">
        <v>45503</v>
      </c>
      <c r="B942" s="9">
        <v>542</v>
      </c>
      <c r="C942" s="27">
        <f ca="1">AVERAGE(OFFSET(SPY_Close_Price_PQ[[#This Row],[Close]], 0, 0, $C$1*-1))</f>
        <v>542.90159999999992</v>
      </c>
      <c r="D942" s="27">
        <f ca="1">AVERAGE(OFFSET(SPY_Close_Price_PQ[[#This Row],[Close]], 0, 0, $D$1*-1))</f>
        <v>497.84660000000019</v>
      </c>
      <c r="E942" s="28">
        <f t="shared" ca="1" si="14"/>
        <v>0</v>
      </c>
    </row>
    <row r="943" spans="1:5" x14ac:dyDescent="0.4">
      <c r="A943" s="4">
        <v>45504</v>
      </c>
      <c r="B943" s="8">
        <v>550.80999999999995</v>
      </c>
      <c r="C943" s="27">
        <f ca="1">AVERAGE(OFFSET(SPY_Close_Price_PQ[[#This Row],[Close]], 0, 0, $C$1*-1))</f>
        <v>543.3288</v>
      </c>
      <c r="D943" s="27">
        <f ca="1">AVERAGE(OFFSET(SPY_Close_Price_PQ[[#This Row],[Close]], 0, 0, $D$1*-1))</f>
        <v>498.43235000000016</v>
      </c>
      <c r="E943" s="28">
        <f t="shared" ca="1" si="14"/>
        <v>0</v>
      </c>
    </row>
    <row r="944" spans="1:5" x14ac:dyDescent="0.4">
      <c r="A944" s="5">
        <v>45505</v>
      </c>
      <c r="B944" s="9">
        <v>543.01</v>
      </c>
      <c r="C944" s="27">
        <f ca="1">AVERAGE(OFFSET(SPY_Close_Price_PQ[[#This Row],[Close]], 0, 0, $C$1*-1))</f>
        <v>543.58780000000002</v>
      </c>
      <c r="D944" s="27">
        <f ca="1">AVERAGE(OFFSET(SPY_Close_Price_PQ[[#This Row],[Close]], 0, 0, $D$1*-1))</f>
        <v>498.98990000000015</v>
      </c>
      <c r="E944" s="28">
        <f t="shared" ca="1" si="14"/>
        <v>0</v>
      </c>
    </row>
    <row r="945" spans="1:5" x14ac:dyDescent="0.4">
      <c r="A945" s="4">
        <v>45506</v>
      </c>
      <c r="B945" s="8">
        <v>532.9</v>
      </c>
      <c r="C945" s="27">
        <f ca="1">AVERAGE(OFFSET(SPY_Close_Price_PQ[[#This Row],[Close]], 0, 0, $C$1*-1))</f>
        <v>543.6185999999999</v>
      </c>
      <c r="D945" s="27">
        <f ca="1">AVERAGE(OFFSET(SPY_Close_Price_PQ[[#This Row],[Close]], 0, 0, $D$1*-1))</f>
        <v>499.47420000000011</v>
      </c>
      <c r="E945" s="28">
        <f t="shared" ca="1" si="14"/>
        <v>0</v>
      </c>
    </row>
    <row r="946" spans="1:5" x14ac:dyDescent="0.4">
      <c r="A946" s="5">
        <v>45509</v>
      </c>
      <c r="B946" s="9">
        <v>517.38</v>
      </c>
      <c r="C946" s="27">
        <f ca="1">AVERAGE(OFFSET(SPY_Close_Price_PQ[[#This Row],[Close]], 0, 0, $C$1*-1))</f>
        <v>543.3696000000001</v>
      </c>
      <c r="D946" s="27">
        <f ca="1">AVERAGE(OFFSET(SPY_Close_Price_PQ[[#This Row],[Close]], 0, 0, $D$1*-1))</f>
        <v>499.88100000000014</v>
      </c>
      <c r="E946" s="28">
        <f t="shared" ca="1" si="14"/>
        <v>0</v>
      </c>
    </row>
    <row r="947" spans="1:5" x14ac:dyDescent="0.4">
      <c r="A947" s="4">
        <v>45510</v>
      </c>
      <c r="B947" s="8">
        <v>522.15</v>
      </c>
      <c r="C947" s="27">
        <f ca="1">AVERAGE(OFFSET(SPY_Close_Price_PQ[[#This Row],[Close]], 0, 0, $C$1*-1))</f>
        <v>543.29340000000002</v>
      </c>
      <c r="D947" s="27">
        <f ca="1">AVERAGE(OFFSET(SPY_Close_Price_PQ[[#This Row],[Close]], 0, 0, $D$1*-1))</f>
        <v>500.34070000000014</v>
      </c>
      <c r="E947" s="28">
        <f t="shared" ca="1" si="14"/>
        <v>0</v>
      </c>
    </row>
    <row r="948" spans="1:5" x14ac:dyDescent="0.4">
      <c r="A948" s="5">
        <v>45511</v>
      </c>
      <c r="B948" s="9">
        <v>518.66</v>
      </c>
      <c r="C948" s="27">
        <f ca="1">AVERAGE(OFFSET(SPY_Close_Price_PQ[[#This Row],[Close]], 0, 0, $C$1*-1))</f>
        <v>543.07780000000002</v>
      </c>
      <c r="D948" s="27">
        <f ca="1">AVERAGE(OFFSET(SPY_Close_Price_PQ[[#This Row],[Close]], 0, 0, $D$1*-1))</f>
        <v>500.80185000000017</v>
      </c>
      <c r="E948" s="28">
        <f t="shared" ca="1" si="14"/>
        <v>0</v>
      </c>
    </row>
    <row r="949" spans="1:5" x14ac:dyDescent="0.4">
      <c r="A949" s="4">
        <v>45512</v>
      </c>
      <c r="B949" s="8">
        <v>530.65</v>
      </c>
      <c r="C949" s="27">
        <f ca="1">AVERAGE(OFFSET(SPY_Close_Price_PQ[[#This Row],[Close]], 0, 0, $C$1*-1))</f>
        <v>543.09460000000001</v>
      </c>
      <c r="D949" s="27">
        <f ca="1">AVERAGE(OFFSET(SPY_Close_Price_PQ[[#This Row],[Close]], 0, 0, $D$1*-1))</f>
        <v>501.34915000000007</v>
      </c>
      <c r="E949" s="28">
        <f t="shared" ca="1" si="14"/>
        <v>0</v>
      </c>
    </row>
    <row r="950" spans="1:5" x14ac:dyDescent="0.4">
      <c r="A950" s="5">
        <v>45513</v>
      </c>
      <c r="B950" s="9">
        <v>532.99</v>
      </c>
      <c r="C950" s="27">
        <f ca="1">AVERAGE(OFFSET(SPY_Close_Price_PQ[[#This Row],[Close]], 0, 0, $C$1*-1))</f>
        <v>543.2324000000001</v>
      </c>
      <c r="D950" s="27">
        <f ca="1">AVERAGE(OFFSET(SPY_Close_Price_PQ[[#This Row],[Close]], 0, 0, $D$1*-1))</f>
        <v>501.91180000000008</v>
      </c>
      <c r="E950" s="28">
        <f t="shared" ca="1" si="14"/>
        <v>0</v>
      </c>
    </row>
    <row r="951" spans="1:5" x14ac:dyDescent="0.4">
      <c r="A951" s="4">
        <v>45516</v>
      </c>
      <c r="B951" s="8">
        <v>533.27</v>
      </c>
      <c r="C951" s="27">
        <f ca="1">AVERAGE(OFFSET(SPY_Close_Price_PQ[[#This Row],[Close]], 0, 0, $C$1*-1))</f>
        <v>543.44560000000001</v>
      </c>
      <c r="D951" s="27">
        <f ca="1">AVERAGE(OFFSET(SPY_Close_Price_PQ[[#This Row],[Close]], 0, 0, $D$1*-1))</f>
        <v>502.46000000000015</v>
      </c>
      <c r="E951" s="28">
        <f t="shared" ca="1" si="14"/>
        <v>0</v>
      </c>
    </row>
    <row r="952" spans="1:5" x14ac:dyDescent="0.4">
      <c r="A952" s="5">
        <v>45517</v>
      </c>
      <c r="B952" s="9">
        <v>542.04</v>
      </c>
      <c r="C952" s="27">
        <f ca="1">AVERAGE(OFFSET(SPY_Close_Price_PQ[[#This Row],[Close]], 0, 0, $C$1*-1))</f>
        <v>543.73900000000003</v>
      </c>
      <c r="D952" s="27">
        <f ca="1">AVERAGE(OFFSET(SPY_Close_Price_PQ[[#This Row],[Close]], 0, 0, $D$1*-1))</f>
        <v>503.08245000000011</v>
      </c>
      <c r="E952" s="28">
        <f t="shared" ca="1" si="14"/>
        <v>0</v>
      </c>
    </row>
    <row r="953" spans="1:5" x14ac:dyDescent="0.4">
      <c r="A953" s="4">
        <v>45518</v>
      </c>
      <c r="B953" s="8">
        <v>543.75</v>
      </c>
      <c r="C953" s="27">
        <f ca="1">AVERAGE(OFFSET(SPY_Close_Price_PQ[[#This Row],[Close]], 0, 0, $C$1*-1))</f>
        <v>544.05800000000011</v>
      </c>
      <c r="D953" s="27">
        <f ca="1">AVERAGE(OFFSET(SPY_Close_Price_PQ[[#This Row],[Close]], 0, 0, $D$1*-1))</f>
        <v>503.73845000000006</v>
      </c>
      <c r="E953" s="28">
        <f t="shared" ca="1" si="14"/>
        <v>0</v>
      </c>
    </row>
    <row r="954" spans="1:5" x14ac:dyDescent="0.4">
      <c r="A954" s="5">
        <v>45519</v>
      </c>
      <c r="B954" s="9">
        <v>553.07000000000005</v>
      </c>
      <c r="C954" s="27">
        <f ca="1">AVERAGE(OFFSET(SPY_Close_Price_PQ[[#This Row],[Close]], 0, 0, $C$1*-1))</f>
        <v>544.55160000000012</v>
      </c>
      <c r="D954" s="27">
        <f ca="1">AVERAGE(OFFSET(SPY_Close_Price_PQ[[#This Row],[Close]], 0, 0, $D$1*-1))</f>
        <v>504.45040000000006</v>
      </c>
      <c r="E954" s="28">
        <f t="shared" ca="1" si="14"/>
        <v>0</v>
      </c>
    </row>
    <row r="955" spans="1:5" x14ac:dyDescent="0.4">
      <c r="A955" s="4">
        <v>45520</v>
      </c>
      <c r="B955" s="8">
        <v>554.30999999999995</v>
      </c>
      <c r="C955" s="27">
        <f ca="1">AVERAGE(OFFSET(SPY_Close_Price_PQ[[#This Row],[Close]], 0, 0, $C$1*-1))</f>
        <v>544.9444000000002</v>
      </c>
      <c r="D955" s="27">
        <f ca="1">AVERAGE(OFFSET(SPY_Close_Price_PQ[[#This Row],[Close]], 0, 0, $D$1*-1))</f>
        <v>505.14400000000006</v>
      </c>
      <c r="E955" s="28">
        <f t="shared" ca="1" si="14"/>
        <v>0</v>
      </c>
    </row>
    <row r="956" spans="1:5" x14ac:dyDescent="0.4">
      <c r="A956" s="5">
        <v>45523</v>
      </c>
      <c r="B956" s="9">
        <v>559.61</v>
      </c>
      <c r="C956" s="27">
        <f ca="1">AVERAGE(OFFSET(SPY_Close_Price_PQ[[#This Row],[Close]], 0, 0, $C$1*-1))</f>
        <v>545.44340000000011</v>
      </c>
      <c r="D956" s="27">
        <f ca="1">AVERAGE(OFFSET(SPY_Close_Price_PQ[[#This Row],[Close]], 0, 0, $D$1*-1))</f>
        <v>505.8510500000001</v>
      </c>
      <c r="E956" s="28">
        <f t="shared" ca="1" si="14"/>
        <v>0</v>
      </c>
    </row>
    <row r="957" spans="1:5" x14ac:dyDescent="0.4">
      <c r="A957" s="4">
        <v>45524</v>
      </c>
      <c r="B957" s="8">
        <v>558.70000000000005</v>
      </c>
      <c r="C957" s="27">
        <f ca="1">AVERAGE(OFFSET(SPY_Close_Price_PQ[[#This Row],[Close]], 0, 0, $C$1*-1))</f>
        <v>545.93720000000008</v>
      </c>
      <c r="D957" s="27">
        <f ca="1">AVERAGE(OFFSET(SPY_Close_Price_PQ[[#This Row],[Close]], 0, 0, $D$1*-1))</f>
        <v>506.53125000000006</v>
      </c>
      <c r="E957" s="28">
        <f t="shared" ca="1" si="14"/>
        <v>0</v>
      </c>
    </row>
    <row r="958" spans="1:5" x14ac:dyDescent="0.4">
      <c r="A958" s="5">
        <v>45525</v>
      </c>
      <c r="B958" s="9">
        <v>560.62</v>
      </c>
      <c r="C958" s="27">
        <f ca="1">AVERAGE(OFFSET(SPY_Close_Price_PQ[[#This Row],[Close]], 0, 0, $C$1*-1))</f>
        <v>546.43640000000016</v>
      </c>
      <c r="D958" s="27">
        <f ca="1">AVERAGE(OFFSET(SPY_Close_Price_PQ[[#This Row],[Close]], 0, 0, $D$1*-1))</f>
        <v>507.1805500000001</v>
      </c>
      <c r="E958" s="28">
        <f t="shared" ca="1" si="14"/>
        <v>0</v>
      </c>
    </row>
    <row r="959" spans="1:5" x14ac:dyDescent="0.4">
      <c r="A959" s="4">
        <v>45526</v>
      </c>
      <c r="B959" s="8">
        <v>556.22</v>
      </c>
      <c r="C959" s="27">
        <f ca="1">AVERAGE(OFFSET(SPY_Close_Price_PQ[[#This Row],[Close]], 0, 0, $C$1*-1))</f>
        <v>546.82180000000017</v>
      </c>
      <c r="D959" s="27">
        <f ca="1">AVERAGE(OFFSET(SPY_Close_Price_PQ[[#This Row],[Close]], 0, 0, $D$1*-1))</f>
        <v>507.78820000000007</v>
      </c>
      <c r="E959" s="28">
        <f t="shared" ca="1" si="14"/>
        <v>0</v>
      </c>
    </row>
    <row r="960" spans="1:5" x14ac:dyDescent="0.4">
      <c r="A960" s="5">
        <v>45527</v>
      </c>
      <c r="B960" s="9">
        <v>562.13</v>
      </c>
      <c r="C960" s="27">
        <f ca="1">AVERAGE(OFFSET(SPY_Close_Price_PQ[[#This Row],[Close]], 0, 0, $C$1*-1))</f>
        <v>547.23720000000026</v>
      </c>
      <c r="D960" s="27">
        <f ca="1">AVERAGE(OFFSET(SPY_Close_Price_PQ[[#This Row],[Close]], 0, 0, $D$1*-1))</f>
        <v>508.42040000000009</v>
      </c>
      <c r="E960" s="28">
        <f t="shared" ca="1" si="14"/>
        <v>0</v>
      </c>
    </row>
    <row r="961" spans="1:5" x14ac:dyDescent="0.4">
      <c r="A961" s="4">
        <v>45530</v>
      </c>
      <c r="B961" s="8">
        <v>560.79</v>
      </c>
      <c r="C961" s="27">
        <f ca="1">AVERAGE(OFFSET(SPY_Close_Price_PQ[[#This Row],[Close]], 0, 0, $C$1*-1))</f>
        <v>547.60400000000027</v>
      </c>
      <c r="D961" s="27">
        <f ca="1">AVERAGE(OFFSET(SPY_Close_Price_PQ[[#This Row],[Close]], 0, 0, $D$1*-1))</f>
        <v>509.03970000000004</v>
      </c>
      <c r="E961" s="28">
        <f t="shared" ca="1" si="14"/>
        <v>0</v>
      </c>
    </row>
    <row r="962" spans="1:5" x14ac:dyDescent="0.4">
      <c r="A962" s="5">
        <v>45531</v>
      </c>
      <c r="B962" s="9">
        <v>561.55999999999995</v>
      </c>
      <c r="C962" s="27">
        <f ca="1">AVERAGE(OFFSET(SPY_Close_Price_PQ[[#This Row],[Close]], 0, 0, $C$1*-1))</f>
        <v>547.97960000000023</v>
      </c>
      <c r="D962" s="27">
        <f ca="1">AVERAGE(OFFSET(SPY_Close_Price_PQ[[#This Row],[Close]], 0, 0, $D$1*-1))</f>
        <v>509.66125</v>
      </c>
      <c r="E962" s="28">
        <f t="shared" ca="1" si="14"/>
        <v>0</v>
      </c>
    </row>
    <row r="963" spans="1:5" x14ac:dyDescent="0.4">
      <c r="A963" s="4">
        <v>45532</v>
      </c>
      <c r="B963" s="8">
        <v>558.29999999999995</v>
      </c>
      <c r="C963" s="27">
        <f ca="1">AVERAGE(OFFSET(SPY_Close_Price_PQ[[#This Row],[Close]], 0, 0, $C$1*-1))</f>
        <v>548.20360000000028</v>
      </c>
      <c r="D963" s="27">
        <f ca="1">AVERAGE(OFFSET(SPY_Close_Price_PQ[[#This Row],[Close]], 0, 0, $D$1*-1))</f>
        <v>510.28354999999993</v>
      </c>
      <c r="E963" s="28">
        <f t="shared" ca="1" si="14"/>
        <v>0</v>
      </c>
    </row>
    <row r="964" spans="1:5" x14ac:dyDescent="0.4">
      <c r="A964" s="5">
        <v>45533</v>
      </c>
      <c r="B964" s="9">
        <v>558.35</v>
      </c>
      <c r="C964" s="27">
        <f ca="1">AVERAGE(OFFSET(SPY_Close_Price_PQ[[#This Row],[Close]], 0, 0, $C$1*-1))</f>
        <v>548.40080000000023</v>
      </c>
      <c r="D964" s="27">
        <f ca="1">AVERAGE(OFFSET(SPY_Close_Price_PQ[[#This Row],[Close]], 0, 0, $D$1*-1))</f>
        <v>510.87225000000001</v>
      </c>
      <c r="E964" s="28">
        <f t="shared" ref="E964:E1027" ca="1" si="15">IF(AND(C963&lt;D963,C964&gt;D964),1,0)</f>
        <v>0</v>
      </c>
    </row>
    <row r="965" spans="1:5" x14ac:dyDescent="0.4">
      <c r="A965" s="4">
        <v>45534</v>
      </c>
      <c r="B965" s="8">
        <v>563.67999999999995</v>
      </c>
      <c r="C965" s="27">
        <f ca="1">AVERAGE(OFFSET(SPY_Close_Price_PQ[[#This Row],[Close]], 0, 0, $C$1*-1))</f>
        <v>548.73440000000028</v>
      </c>
      <c r="D965" s="27">
        <f ca="1">AVERAGE(OFFSET(SPY_Close_Price_PQ[[#This Row],[Close]], 0, 0, $D$1*-1))</f>
        <v>511.48969999999991</v>
      </c>
      <c r="E965" s="28">
        <f t="shared" ca="1" si="15"/>
        <v>0</v>
      </c>
    </row>
    <row r="966" spans="1:5" x14ac:dyDescent="0.4">
      <c r="A966" s="5">
        <v>45538</v>
      </c>
      <c r="B966" s="9">
        <v>552.08000000000004</v>
      </c>
      <c r="C966" s="27">
        <f ca="1">AVERAGE(OFFSET(SPY_Close_Price_PQ[[#This Row],[Close]], 0, 0, $C$1*-1))</f>
        <v>548.88580000000024</v>
      </c>
      <c r="D966" s="27">
        <f ca="1">AVERAGE(OFFSET(SPY_Close_Price_PQ[[#This Row],[Close]], 0, 0, $D$1*-1))</f>
        <v>512.00645000000009</v>
      </c>
      <c r="E966" s="28">
        <f t="shared" ca="1" si="15"/>
        <v>0</v>
      </c>
    </row>
    <row r="967" spans="1:5" x14ac:dyDescent="0.4">
      <c r="A967" s="4">
        <v>45539</v>
      </c>
      <c r="B967" s="8">
        <v>550.95000000000005</v>
      </c>
      <c r="C967" s="27">
        <f ca="1">AVERAGE(OFFSET(SPY_Close_Price_PQ[[#This Row],[Close]], 0, 0, $C$1*-1))</f>
        <v>549.05000000000018</v>
      </c>
      <c r="D967" s="27">
        <f ca="1">AVERAGE(OFFSET(SPY_Close_Price_PQ[[#This Row],[Close]], 0, 0, $D$1*-1))</f>
        <v>512.51279999999997</v>
      </c>
      <c r="E967" s="28">
        <f t="shared" ca="1" si="15"/>
        <v>0</v>
      </c>
    </row>
    <row r="968" spans="1:5" x14ac:dyDescent="0.4">
      <c r="A968" s="5">
        <v>45540</v>
      </c>
      <c r="B968" s="9">
        <v>549.61</v>
      </c>
      <c r="C968" s="27">
        <f ca="1">AVERAGE(OFFSET(SPY_Close_Price_PQ[[#This Row],[Close]], 0, 0, $C$1*-1))</f>
        <v>549.14560000000017</v>
      </c>
      <c r="D968" s="27">
        <f ca="1">AVERAGE(OFFSET(SPY_Close_Price_PQ[[#This Row],[Close]], 0, 0, $D$1*-1))</f>
        <v>513.00969999999995</v>
      </c>
      <c r="E968" s="28">
        <f t="shared" ca="1" si="15"/>
        <v>0</v>
      </c>
    </row>
    <row r="969" spans="1:5" x14ac:dyDescent="0.4">
      <c r="A969" s="4">
        <v>45541</v>
      </c>
      <c r="B969" s="8">
        <v>540.36</v>
      </c>
      <c r="C969" s="27">
        <f ca="1">AVERAGE(OFFSET(SPY_Close_Price_PQ[[#This Row],[Close]], 0, 0, $C$1*-1))</f>
        <v>549.04260000000022</v>
      </c>
      <c r="D969" s="27">
        <f ca="1">AVERAGE(OFFSET(SPY_Close_Price_PQ[[#This Row],[Close]], 0, 0, $D$1*-1))</f>
        <v>513.45754999999986</v>
      </c>
      <c r="E969" s="28">
        <f t="shared" ca="1" si="15"/>
        <v>0</v>
      </c>
    </row>
    <row r="970" spans="1:5" x14ac:dyDescent="0.4">
      <c r="A970" s="5">
        <v>45544</v>
      </c>
      <c r="B970" s="9">
        <v>546.41</v>
      </c>
      <c r="C970" s="27">
        <f ca="1">AVERAGE(OFFSET(SPY_Close_Price_PQ[[#This Row],[Close]], 0, 0, $C$1*-1))</f>
        <v>549.04340000000013</v>
      </c>
      <c r="D970" s="27">
        <f ca="1">AVERAGE(OFFSET(SPY_Close_Price_PQ[[#This Row],[Close]], 0, 0, $D$1*-1))</f>
        <v>513.91829999999993</v>
      </c>
      <c r="E970" s="28">
        <f t="shared" ca="1" si="15"/>
        <v>0</v>
      </c>
    </row>
    <row r="971" spans="1:5" x14ac:dyDescent="0.4">
      <c r="A971" s="4">
        <v>45545</v>
      </c>
      <c r="B971" s="8">
        <v>548.79</v>
      </c>
      <c r="C971" s="27">
        <f ca="1">AVERAGE(OFFSET(SPY_Close_Price_PQ[[#This Row],[Close]], 0, 0, $C$1*-1))</f>
        <v>549.13480000000015</v>
      </c>
      <c r="D971" s="27">
        <f ca="1">AVERAGE(OFFSET(SPY_Close_Price_PQ[[#This Row],[Close]], 0, 0, $D$1*-1))</f>
        <v>514.39589999999987</v>
      </c>
      <c r="E971" s="28">
        <f t="shared" ca="1" si="15"/>
        <v>0</v>
      </c>
    </row>
    <row r="972" spans="1:5" x14ac:dyDescent="0.4">
      <c r="A972" s="5">
        <v>45546</v>
      </c>
      <c r="B972" s="9">
        <v>554.41999999999996</v>
      </c>
      <c r="C972" s="27">
        <f ca="1">AVERAGE(OFFSET(SPY_Close_Price_PQ[[#This Row],[Close]], 0, 0, $C$1*-1))</f>
        <v>549.31640000000004</v>
      </c>
      <c r="D972" s="27">
        <f ca="1">AVERAGE(OFFSET(SPY_Close_Price_PQ[[#This Row],[Close]], 0, 0, $D$1*-1))</f>
        <v>514.89289999999994</v>
      </c>
      <c r="E972" s="28">
        <f t="shared" ca="1" si="15"/>
        <v>0</v>
      </c>
    </row>
    <row r="973" spans="1:5" x14ac:dyDescent="0.4">
      <c r="A973" s="4">
        <v>45547</v>
      </c>
      <c r="B973" s="8">
        <v>559.09</v>
      </c>
      <c r="C973" s="27">
        <f ca="1">AVERAGE(OFFSET(SPY_Close_Price_PQ[[#This Row],[Close]], 0, 0, $C$1*-1))</f>
        <v>549.51800000000014</v>
      </c>
      <c r="D973" s="27">
        <f ca="1">AVERAGE(OFFSET(SPY_Close_Price_PQ[[#This Row],[Close]], 0, 0, $D$1*-1))</f>
        <v>515.41184999999996</v>
      </c>
      <c r="E973" s="28">
        <f t="shared" ca="1" si="15"/>
        <v>0</v>
      </c>
    </row>
    <row r="974" spans="1:5" x14ac:dyDescent="0.4">
      <c r="A974" s="5">
        <v>45548</v>
      </c>
      <c r="B974" s="9">
        <v>562.01</v>
      </c>
      <c r="C974" s="27">
        <f ca="1">AVERAGE(OFFSET(SPY_Close_Price_PQ[[#This Row],[Close]], 0, 0, $C$1*-1))</f>
        <v>549.72900000000004</v>
      </c>
      <c r="D974" s="27">
        <f ca="1">AVERAGE(OFFSET(SPY_Close_Price_PQ[[#This Row],[Close]], 0, 0, $D$1*-1))</f>
        <v>515.94949999999983</v>
      </c>
      <c r="E974" s="28">
        <f t="shared" ca="1" si="15"/>
        <v>0</v>
      </c>
    </row>
    <row r="975" spans="1:5" x14ac:dyDescent="0.4">
      <c r="A975" s="4">
        <v>45551</v>
      </c>
      <c r="B975" s="8">
        <v>562.84</v>
      </c>
      <c r="C975" s="27">
        <f ca="1">AVERAGE(OFFSET(SPY_Close_Price_PQ[[#This Row],[Close]], 0, 0, $C$1*-1))</f>
        <v>549.89299999999992</v>
      </c>
      <c r="D975" s="27">
        <f ca="1">AVERAGE(OFFSET(SPY_Close_Price_PQ[[#This Row],[Close]], 0, 0, $D$1*-1))</f>
        <v>516.48904999999979</v>
      </c>
      <c r="E975" s="28">
        <f t="shared" ca="1" si="15"/>
        <v>0</v>
      </c>
    </row>
    <row r="976" spans="1:5" x14ac:dyDescent="0.4">
      <c r="A976" s="5">
        <v>45552</v>
      </c>
      <c r="B976" s="9">
        <v>563.07000000000005</v>
      </c>
      <c r="C976" s="27">
        <f ca="1">AVERAGE(OFFSET(SPY_Close_Price_PQ[[#This Row],[Close]], 0, 0, $C$1*-1))</f>
        <v>550.04880000000003</v>
      </c>
      <c r="D976" s="27">
        <f ca="1">AVERAGE(OFFSET(SPY_Close_Price_PQ[[#This Row],[Close]], 0, 0, $D$1*-1))</f>
        <v>517.03134999999997</v>
      </c>
      <c r="E976" s="28">
        <f t="shared" ca="1" si="15"/>
        <v>0</v>
      </c>
    </row>
    <row r="977" spans="1:5" x14ac:dyDescent="0.4">
      <c r="A977" s="4">
        <v>45553</v>
      </c>
      <c r="B977" s="8">
        <v>561.4</v>
      </c>
      <c r="C977" s="27">
        <f ca="1">AVERAGE(OFFSET(SPY_Close_Price_PQ[[#This Row],[Close]], 0, 0, $C$1*-1))</f>
        <v>550.1604000000001</v>
      </c>
      <c r="D977" s="27">
        <f ca="1">AVERAGE(OFFSET(SPY_Close_Price_PQ[[#This Row],[Close]], 0, 0, $D$1*-1))</f>
        <v>517.55634999999984</v>
      </c>
      <c r="E977" s="28">
        <f t="shared" ca="1" si="15"/>
        <v>0</v>
      </c>
    </row>
    <row r="978" spans="1:5" x14ac:dyDescent="0.4">
      <c r="A978" s="5">
        <v>45554</v>
      </c>
      <c r="B978" s="9">
        <v>570.98</v>
      </c>
      <c r="C978" s="27">
        <f ca="1">AVERAGE(OFFSET(SPY_Close_Price_PQ[[#This Row],[Close]], 0, 0, $C$1*-1))</f>
        <v>550.35360000000003</v>
      </c>
      <c r="D978" s="27">
        <f ca="1">AVERAGE(OFFSET(SPY_Close_Price_PQ[[#This Row],[Close]], 0, 0, $D$1*-1))</f>
        <v>518.11574999999993</v>
      </c>
      <c r="E978" s="28">
        <f t="shared" ca="1" si="15"/>
        <v>0</v>
      </c>
    </row>
    <row r="979" spans="1:5" x14ac:dyDescent="0.4">
      <c r="A979" s="4">
        <v>45555</v>
      </c>
      <c r="B979" s="8">
        <v>568.25</v>
      </c>
      <c r="C979" s="27">
        <f ca="1">AVERAGE(OFFSET(SPY_Close_Price_PQ[[#This Row],[Close]], 0, 0, $C$1*-1))</f>
        <v>550.58900000000006</v>
      </c>
      <c r="D979" s="27">
        <f ca="1">AVERAGE(OFFSET(SPY_Close_Price_PQ[[#This Row],[Close]], 0, 0, $D$1*-1))</f>
        <v>518.67354999999986</v>
      </c>
      <c r="E979" s="28">
        <f t="shared" ca="1" si="15"/>
        <v>0</v>
      </c>
    </row>
    <row r="980" spans="1:5" x14ac:dyDescent="0.4">
      <c r="A980" s="5">
        <v>45558</v>
      </c>
      <c r="B980" s="9">
        <v>569.66999999999996</v>
      </c>
      <c r="C980" s="27">
        <f ca="1">AVERAGE(OFFSET(SPY_Close_Price_PQ[[#This Row],[Close]], 0, 0, $C$1*-1))</f>
        <v>550.7826</v>
      </c>
      <c r="D980" s="27">
        <f ca="1">AVERAGE(OFFSET(SPY_Close_Price_PQ[[#This Row],[Close]], 0, 0, $D$1*-1))</f>
        <v>519.23889999999994</v>
      </c>
      <c r="E980" s="28">
        <f t="shared" ca="1" si="15"/>
        <v>0</v>
      </c>
    </row>
    <row r="981" spans="1:5" x14ac:dyDescent="0.4">
      <c r="A981" s="4">
        <v>45559</v>
      </c>
      <c r="B981" s="8">
        <v>571.29999999999995</v>
      </c>
      <c r="C981" s="27">
        <f ca="1">AVERAGE(OFFSET(SPY_Close_Price_PQ[[#This Row],[Close]], 0, 0, $C$1*-1))</f>
        <v>550.97800000000007</v>
      </c>
      <c r="D981" s="27">
        <f ca="1">AVERAGE(OFFSET(SPY_Close_Price_PQ[[#This Row],[Close]], 0, 0, $D$1*-1))</f>
        <v>519.82159999999988</v>
      </c>
      <c r="E981" s="28">
        <f t="shared" ca="1" si="15"/>
        <v>0</v>
      </c>
    </row>
    <row r="982" spans="1:5" x14ac:dyDescent="0.4">
      <c r="A982" s="5">
        <v>45560</v>
      </c>
      <c r="B982" s="9">
        <v>570.04</v>
      </c>
      <c r="C982" s="27">
        <f ca="1">AVERAGE(OFFSET(SPY_Close_Price_PQ[[#This Row],[Close]], 0, 0, $C$1*-1))</f>
        <v>551.08159999999998</v>
      </c>
      <c r="D982" s="27">
        <f ca="1">AVERAGE(OFFSET(SPY_Close_Price_PQ[[#This Row],[Close]], 0, 0, $D$1*-1))</f>
        <v>520.38064999999983</v>
      </c>
      <c r="E982" s="28">
        <f t="shared" ca="1" si="15"/>
        <v>0</v>
      </c>
    </row>
    <row r="983" spans="1:5" x14ac:dyDescent="0.4">
      <c r="A983" s="4">
        <v>45561</v>
      </c>
      <c r="B983" s="8">
        <v>572.29999999999995</v>
      </c>
      <c r="C983" s="27">
        <f ca="1">AVERAGE(OFFSET(SPY_Close_Price_PQ[[#This Row],[Close]], 0, 0, $C$1*-1))</f>
        <v>551.38879999999995</v>
      </c>
      <c r="D983" s="27">
        <f ca="1">AVERAGE(OFFSET(SPY_Close_Price_PQ[[#This Row],[Close]], 0, 0, $D$1*-1))</f>
        <v>520.94114999999988</v>
      </c>
      <c r="E983" s="28">
        <f t="shared" ca="1" si="15"/>
        <v>0</v>
      </c>
    </row>
    <row r="984" spans="1:5" x14ac:dyDescent="0.4">
      <c r="A984" s="5">
        <v>45562</v>
      </c>
      <c r="B984" s="9">
        <v>571.47</v>
      </c>
      <c r="C984" s="27">
        <f ca="1">AVERAGE(OFFSET(SPY_Close_Price_PQ[[#This Row],[Close]], 0, 0, $C$1*-1))</f>
        <v>551.76499999999999</v>
      </c>
      <c r="D984" s="27">
        <f ca="1">AVERAGE(OFFSET(SPY_Close_Price_PQ[[#This Row],[Close]], 0, 0, $D$1*-1))</f>
        <v>521.4885499999998</v>
      </c>
      <c r="E984" s="28">
        <f t="shared" ca="1" si="15"/>
        <v>0</v>
      </c>
    </row>
    <row r="985" spans="1:5" x14ac:dyDescent="0.4">
      <c r="A985" s="4">
        <v>45565</v>
      </c>
      <c r="B985" s="8">
        <v>573.76</v>
      </c>
      <c r="C985" s="27">
        <f ca="1">AVERAGE(OFFSET(SPY_Close_Price_PQ[[#This Row],[Close]], 0, 0, $C$1*-1))</f>
        <v>552.26039999999989</v>
      </c>
      <c r="D985" s="27">
        <f ca="1">AVERAGE(OFFSET(SPY_Close_Price_PQ[[#This Row],[Close]], 0, 0, $D$1*-1))</f>
        <v>522.03684999999984</v>
      </c>
      <c r="E985" s="28">
        <f t="shared" ca="1" si="15"/>
        <v>0</v>
      </c>
    </row>
    <row r="986" spans="1:5" x14ac:dyDescent="0.4">
      <c r="A986" s="5">
        <v>45566</v>
      </c>
      <c r="B986" s="9">
        <v>568.62</v>
      </c>
      <c r="C986" s="27">
        <f ca="1">AVERAGE(OFFSET(SPY_Close_Price_PQ[[#This Row],[Close]], 0, 0, $C$1*-1))</f>
        <v>552.53980000000001</v>
      </c>
      <c r="D986" s="27">
        <f ca="1">AVERAGE(OFFSET(SPY_Close_Price_PQ[[#This Row],[Close]], 0, 0, $D$1*-1))</f>
        <v>522.52744999999982</v>
      </c>
      <c r="E986" s="28">
        <f t="shared" ca="1" si="15"/>
        <v>0</v>
      </c>
    </row>
    <row r="987" spans="1:5" x14ac:dyDescent="0.4">
      <c r="A987" s="4">
        <v>45567</v>
      </c>
      <c r="B987" s="8">
        <v>568.86</v>
      </c>
      <c r="C987" s="27">
        <f ca="1">AVERAGE(OFFSET(SPY_Close_Price_PQ[[#This Row],[Close]], 0, 0, $C$1*-1))</f>
        <v>552.84139999999979</v>
      </c>
      <c r="D987" s="27">
        <f ca="1">AVERAGE(OFFSET(SPY_Close_Price_PQ[[#This Row],[Close]], 0, 0, $D$1*-1))</f>
        <v>523.01169999999979</v>
      </c>
      <c r="E987" s="28">
        <f t="shared" ca="1" si="15"/>
        <v>0</v>
      </c>
    </row>
    <row r="988" spans="1:5" x14ac:dyDescent="0.4">
      <c r="A988" s="5">
        <v>45568</v>
      </c>
      <c r="B988" s="9">
        <v>567.82000000000005</v>
      </c>
      <c r="C988" s="27">
        <f ca="1">AVERAGE(OFFSET(SPY_Close_Price_PQ[[#This Row],[Close]], 0, 0, $C$1*-1))</f>
        <v>553.37319999999988</v>
      </c>
      <c r="D988" s="27">
        <f ca="1">AVERAGE(OFFSET(SPY_Close_Price_PQ[[#This Row],[Close]], 0, 0, $D$1*-1))</f>
        <v>523.50414999999975</v>
      </c>
      <c r="E988" s="28">
        <f t="shared" ca="1" si="15"/>
        <v>0</v>
      </c>
    </row>
    <row r="989" spans="1:5" x14ac:dyDescent="0.4">
      <c r="A989" s="4">
        <v>45569</v>
      </c>
      <c r="B989" s="8">
        <v>572.98</v>
      </c>
      <c r="C989" s="27">
        <f ca="1">AVERAGE(OFFSET(SPY_Close_Price_PQ[[#This Row],[Close]], 0, 0, $C$1*-1))</f>
        <v>554.06459999999993</v>
      </c>
      <c r="D989" s="27">
        <f ca="1">AVERAGE(OFFSET(SPY_Close_Price_PQ[[#This Row],[Close]], 0, 0, $D$1*-1))</f>
        <v>524.00919999999985</v>
      </c>
      <c r="E989" s="28">
        <f t="shared" ca="1" si="15"/>
        <v>0</v>
      </c>
    </row>
    <row r="990" spans="1:5" x14ac:dyDescent="0.4">
      <c r="A990" s="5">
        <v>45572</v>
      </c>
      <c r="B990" s="9">
        <v>567.79999999999995</v>
      </c>
      <c r="C990" s="27">
        <f ca="1">AVERAGE(OFFSET(SPY_Close_Price_PQ[[#This Row],[Close]], 0, 0, $C$1*-1))</f>
        <v>554.53179999999998</v>
      </c>
      <c r="D990" s="27">
        <f ca="1">AVERAGE(OFFSET(SPY_Close_Price_PQ[[#This Row],[Close]], 0, 0, $D$1*-1))</f>
        <v>524.47399999999982</v>
      </c>
      <c r="E990" s="28">
        <f t="shared" ca="1" si="15"/>
        <v>0</v>
      </c>
    </row>
    <row r="991" spans="1:5" x14ac:dyDescent="0.4">
      <c r="A991" s="4">
        <v>45573</v>
      </c>
      <c r="B991" s="8">
        <v>573.16999999999996</v>
      </c>
      <c r="C991" s="27">
        <f ca="1">AVERAGE(OFFSET(SPY_Close_Price_PQ[[#This Row],[Close]], 0, 0, $C$1*-1))</f>
        <v>555.0999999999998</v>
      </c>
      <c r="D991" s="27">
        <f ca="1">AVERAGE(OFFSET(SPY_Close_Price_PQ[[#This Row],[Close]], 0, 0, $D$1*-1))</f>
        <v>524.99854999999991</v>
      </c>
      <c r="E991" s="28">
        <f t="shared" ca="1" si="15"/>
        <v>0</v>
      </c>
    </row>
    <row r="992" spans="1:5" x14ac:dyDescent="0.4">
      <c r="A992" s="5">
        <v>45574</v>
      </c>
      <c r="B992" s="9">
        <v>577.14</v>
      </c>
      <c r="C992" s="27">
        <f ca="1">AVERAGE(OFFSET(SPY_Close_Price_PQ[[#This Row],[Close]], 0, 0, $C$1*-1))</f>
        <v>555.80279999999982</v>
      </c>
      <c r="D992" s="27">
        <f ca="1">AVERAGE(OFFSET(SPY_Close_Price_PQ[[#This Row],[Close]], 0, 0, $D$1*-1))</f>
        <v>525.52074999999991</v>
      </c>
      <c r="E992" s="28">
        <f t="shared" ca="1" si="15"/>
        <v>0</v>
      </c>
    </row>
    <row r="993" spans="1:5" x14ac:dyDescent="0.4">
      <c r="A993" s="4">
        <v>45575</v>
      </c>
      <c r="B993" s="8">
        <v>576.13</v>
      </c>
      <c r="C993" s="27">
        <f ca="1">AVERAGE(OFFSET(SPY_Close_Price_PQ[[#This Row],[Close]], 0, 0, $C$1*-1))</f>
        <v>556.30919999999981</v>
      </c>
      <c r="D993" s="27">
        <f ca="1">AVERAGE(OFFSET(SPY_Close_Price_PQ[[#This Row],[Close]], 0, 0, $D$1*-1))</f>
        <v>526.03314999999998</v>
      </c>
      <c r="E993" s="28">
        <f t="shared" ca="1" si="15"/>
        <v>0</v>
      </c>
    </row>
    <row r="994" spans="1:5" x14ac:dyDescent="0.4">
      <c r="A994" s="5">
        <v>45576</v>
      </c>
      <c r="B994" s="9">
        <v>579.58000000000004</v>
      </c>
      <c r="C994" s="27">
        <f ca="1">AVERAGE(OFFSET(SPY_Close_Price_PQ[[#This Row],[Close]], 0, 0, $C$1*-1))</f>
        <v>557.04059999999993</v>
      </c>
      <c r="D994" s="27">
        <f ca="1">AVERAGE(OFFSET(SPY_Close_Price_PQ[[#This Row],[Close]], 0, 0, $D$1*-1))</f>
        <v>526.55279999999993</v>
      </c>
      <c r="E994" s="28">
        <f t="shared" ca="1" si="15"/>
        <v>0</v>
      </c>
    </row>
    <row r="995" spans="1:5" x14ac:dyDescent="0.4">
      <c r="A995" s="4">
        <v>45579</v>
      </c>
      <c r="B995" s="8">
        <v>584.32000000000005</v>
      </c>
      <c r="C995" s="27">
        <f ca="1">AVERAGE(OFFSET(SPY_Close_Price_PQ[[#This Row],[Close]], 0, 0, $C$1*-1))</f>
        <v>558.06899999999996</v>
      </c>
      <c r="D995" s="27">
        <f ca="1">AVERAGE(OFFSET(SPY_Close_Price_PQ[[#This Row],[Close]], 0, 0, $D$1*-1))</f>
        <v>527.09185000000002</v>
      </c>
      <c r="E995" s="28">
        <f t="shared" ca="1" si="15"/>
        <v>0</v>
      </c>
    </row>
    <row r="996" spans="1:5" x14ac:dyDescent="0.4">
      <c r="A996" s="5">
        <v>45580</v>
      </c>
      <c r="B996" s="9">
        <v>579.78</v>
      </c>
      <c r="C996" s="27">
        <f ca="1">AVERAGE(OFFSET(SPY_Close_Price_PQ[[#This Row],[Close]], 0, 0, $C$1*-1))</f>
        <v>559.31699999999989</v>
      </c>
      <c r="D996" s="27">
        <f ca="1">AVERAGE(OFFSET(SPY_Close_Price_PQ[[#This Row],[Close]], 0, 0, $D$1*-1))</f>
        <v>527.60730000000001</v>
      </c>
      <c r="E996" s="28">
        <f t="shared" ca="1" si="15"/>
        <v>0</v>
      </c>
    </row>
    <row r="997" spans="1:5" x14ac:dyDescent="0.4">
      <c r="A997" s="4">
        <v>45581</v>
      </c>
      <c r="B997" s="8">
        <v>582.29999999999995</v>
      </c>
      <c r="C997" s="27">
        <f ca="1">AVERAGE(OFFSET(SPY_Close_Price_PQ[[#This Row],[Close]], 0, 0, $C$1*-1))</f>
        <v>560.52</v>
      </c>
      <c r="D997" s="27">
        <f ca="1">AVERAGE(OFFSET(SPY_Close_Price_PQ[[#This Row],[Close]], 0, 0, $D$1*-1))</f>
        <v>528.14224999999999</v>
      </c>
      <c r="E997" s="28">
        <f t="shared" ca="1" si="15"/>
        <v>0</v>
      </c>
    </row>
    <row r="998" spans="1:5" x14ac:dyDescent="0.4">
      <c r="A998" s="5">
        <v>45582</v>
      </c>
      <c r="B998" s="9">
        <v>582.35</v>
      </c>
      <c r="C998" s="27">
        <f ca="1">AVERAGE(OFFSET(SPY_Close_Price_PQ[[#This Row],[Close]], 0, 0, $C$1*-1))</f>
        <v>561.79379999999992</v>
      </c>
      <c r="D998" s="27">
        <f ca="1">AVERAGE(OFFSET(SPY_Close_Price_PQ[[#This Row],[Close]], 0, 0, $D$1*-1))</f>
        <v>528.69075000000009</v>
      </c>
      <c r="E998" s="28">
        <f t="shared" ca="1" si="15"/>
        <v>0</v>
      </c>
    </row>
    <row r="999" spans="1:5" x14ac:dyDescent="0.4">
      <c r="A999" s="4">
        <v>45583</v>
      </c>
      <c r="B999" s="8">
        <v>584.59</v>
      </c>
      <c r="C999" s="27">
        <f ca="1">AVERAGE(OFFSET(SPY_Close_Price_PQ[[#This Row],[Close]], 0, 0, $C$1*-1))</f>
        <v>562.87259999999992</v>
      </c>
      <c r="D999" s="27">
        <f ca="1">AVERAGE(OFFSET(SPY_Close_Price_PQ[[#This Row],[Close]], 0, 0, $D$1*-1))</f>
        <v>529.26974999999993</v>
      </c>
      <c r="E999" s="28">
        <f t="shared" ca="1" si="15"/>
        <v>0</v>
      </c>
    </row>
    <row r="1000" spans="1:5" x14ac:dyDescent="0.4">
      <c r="A1000" s="5">
        <v>45586</v>
      </c>
      <c r="B1000" s="9">
        <v>583.63</v>
      </c>
      <c r="C1000" s="27">
        <f ca="1">AVERAGE(OFFSET(SPY_Close_Price_PQ[[#This Row],[Close]], 0, 0, $C$1*-1))</f>
        <v>563.88539999999989</v>
      </c>
      <c r="D1000" s="27">
        <f ca="1">AVERAGE(OFFSET(SPY_Close_Price_PQ[[#This Row],[Close]], 0, 0, $D$1*-1))</f>
        <v>529.85149999999999</v>
      </c>
      <c r="E1000" s="28">
        <f t="shared" ca="1" si="15"/>
        <v>0</v>
      </c>
    </row>
    <row r="1001" spans="1:5" x14ac:dyDescent="0.4">
      <c r="A1001" s="4">
        <v>45587</v>
      </c>
      <c r="B1001" s="8">
        <v>583.32000000000005</v>
      </c>
      <c r="C1001" s="27">
        <f ca="1">AVERAGE(OFFSET(SPY_Close_Price_PQ[[#This Row],[Close]], 0, 0, $C$1*-1))</f>
        <v>564.88639999999998</v>
      </c>
      <c r="D1001" s="27">
        <f ca="1">AVERAGE(OFFSET(SPY_Close_Price_PQ[[#This Row],[Close]], 0, 0, $D$1*-1))</f>
        <v>530.42849999999999</v>
      </c>
      <c r="E1001" s="28">
        <f t="shared" ca="1" si="15"/>
        <v>0</v>
      </c>
    </row>
    <row r="1002" spans="1:5" x14ac:dyDescent="0.4">
      <c r="A1002" s="5">
        <v>45588</v>
      </c>
      <c r="B1002" s="9">
        <v>577.99</v>
      </c>
      <c r="C1002" s="27">
        <f ca="1">AVERAGE(OFFSET(SPY_Close_Price_PQ[[#This Row],[Close]], 0, 0, $C$1*-1))</f>
        <v>565.60539999999992</v>
      </c>
      <c r="D1002" s="27">
        <f ca="1">AVERAGE(OFFSET(SPY_Close_Price_PQ[[#This Row],[Close]], 0, 0, $D$1*-1))</f>
        <v>530.94545000000005</v>
      </c>
      <c r="E1002" s="28">
        <f t="shared" ca="1" si="15"/>
        <v>0</v>
      </c>
    </row>
    <row r="1003" spans="1:5" x14ac:dyDescent="0.4">
      <c r="A1003" s="4">
        <v>45589</v>
      </c>
      <c r="B1003" s="8">
        <v>579.24</v>
      </c>
      <c r="C1003" s="27">
        <f ca="1">AVERAGE(OFFSET(SPY_Close_Price_PQ[[#This Row],[Close]], 0, 0, $C$1*-1))</f>
        <v>566.3152</v>
      </c>
      <c r="D1003" s="27">
        <f ca="1">AVERAGE(OFFSET(SPY_Close_Price_PQ[[#This Row],[Close]], 0, 0, $D$1*-1))</f>
        <v>531.47225000000003</v>
      </c>
      <c r="E1003" s="28">
        <f t="shared" ca="1" si="15"/>
        <v>0</v>
      </c>
    </row>
    <row r="1004" spans="1:5" x14ac:dyDescent="0.4">
      <c r="A1004" s="5">
        <v>45590</v>
      </c>
      <c r="B1004" s="9">
        <v>579.04</v>
      </c>
      <c r="C1004" s="27">
        <f ca="1">AVERAGE(OFFSET(SPY_Close_Price_PQ[[#This Row],[Close]], 0, 0, $C$1*-1))</f>
        <v>566.83460000000002</v>
      </c>
      <c r="D1004" s="27">
        <f ca="1">AVERAGE(OFFSET(SPY_Close_Price_PQ[[#This Row],[Close]], 0, 0, $D$1*-1))</f>
        <v>531.98464999999999</v>
      </c>
      <c r="E1004" s="28">
        <f t="shared" ca="1" si="15"/>
        <v>0</v>
      </c>
    </row>
    <row r="1005" spans="1:5" x14ac:dyDescent="0.4">
      <c r="A1005" s="4">
        <v>45593</v>
      </c>
      <c r="B1005" s="8">
        <v>580.83000000000004</v>
      </c>
      <c r="C1005" s="27">
        <f ca="1">AVERAGE(OFFSET(SPY_Close_Price_PQ[[#This Row],[Close]], 0, 0, $C$1*-1))</f>
        <v>567.36500000000001</v>
      </c>
      <c r="D1005" s="27">
        <f ca="1">AVERAGE(OFFSET(SPY_Close_Price_PQ[[#This Row],[Close]], 0, 0, $D$1*-1))</f>
        <v>532.50705000000005</v>
      </c>
      <c r="E1005" s="28">
        <f t="shared" ca="1" si="15"/>
        <v>0</v>
      </c>
    </row>
    <row r="1006" spans="1:5" x14ac:dyDescent="0.4">
      <c r="A1006" s="5">
        <v>45594</v>
      </c>
      <c r="B1006" s="9">
        <v>581.77</v>
      </c>
      <c r="C1006" s="27">
        <f ca="1">AVERAGE(OFFSET(SPY_Close_Price_PQ[[#This Row],[Close]], 0, 0, $C$1*-1))</f>
        <v>567.80819999999994</v>
      </c>
      <c r="D1006" s="27">
        <f ca="1">AVERAGE(OFFSET(SPY_Close_Price_PQ[[#This Row],[Close]], 0, 0, $D$1*-1))</f>
        <v>533.03250000000003</v>
      </c>
      <c r="E1006" s="28">
        <f t="shared" ca="1" si="15"/>
        <v>0</v>
      </c>
    </row>
    <row r="1007" spans="1:5" x14ac:dyDescent="0.4">
      <c r="A1007" s="4">
        <v>45595</v>
      </c>
      <c r="B1007" s="8">
        <v>580.01</v>
      </c>
      <c r="C1007" s="27">
        <f ca="1">AVERAGE(OFFSET(SPY_Close_Price_PQ[[#This Row],[Close]], 0, 0, $C$1*-1))</f>
        <v>568.23439999999994</v>
      </c>
      <c r="D1007" s="27">
        <f ca="1">AVERAGE(OFFSET(SPY_Close_Price_PQ[[#This Row],[Close]], 0, 0, $D$1*-1))</f>
        <v>533.55790000000002</v>
      </c>
      <c r="E1007" s="28">
        <f t="shared" ca="1" si="15"/>
        <v>0</v>
      </c>
    </row>
    <row r="1008" spans="1:5" x14ac:dyDescent="0.4">
      <c r="A1008" s="5">
        <v>45596</v>
      </c>
      <c r="B1008" s="9">
        <v>568.64</v>
      </c>
      <c r="C1008" s="27">
        <f ca="1">AVERAGE(OFFSET(SPY_Close_Price_PQ[[#This Row],[Close]], 0, 0, $C$1*-1))</f>
        <v>568.39479999999992</v>
      </c>
      <c r="D1008" s="27">
        <f ca="1">AVERAGE(OFFSET(SPY_Close_Price_PQ[[#This Row],[Close]], 0, 0, $D$1*-1))</f>
        <v>534.03964999999994</v>
      </c>
      <c r="E1008" s="28">
        <f t="shared" ca="1" si="15"/>
        <v>0</v>
      </c>
    </row>
    <row r="1009" spans="1:5" x14ac:dyDescent="0.4">
      <c r="A1009" s="4">
        <v>45597</v>
      </c>
      <c r="B1009" s="8">
        <v>571.04</v>
      </c>
      <c r="C1009" s="27">
        <f ca="1">AVERAGE(OFFSET(SPY_Close_Price_PQ[[#This Row],[Close]], 0, 0, $C$1*-1))</f>
        <v>568.69119999999998</v>
      </c>
      <c r="D1009" s="27">
        <f ca="1">AVERAGE(OFFSET(SPY_Close_Price_PQ[[#This Row],[Close]], 0, 0, $D$1*-1))</f>
        <v>534.51239999999996</v>
      </c>
      <c r="E1009" s="28">
        <f t="shared" ca="1" si="15"/>
        <v>0</v>
      </c>
    </row>
    <row r="1010" spans="1:5" x14ac:dyDescent="0.4">
      <c r="A1010" s="5">
        <v>45600</v>
      </c>
      <c r="B1010" s="9">
        <v>569.80999999999995</v>
      </c>
      <c r="C1010" s="27">
        <f ca="1">AVERAGE(OFFSET(SPY_Close_Price_PQ[[#This Row],[Close]], 0, 0, $C$1*-1))</f>
        <v>568.84480000000008</v>
      </c>
      <c r="D1010" s="27">
        <f ca="1">AVERAGE(OFFSET(SPY_Close_Price_PQ[[#This Row],[Close]], 0, 0, $D$1*-1))</f>
        <v>534.94929999999988</v>
      </c>
      <c r="E1010" s="28">
        <f t="shared" ca="1" si="15"/>
        <v>0</v>
      </c>
    </row>
    <row r="1011" spans="1:5" x14ac:dyDescent="0.4">
      <c r="A1011" s="4">
        <v>45601</v>
      </c>
      <c r="B1011" s="8">
        <v>576.70000000000005</v>
      </c>
      <c r="C1011" s="27">
        <f ca="1">AVERAGE(OFFSET(SPY_Close_Price_PQ[[#This Row],[Close]], 0, 0, $C$1*-1))</f>
        <v>569.16300000000012</v>
      </c>
      <c r="D1011" s="27">
        <f ca="1">AVERAGE(OFFSET(SPY_Close_Price_PQ[[#This Row],[Close]], 0, 0, $D$1*-1))</f>
        <v>535.41554999999994</v>
      </c>
      <c r="E1011" s="28">
        <f t="shared" ca="1" si="15"/>
        <v>0</v>
      </c>
    </row>
    <row r="1012" spans="1:5" x14ac:dyDescent="0.4">
      <c r="A1012" s="5">
        <v>45602</v>
      </c>
      <c r="B1012" s="9">
        <v>591.04</v>
      </c>
      <c r="C1012" s="27">
        <f ca="1">AVERAGE(OFFSET(SPY_Close_Price_PQ[[#This Row],[Close]], 0, 0, $C$1*-1))</f>
        <v>569.75260000000014</v>
      </c>
      <c r="D1012" s="27">
        <f ca="1">AVERAGE(OFFSET(SPY_Close_Price_PQ[[#This Row],[Close]], 0, 0, $D$1*-1))</f>
        <v>535.94644999999991</v>
      </c>
      <c r="E1012" s="28">
        <f t="shared" ca="1" si="15"/>
        <v>0</v>
      </c>
    </row>
    <row r="1013" spans="1:5" x14ac:dyDescent="0.4">
      <c r="A1013" s="4">
        <v>45603</v>
      </c>
      <c r="B1013" s="8">
        <v>595.61</v>
      </c>
      <c r="C1013" s="27">
        <f ca="1">AVERAGE(OFFSET(SPY_Close_Price_PQ[[#This Row],[Close]], 0, 0, $C$1*-1))</f>
        <v>570.49880000000007</v>
      </c>
      <c r="D1013" s="27">
        <f ca="1">AVERAGE(OFFSET(SPY_Close_Price_PQ[[#This Row],[Close]], 0, 0, $D$1*-1))</f>
        <v>536.49754999999993</v>
      </c>
      <c r="E1013" s="28">
        <f t="shared" ca="1" si="15"/>
        <v>0</v>
      </c>
    </row>
    <row r="1014" spans="1:5" x14ac:dyDescent="0.4">
      <c r="A1014" s="5">
        <v>45604</v>
      </c>
      <c r="B1014" s="9">
        <v>598.19000000000005</v>
      </c>
      <c r="C1014" s="27">
        <f ca="1">AVERAGE(OFFSET(SPY_Close_Price_PQ[[#This Row],[Close]], 0, 0, $C$1*-1))</f>
        <v>571.29560000000004</v>
      </c>
      <c r="D1014" s="27">
        <f ca="1">AVERAGE(OFFSET(SPY_Close_Price_PQ[[#This Row],[Close]], 0, 0, $D$1*-1))</f>
        <v>537.04834999999991</v>
      </c>
      <c r="E1014" s="28">
        <f t="shared" ca="1" si="15"/>
        <v>0</v>
      </c>
    </row>
    <row r="1015" spans="1:5" x14ac:dyDescent="0.4">
      <c r="A1015" s="4">
        <v>45607</v>
      </c>
      <c r="B1015" s="8">
        <v>598.76</v>
      </c>
      <c r="C1015" s="27">
        <f ca="1">AVERAGE(OFFSET(SPY_Close_Price_PQ[[#This Row],[Close]], 0, 0, $C$1*-1))</f>
        <v>571.99720000000002</v>
      </c>
      <c r="D1015" s="27">
        <f ca="1">AVERAGE(OFFSET(SPY_Close_Price_PQ[[#This Row],[Close]], 0, 0, $D$1*-1))</f>
        <v>537.60509999999999</v>
      </c>
      <c r="E1015" s="28">
        <f t="shared" ca="1" si="15"/>
        <v>0</v>
      </c>
    </row>
    <row r="1016" spans="1:5" x14ac:dyDescent="0.4">
      <c r="A1016" s="5">
        <v>45608</v>
      </c>
      <c r="B1016" s="9">
        <v>596.9</v>
      </c>
      <c r="C1016" s="27">
        <f ca="1">AVERAGE(OFFSET(SPY_Close_Price_PQ[[#This Row],[Close]], 0, 0, $C$1*-1))</f>
        <v>572.89359999999999</v>
      </c>
      <c r="D1016" s="27">
        <f ca="1">AVERAGE(OFFSET(SPY_Close_Price_PQ[[#This Row],[Close]], 0, 0, $D$1*-1))</f>
        <v>538.13324999999998</v>
      </c>
      <c r="E1016" s="28">
        <f t="shared" ca="1" si="15"/>
        <v>0</v>
      </c>
    </row>
    <row r="1017" spans="1:5" x14ac:dyDescent="0.4">
      <c r="A1017" s="4">
        <v>45609</v>
      </c>
      <c r="B1017" s="8">
        <v>597.19000000000005</v>
      </c>
      <c r="C1017" s="27">
        <f ca="1">AVERAGE(OFFSET(SPY_Close_Price_PQ[[#This Row],[Close]], 0, 0, $C$1*-1))</f>
        <v>573.8184</v>
      </c>
      <c r="D1017" s="27">
        <f ca="1">AVERAGE(OFFSET(SPY_Close_Price_PQ[[#This Row],[Close]], 0, 0, $D$1*-1))</f>
        <v>538.66474999999991</v>
      </c>
      <c r="E1017" s="28">
        <f t="shared" ca="1" si="15"/>
        <v>0</v>
      </c>
    </row>
    <row r="1018" spans="1:5" x14ac:dyDescent="0.4">
      <c r="A1018" s="5">
        <v>45610</v>
      </c>
      <c r="B1018" s="9">
        <v>593.35</v>
      </c>
      <c r="C1018" s="27">
        <f ca="1">AVERAGE(OFFSET(SPY_Close_Price_PQ[[#This Row],[Close]], 0, 0, $C$1*-1))</f>
        <v>574.69320000000005</v>
      </c>
      <c r="D1018" s="27">
        <f ca="1">AVERAGE(OFFSET(SPY_Close_Price_PQ[[#This Row],[Close]], 0, 0, $D$1*-1))</f>
        <v>539.21709999999996</v>
      </c>
      <c r="E1018" s="28">
        <f t="shared" ca="1" si="15"/>
        <v>0</v>
      </c>
    </row>
    <row r="1019" spans="1:5" x14ac:dyDescent="0.4">
      <c r="A1019" s="4">
        <v>45611</v>
      </c>
      <c r="B1019" s="8">
        <v>585.75</v>
      </c>
      <c r="C1019" s="27">
        <f ca="1">AVERAGE(OFFSET(SPY_Close_Price_PQ[[#This Row],[Close]], 0, 0, $C$1*-1))</f>
        <v>575.60100000000011</v>
      </c>
      <c r="D1019" s="27">
        <f ca="1">AVERAGE(OFFSET(SPY_Close_Price_PQ[[#This Row],[Close]], 0, 0, $D$1*-1))</f>
        <v>539.69984999999997</v>
      </c>
      <c r="E1019" s="28">
        <f t="shared" ca="1" si="15"/>
        <v>0</v>
      </c>
    </row>
    <row r="1020" spans="1:5" x14ac:dyDescent="0.4">
      <c r="A1020" s="5">
        <v>45614</v>
      </c>
      <c r="B1020" s="9">
        <v>588.15</v>
      </c>
      <c r="C1020" s="27">
        <f ca="1">AVERAGE(OFFSET(SPY_Close_Price_PQ[[#This Row],[Close]], 0, 0, $C$1*-1))</f>
        <v>576.43580000000009</v>
      </c>
      <c r="D1020" s="27">
        <f ca="1">AVERAGE(OFFSET(SPY_Close_Price_PQ[[#This Row],[Close]], 0, 0, $D$1*-1))</f>
        <v>540.16885000000002</v>
      </c>
      <c r="E1020" s="28">
        <f t="shared" ca="1" si="15"/>
        <v>0</v>
      </c>
    </row>
    <row r="1021" spans="1:5" x14ac:dyDescent="0.4">
      <c r="A1021" s="4">
        <v>45615</v>
      </c>
      <c r="B1021" s="8">
        <v>590.29999999999995</v>
      </c>
      <c r="C1021" s="27">
        <f ca="1">AVERAGE(OFFSET(SPY_Close_Price_PQ[[#This Row],[Close]], 0, 0, $C$1*-1))</f>
        <v>577.26600000000008</v>
      </c>
      <c r="D1021" s="27">
        <f ca="1">AVERAGE(OFFSET(SPY_Close_Price_PQ[[#This Row],[Close]], 0, 0, $D$1*-1))</f>
        <v>540.6576</v>
      </c>
      <c r="E1021" s="28">
        <f t="shared" ca="1" si="15"/>
        <v>0</v>
      </c>
    </row>
    <row r="1022" spans="1:5" x14ac:dyDescent="0.4">
      <c r="A1022" s="5">
        <v>45616</v>
      </c>
      <c r="B1022" s="9">
        <v>590.5</v>
      </c>
      <c r="C1022" s="27">
        <f ca="1">AVERAGE(OFFSET(SPY_Close_Price_PQ[[#This Row],[Close]], 0, 0, $C$1*-1))</f>
        <v>577.98760000000004</v>
      </c>
      <c r="D1022" s="27">
        <f ca="1">AVERAGE(OFFSET(SPY_Close_Price_PQ[[#This Row],[Close]], 0, 0, $D$1*-1))</f>
        <v>541.14019999999994</v>
      </c>
      <c r="E1022" s="28">
        <f t="shared" ca="1" si="15"/>
        <v>0</v>
      </c>
    </row>
    <row r="1023" spans="1:5" x14ac:dyDescent="0.4">
      <c r="A1023" s="4">
        <v>45617</v>
      </c>
      <c r="B1023" s="8">
        <v>593.66999999999996</v>
      </c>
      <c r="C1023" s="27">
        <f ca="1">AVERAGE(OFFSET(SPY_Close_Price_PQ[[#This Row],[Close]], 0, 0, $C$1*-1))</f>
        <v>578.67920000000004</v>
      </c>
      <c r="D1023" s="27">
        <f ca="1">AVERAGE(OFFSET(SPY_Close_Price_PQ[[#This Row],[Close]], 0, 0, $D$1*-1))</f>
        <v>541.61805000000004</v>
      </c>
      <c r="E1023" s="28">
        <f t="shared" ca="1" si="15"/>
        <v>0</v>
      </c>
    </row>
    <row r="1024" spans="1:5" x14ac:dyDescent="0.4">
      <c r="A1024" s="5">
        <v>45618</v>
      </c>
      <c r="B1024" s="9">
        <v>595.51</v>
      </c>
      <c r="C1024" s="27">
        <f ca="1">AVERAGE(OFFSET(SPY_Close_Price_PQ[[#This Row],[Close]], 0, 0, $C$1*-1))</f>
        <v>579.34919999999988</v>
      </c>
      <c r="D1024" s="27">
        <f ca="1">AVERAGE(OFFSET(SPY_Close_Price_PQ[[#This Row],[Close]], 0, 0, $D$1*-1))</f>
        <v>542.10400000000004</v>
      </c>
      <c r="E1024" s="28">
        <f t="shared" ca="1" si="15"/>
        <v>0</v>
      </c>
    </row>
    <row r="1025" spans="1:5" x14ac:dyDescent="0.4">
      <c r="A1025" s="4">
        <v>45621</v>
      </c>
      <c r="B1025" s="8">
        <v>597.53</v>
      </c>
      <c r="C1025" s="27">
        <f ca="1">AVERAGE(OFFSET(SPY_Close_Price_PQ[[#This Row],[Close]], 0, 0, $C$1*-1))</f>
        <v>580.04299999999989</v>
      </c>
      <c r="D1025" s="27">
        <f ca="1">AVERAGE(OFFSET(SPY_Close_Price_PQ[[#This Row],[Close]], 0, 0, $D$1*-1))</f>
        <v>542.58564999999999</v>
      </c>
      <c r="E1025" s="28">
        <f t="shared" ca="1" si="15"/>
        <v>0</v>
      </c>
    </row>
    <row r="1026" spans="1:5" x14ac:dyDescent="0.4">
      <c r="A1026" s="5">
        <v>45622</v>
      </c>
      <c r="B1026" s="9">
        <v>600.65</v>
      </c>
      <c r="C1026" s="27">
        <f ca="1">AVERAGE(OFFSET(SPY_Close_Price_PQ[[#This Row],[Close]], 0, 0, $C$1*-1))</f>
        <v>580.79459999999995</v>
      </c>
      <c r="D1026" s="27">
        <f ca="1">AVERAGE(OFFSET(SPY_Close_Price_PQ[[#This Row],[Close]], 0, 0, $D$1*-1))</f>
        <v>543.08399999999983</v>
      </c>
      <c r="E1026" s="28">
        <f t="shared" ca="1" si="15"/>
        <v>0</v>
      </c>
    </row>
    <row r="1027" spans="1:5" x14ac:dyDescent="0.4">
      <c r="A1027" s="4">
        <v>45623</v>
      </c>
      <c r="B1027" s="8">
        <v>598.83000000000004</v>
      </c>
      <c r="C1027" s="27">
        <f ca="1">AVERAGE(OFFSET(SPY_Close_Price_PQ[[#This Row],[Close]], 0, 0, $C$1*-1))</f>
        <v>581.54319999999984</v>
      </c>
      <c r="D1027" s="27">
        <f ca="1">AVERAGE(OFFSET(SPY_Close_Price_PQ[[#This Row],[Close]], 0, 0, $D$1*-1))</f>
        <v>543.6077499999999</v>
      </c>
      <c r="E1027" s="28">
        <f t="shared" ca="1" si="15"/>
        <v>0</v>
      </c>
    </row>
    <row r="1028" spans="1:5" x14ac:dyDescent="0.4">
      <c r="A1028" s="5">
        <v>45625</v>
      </c>
      <c r="B1028" s="9">
        <v>602.54999999999995</v>
      </c>
      <c r="C1028" s="27">
        <f ca="1">AVERAGE(OFFSET(SPY_Close_Price_PQ[[#This Row],[Close]], 0, 0, $C$1*-1))</f>
        <v>582.17459999999994</v>
      </c>
      <c r="D1028" s="27">
        <f ca="1">AVERAGE(OFFSET(SPY_Close_Price_PQ[[#This Row],[Close]], 0, 0, $D$1*-1))</f>
        <v>544.1276499999999</v>
      </c>
      <c r="E1028" s="28">
        <f t="shared" ref="E1028:E1091" ca="1" si="16">IF(AND(C1027&lt;D1027,C1028&gt;D1028),1,0)</f>
        <v>0</v>
      </c>
    </row>
    <row r="1029" spans="1:5" x14ac:dyDescent="0.4">
      <c r="A1029" s="4">
        <v>45628</v>
      </c>
      <c r="B1029" s="8">
        <v>603.63</v>
      </c>
      <c r="C1029" s="27">
        <f ca="1">AVERAGE(OFFSET(SPY_Close_Price_PQ[[#This Row],[Close]], 0, 0, $C$1*-1))</f>
        <v>582.88220000000001</v>
      </c>
      <c r="D1029" s="27">
        <f ca="1">AVERAGE(OFFSET(SPY_Close_Price_PQ[[#This Row],[Close]], 0, 0, $D$1*-1))</f>
        <v>544.63574999999992</v>
      </c>
      <c r="E1029" s="28">
        <f t="shared" ca="1" si="16"/>
        <v>0</v>
      </c>
    </row>
    <row r="1030" spans="1:5" x14ac:dyDescent="0.4">
      <c r="A1030" s="5">
        <v>45629</v>
      </c>
      <c r="B1030" s="9">
        <v>603.91</v>
      </c>
      <c r="C1030" s="27">
        <f ca="1">AVERAGE(OFFSET(SPY_Close_Price_PQ[[#This Row],[Close]], 0, 0, $C$1*-1))</f>
        <v>583.56700000000001</v>
      </c>
      <c r="D1030" s="27">
        <f ca="1">AVERAGE(OFFSET(SPY_Close_Price_PQ[[#This Row],[Close]], 0, 0, $D$1*-1))</f>
        <v>545.15774999999996</v>
      </c>
      <c r="E1030" s="28">
        <f t="shared" ca="1" si="16"/>
        <v>0</v>
      </c>
    </row>
    <row r="1031" spans="1:5" x14ac:dyDescent="0.4">
      <c r="A1031" s="4">
        <v>45630</v>
      </c>
      <c r="B1031" s="8">
        <v>607.66</v>
      </c>
      <c r="C1031" s="27">
        <f ca="1">AVERAGE(OFFSET(SPY_Close_Price_PQ[[#This Row],[Close]], 0, 0, $C$1*-1))</f>
        <v>584.29419999999993</v>
      </c>
      <c r="D1031" s="27">
        <f ca="1">AVERAGE(OFFSET(SPY_Close_Price_PQ[[#This Row],[Close]], 0, 0, $D$1*-1))</f>
        <v>545.71224999999993</v>
      </c>
      <c r="E1031" s="28">
        <f t="shared" ca="1" si="16"/>
        <v>0</v>
      </c>
    </row>
    <row r="1032" spans="1:5" x14ac:dyDescent="0.4">
      <c r="A1032" s="5">
        <v>45631</v>
      </c>
      <c r="B1032" s="9">
        <v>606.66</v>
      </c>
      <c r="C1032" s="27">
        <f ca="1">AVERAGE(OFFSET(SPY_Close_Price_PQ[[#This Row],[Close]], 0, 0, $C$1*-1))</f>
        <v>585.02659999999992</v>
      </c>
      <c r="D1032" s="27">
        <f ca="1">AVERAGE(OFFSET(SPY_Close_Price_PQ[[#This Row],[Close]], 0, 0, $D$1*-1))</f>
        <v>546.2595</v>
      </c>
      <c r="E1032" s="28">
        <f t="shared" ca="1" si="16"/>
        <v>0</v>
      </c>
    </row>
    <row r="1033" spans="1:5" x14ac:dyDescent="0.4">
      <c r="A1033" s="4">
        <v>45632</v>
      </c>
      <c r="B1033" s="8">
        <v>607.80999999999995</v>
      </c>
      <c r="C1033" s="27">
        <f ca="1">AVERAGE(OFFSET(SPY_Close_Price_PQ[[#This Row],[Close]], 0, 0, $C$1*-1))</f>
        <v>585.7367999999999</v>
      </c>
      <c r="D1033" s="27">
        <f ca="1">AVERAGE(OFFSET(SPY_Close_Price_PQ[[#This Row],[Close]], 0, 0, $D$1*-1))</f>
        <v>546.76104999999995</v>
      </c>
      <c r="E1033" s="28">
        <f t="shared" ca="1" si="16"/>
        <v>0</v>
      </c>
    </row>
    <row r="1034" spans="1:5" x14ac:dyDescent="0.4">
      <c r="A1034" s="5">
        <v>45635</v>
      </c>
      <c r="B1034" s="9">
        <v>604.67999999999995</v>
      </c>
      <c r="C1034" s="27">
        <f ca="1">AVERAGE(OFFSET(SPY_Close_Price_PQ[[#This Row],[Close]], 0, 0, $C$1*-1))</f>
        <v>586.40099999999995</v>
      </c>
      <c r="D1034" s="27">
        <f ca="1">AVERAGE(OFFSET(SPY_Close_Price_PQ[[#This Row],[Close]], 0, 0, $D$1*-1))</f>
        <v>547.24519999999995</v>
      </c>
      <c r="E1034" s="28">
        <f t="shared" ca="1" si="16"/>
        <v>0</v>
      </c>
    </row>
    <row r="1035" spans="1:5" x14ac:dyDescent="0.4">
      <c r="A1035" s="4">
        <v>45636</v>
      </c>
      <c r="B1035" s="8">
        <v>602.79999999999995</v>
      </c>
      <c r="C1035" s="27">
        <f ca="1">AVERAGE(OFFSET(SPY_Close_Price_PQ[[#This Row],[Close]], 0, 0, $C$1*-1))</f>
        <v>586.98179999999991</v>
      </c>
      <c r="D1035" s="27">
        <f ca="1">AVERAGE(OFFSET(SPY_Close_Price_PQ[[#This Row],[Close]], 0, 0, $D$1*-1))</f>
        <v>547.72924999999998</v>
      </c>
      <c r="E1035" s="28">
        <f t="shared" ca="1" si="16"/>
        <v>0</v>
      </c>
    </row>
    <row r="1036" spans="1:5" x14ac:dyDescent="0.4">
      <c r="A1036" s="5">
        <v>45637</v>
      </c>
      <c r="B1036" s="9">
        <v>607.46</v>
      </c>
      <c r="C1036" s="27">
        <f ca="1">AVERAGE(OFFSET(SPY_Close_Price_PQ[[#This Row],[Close]], 0, 0, $C$1*-1))</f>
        <v>587.7586</v>
      </c>
      <c r="D1036" s="27">
        <f ca="1">AVERAGE(OFFSET(SPY_Close_Price_PQ[[#This Row],[Close]], 0, 0, $D$1*-1))</f>
        <v>548.2319</v>
      </c>
      <c r="E1036" s="28">
        <f t="shared" ca="1" si="16"/>
        <v>0</v>
      </c>
    </row>
    <row r="1037" spans="1:5" x14ac:dyDescent="0.4">
      <c r="A1037" s="4">
        <v>45638</v>
      </c>
      <c r="B1037" s="8">
        <v>604.33000000000004</v>
      </c>
      <c r="C1037" s="27">
        <f ca="1">AVERAGE(OFFSET(SPY_Close_Price_PQ[[#This Row],[Close]], 0, 0, $C$1*-1))</f>
        <v>588.46800000000007</v>
      </c>
      <c r="D1037" s="27">
        <f ca="1">AVERAGE(OFFSET(SPY_Close_Price_PQ[[#This Row],[Close]], 0, 0, $D$1*-1))</f>
        <v>548.72225000000003</v>
      </c>
      <c r="E1037" s="28">
        <f t="shared" ca="1" si="16"/>
        <v>0</v>
      </c>
    </row>
    <row r="1038" spans="1:5" x14ac:dyDescent="0.4">
      <c r="A1038" s="5">
        <v>45639</v>
      </c>
      <c r="B1038" s="9">
        <v>604.21</v>
      </c>
      <c r="C1038" s="27">
        <f ca="1">AVERAGE(OFFSET(SPY_Close_Price_PQ[[#This Row],[Close]], 0, 0, $C$1*-1))</f>
        <v>589.19579999999996</v>
      </c>
      <c r="D1038" s="27">
        <f ca="1">AVERAGE(OFFSET(SPY_Close_Price_PQ[[#This Row],[Close]], 0, 0, $D$1*-1))</f>
        <v>549.20290000000011</v>
      </c>
      <c r="E1038" s="28">
        <f t="shared" ca="1" si="16"/>
        <v>0</v>
      </c>
    </row>
    <row r="1039" spans="1:5" x14ac:dyDescent="0.4">
      <c r="A1039" s="4">
        <v>45642</v>
      </c>
      <c r="B1039" s="8">
        <v>606.79</v>
      </c>
      <c r="C1039" s="27">
        <f ca="1">AVERAGE(OFFSET(SPY_Close_Price_PQ[[#This Row],[Close]], 0, 0, $C$1*-1))</f>
        <v>589.87200000000007</v>
      </c>
      <c r="D1039" s="27">
        <f ca="1">AVERAGE(OFFSET(SPY_Close_Price_PQ[[#This Row],[Close]], 0, 0, $D$1*-1))</f>
        <v>549.67259999999999</v>
      </c>
      <c r="E1039" s="28">
        <f t="shared" ca="1" si="16"/>
        <v>0</v>
      </c>
    </row>
    <row r="1040" spans="1:5" x14ac:dyDescent="0.4">
      <c r="A1040" s="5">
        <v>45643</v>
      </c>
      <c r="B1040" s="9">
        <v>604.29</v>
      </c>
      <c r="C1040" s="27">
        <f ca="1">AVERAGE(OFFSET(SPY_Close_Price_PQ[[#This Row],[Close]], 0, 0, $C$1*-1))</f>
        <v>590.60180000000003</v>
      </c>
      <c r="D1040" s="27">
        <f ca="1">AVERAGE(OFFSET(SPY_Close_Price_PQ[[#This Row],[Close]], 0, 0, $D$1*-1))</f>
        <v>550.13254999999992</v>
      </c>
      <c r="E1040" s="28">
        <f t="shared" ca="1" si="16"/>
        <v>0</v>
      </c>
    </row>
    <row r="1041" spans="1:5" x14ac:dyDescent="0.4">
      <c r="A1041" s="4">
        <v>45644</v>
      </c>
      <c r="B1041" s="8">
        <v>586.28</v>
      </c>
      <c r="C1041" s="27">
        <f ca="1">AVERAGE(OFFSET(SPY_Close_Price_PQ[[#This Row],[Close]], 0, 0, $C$1*-1))</f>
        <v>590.86399999999992</v>
      </c>
      <c r="D1041" s="27">
        <f ca="1">AVERAGE(OFFSET(SPY_Close_Price_PQ[[#This Row],[Close]], 0, 0, $D$1*-1))</f>
        <v>550.52804999999989</v>
      </c>
      <c r="E1041" s="28">
        <f t="shared" ca="1" si="16"/>
        <v>0</v>
      </c>
    </row>
    <row r="1042" spans="1:5" x14ac:dyDescent="0.4">
      <c r="A1042" s="5">
        <v>45645</v>
      </c>
      <c r="B1042" s="9">
        <v>586.1</v>
      </c>
      <c r="C1042" s="27">
        <f ca="1">AVERAGE(OFFSET(SPY_Close_Price_PQ[[#This Row],[Close]], 0, 0, $C$1*-1))</f>
        <v>591.04319999999996</v>
      </c>
      <c r="D1042" s="27">
        <f ca="1">AVERAGE(OFFSET(SPY_Close_Price_PQ[[#This Row],[Close]], 0, 0, $D$1*-1))</f>
        <v>550.9097999999999</v>
      </c>
      <c r="E1042" s="28">
        <f t="shared" ca="1" si="16"/>
        <v>0</v>
      </c>
    </row>
    <row r="1043" spans="1:5" x14ac:dyDescent="0.4">
      <c r="A1043" s="4">
        <v>45646</v>
      </c>
      <c r="B1043" s="8">
        <v>591.15</v>
      </c>
      <c r="C1043" s="27">
        <f ca="1">AVERAGE(OFFSET(SPY_Close_Price_PQ[[#This Row],[Close]], 0, 0, $C$1*-1))</f>
        <v>591.34360000000004</v>
      </c>
      <c r="D1043" s="27">
        <f ca="1">AVERAGE(OFFSET(SPY_Close_Price_PQ[[#This Row],[Close]], 0, 0, $D$1*-1))</f>
        <v>551.29149999999993</v>
      </c>
      <c r="E1043" s="28">
        <f t="shared" ca="1" si="16"/>
        <v>0</v>
      </c>
    </row>
    <row r="1044" spans="1:5" x14ac:dyDescent="0.4">
      <c r="A1044" s="5">
        <v>45649</v>
      </c>
      <c r="B1044" s="9">
        <v>594.69000000000005</v>
      </c>
      <c r="C1044" s="27">
        <f ca="1">AVERAGE(OFFSET(SPY_Close_Price_PQ[[#This Row],[Close]], 0, 0, $C$1*-1))</f>
        <v>591.64580000000001</v>
      </c>
      <c r="D1044" s="27">
        <f ca="1">AVERAGE(OFFSET(SPY_Close_Price_PQ[[#This Row],[Close]], 0, 0, $D$1*-1))</f>
        <v>551.70634999999993</v>
      </c>
      <c r="E1044" s="28">
        <f t="shared" ca="1" si="16"/>
        <v>0</v>
      </c>
    </row>
    <row r="1045" spans="1:5" x14ac:dyDescent="0.4">
      <c r="A1045" s="4">
        <v>45650</v>
      </c>
      <c r="B1045" s="8">
        <v>601.29999999999995</v>
      </c>
      <c r="C1045" s="27">
        <f ca="1">AVERAGE(OFFSET(SPY_Close_Price_PQ[[#This Row],[Close]], 0, 0, $C$1*-1))</f>
        <v>591.98540000000003</v>
      </c>
      <c r="D1045" s="27">
        <f ca="1">AVERAGE(OFFSET(SPY_Close_Price_PQ[[#This Row],[Close]], 0, 0, $D$1*-1))</f>
        <v>552.15644999999995</v>
      </c>
      <c r="E1045" s="28">
        <f t="shared" ca="1" si="16"/>
        <v>0</v>
      </c>
    </row>
    <row r="1046" spans="1:5" x14ac:dyDescent="0.4">
      <c r="A1046" s="5">
        <v>45652</v>
      </c>
      <c r="B1046" s="9">
        <v>601.34</v>
      </c>
      <c r="C1046" s="27">
        <f ca="1">AVERAGE(OFFSET(SPY_Close_Price_PQ[[#This Row],[Close]], 0, 0, $C$1*-1))</f>
        <v>592.41660000000002</v>
      </c>
      <c r="D1046" s="27">
        <f ca="1">AVERAGE(OFFSET(SPY_Close_Price_PQ[[#This Row],[Close]], 0, 0, $D$1*-1))</f>
        <v>552.57924999999989</v>
      </c>
      <c r="E1046" s="28">
        <f t="shared" ca="1" si="16"/>
        <v>0</v>
      </c>
    </row>
    <row r="1047" spans="1:5" x14ac:dyDescent="0.4">
      <c r="A1047" s="4">
        <v>45653</v>
      </c>
      <c r="B1047" s="8">
        <v>595.01</v>
      </c>
      <c r="C1047" s="27">
        <f ca="1">AVERAGE(OFFSET(SPY_Close_Price_PQ[[#This Row],[Close]], 0, 0, $C$1*-1))</f>
        <v>592.67079999999999</v>
      </c>
      <c r="D1047" s="27">
        <f ca="1">AVERAGE(OFFSET(SPY_Close_Price_PQ[[#This Row],[Close]], 0, 0, $D$1*-1))</f>
        <v>552.97444999999982</v>
      </c>
      <c r="E1047" s="28">
        <f t="shared" ca="1" si="16"/>
        <v>0</v>
      </c>
    </row>
    <row r="1048" spans="1:5" x14ac:dyDescent="0.4">
      <c r="A1048" s="5">
        <v>45656</v>
      </c>
      <c r="B1048" s="9">
        <v>588.22</v>
      </c>
      <c r="C1048" s="27">
        <f ca="1">AVERAGE(OFFSET(SPY_Close_Price_PQ[[#This Row],[Close]], 0, 0, $C$1*-1))</f>
        <v>592.78820000000007</v>
      </c>
      <c r="D1048" s="27">
        <f ca="1">AVERAGE(OFFSET(SPY_Close_Price_PQ[[#This Row],[Close]], 0, 0, $D$1*-1))</f>
        <v>553.34079999999994</v>
      </c>
      <c r="E1048" s="28">
        <f t="shared" ca="1" si="16"/>
        <v>0</v>
      </c>
    </row>
    <row r="1049" spans="1:5" x14ac:dyDescent="0.4">
      <c r="A1049" s="4">
        <v>45657</v>
      </c>
      <c r="B1049" s="8">
        <v>586.08000000000004</v>
      </c>
      <c r="C1049" s="27">
        <f ca="1">AVERAGE(OFFSET(SPY_Close_Price_PQ[[#This Row],[Close]], 0, 0, $C$1*-1))</f>
        <v>592.81799999999998</v>
      </c>
      <c r="D1049" s="27">
        <f ca="1">AVERAGE(OFFSET(SPY_Close_Price_PQ[[#This Row],[Close]], 0, 0, $D$1*-1))</f>
        <v>553.72204999999997</v>
      </c>
      <c r="E1049" s="28">
        <f t="shared" ca="1" si="16"/>
        <v>0</v>
      </c>
    </row>
    <row r="1050" spans="1:5" x14ac:dyDescent="0.4">
      <c r="A1050" s="5">
        <v>45659</v>
      </c>
      <c r="B1050" s="9">
        <v>584.64</v>
      </c>
      <c r="C1050" s="27">
        <f ca="1">AVERAGE(OFFSET(SPY_Close_Price_PQ[[#This Row],[Close]], 0, 0, $C$1*-1))</f>
        <v>592.83820000000003</v>
      </c>
      <c r="D1050" s="27">
        <f ca="1">AVERAGE(OFFSET(SPY_Close_Price_PQ[[#This Row],[Close]], 0, 0, $D$1*-1))</f>
        <v>554.08095000000003</v>
      </c>
      <c r="E1050" s="28">
        <f t="shared" ca="1" si="16"/>
        <v>0</v>
      </c>
    </row>
    <row r="1051" spans="1:5" x14ac:dyDescent="0.4">
      <c r="A1051" s="4">
        <v>45660</v>
      </c>
      <c r="B1051" s="8">
        <v>591.95000000000005</v>
      </c>
      <c r="C1051" s="27">
        <f ca="1">AVERAGE(OFFSET(SPY_Close_Price_PQ[[#This Row],[Close]], 0, 0, $C$1*-1))</f>
        <v>593.0107999999999</v>
      </c>
      <c r="D1051" s="27">
        <f ca="1">AVERAGE(OFFSET(SPY_Close_Price_PQ[[#This Row],[Close]], 0, 0, $D$1*-1))</f>
        <v>554.46214999999995</v>
      </c>
      <c r="E1051" s="28">
        <f t="shared" ca="1" si="16"/>
        <v>0</v>
      </c>
    </row>
    <row r="1052" spans="1:5" x14ac:dyDescent="0.4">
      <c r="A1052" s="5">
        <v>45663</v>
      </c>
      <c r="B1052" s="9">
        <v>595.36</v>
      </c>
      <c r="C1052" s="27">
        <f ca="1">AVERAGE(OFFSET(SPY_Close_Price_PQ[[#This Row],[Close]], 0, 0, $C$1*-1))</f>
        <v>593.35820000000001</v>
      </c>
      <c r="D1052" s="27">
        <f ca="1">AVERAGE(OFFSET(SPY_Close_Price_PQ[[#This Row],[Close]], 0, 0, $D$1*-1))</f>
        <v>554.8365500000001</v>
      </c>
      <c r="E1052" s="28">
        <f t="shared" ca="1" si="16"/>
        <v>0</v>
      </c>
    </row>
    <row r="1053" spans="1:5" x14ac:dyDescent="0.4">
      <c r="A1053" s="4">
        <v>45664</v>
      </c>
      <c r="B1053" s="8">
        <v>588.63</v>
      </c>
      <c r="C1053" s="27">
        <f ca="1">AVERAGE(OFFSET(SPY_Close_Price_PQ[[#This Row],[Close]], 0, 0, $C$1*-1))</f>
        <v>593.54599999999994</v>
      </c>
      <c r="D1053" s="27">
        <f ca="1">AVERAGE(OFFSET(SPY_Close_Price_PQ[[#This Row],[Close]], 0, 0, $D$1*-1))</f>
        <v>555.16870000000006</v>
      </c>
      <c r="E1053" s="28">
        <f t="shared" ca="1" si="16"/>
        <v>0</v>
      </c>
    </row>
    <row r="1054" spans="1:5" x14ac:dyDescent="0.4">
      <c r="A1054" s="5">
        <v>45665</v>
      </c>
      <c r="B1054" s="9">
        <v>589.49</v>
      </c>
      <c r="C1054" s="27">
        <f ca="1">AVERAGE(OFFSET(SPY_Close_Price_PQ[[#This Row],[Close]], 0, 0, $C$1*-1))</f>
        <v>593.75500000000011</v>
      </c>
      <c r="D1054" s="27">
        <f ca="1">AVERAGE(OFFSET(SPY_Close_Price_PQ[[#This Row],[Close]], 0, 0, $D$1*-1))</f>
        <v>555.51009999999997</v>
      </c>
      <c r="E1054" s="28">
        <f t="shared" ca="1" si="16"/>
        <v>0</v>
      </c>
    </row>
    <row r="1055" spans="1:5" x14ac:dyDescent="0.4">
      <c r="A1055" s="4">
        <v>45667</v>
      </c>
      <c r="B1055" s="8">
        <v>580.49</v>
      </c>
      <c r="C1055" s="27">
        <f ca="1">AVERAGE(OFFSET(SPY_Close_Price_PQ[[#This Row],[Close]], 0, 0, $C$1*-1))</f>
        <v>593.74820000000011</v>
      </c>
      <c r="D1055" s="27">
        <f ca="1">AVERAGE(OFFSET(SPY_Close_Price_PQ[[#This Row],[Close]], 0, 0, $D$1*-1))</f>
        <v>555.81370000000015</v>
      </c>
      <c r="E1055" s="28">
        <f t="shared" ca="1" si="16"/>
        <v>0</v>
      </c>
    </row>
    <row r="1056" spans="1:5" x14ac:dyDescent="0.4">
      <c r="A1056" s="5">
        <v>45670</v>
      </c>
      <c r="B1056" s="9">
        <v>581.39</v>
      </c>
      <c r="C1056" s="27">
        <f ca="1">AVERAGE(OFFSET(SPY_Close_Price_PQ[[#This Row],[Close]], 0, 0, $C$1*-1))</f>
        <v>593.74059999999997</v>
      </c>
      <c r="D1056" s="27">
        <f ca="1">AVERAGE(OFFSET(SPY_Close_Price_PQ[[#This Row],[Close]], 0, 0, $D$1*-1))</f>
        <v>556.12660000000017</v>
      </c>
      <c r="E1056" s="28">
        <f t="shared" ca="1" si="16"/>
        <v>0</v>
      </c>
    </row>
    <row r="1057" spans="1:5" x14ac:dyDescent="0.4">
      <c r="A1057" s="4">
        <v>45671</v>
      </c>
      <c r="B1057" s="8">
        <v>582.19000000000005</v>
      </c>
      <c r="C1057" s="27">
        <f ca="1">AVERAGE(OFFSET(SPY_Close_Price_PQ[[#This Row],[Close]], 0, 0, $C$1*-1))</f>
        <v>593.78419999999994</v>
      </c>
      <c r="D1057" s="27">
        <f ca="1">AVERAGE(OFFSET(SPY_Close_Price_PQ[[#This Row],[Close]], 0, 0, $D$1*-1))</f>
        <v>556.4217000000001</v>
      </c>
      <c r="E1057" s="28">
        <f t="shared" ca="1" si="16"/>
        <v>0</v>
      </c>
    </row>
    <row r="1058" spans="1:5" x14ac:dyDescent="0.4">
      <c r="A1058" s="5">
        <v>45672</v>
      </c>
      <c r="B1058" s="9">
        <v>592.78</v>
      </c>
      <c r="C1058" s="27">
        <f ca="1">AVERAGE(OFFSET(SPY_Close_Price_PQ[[#This Row],[Close]], 0, 0, $C$1*-1))</f>
        <v>594.26700000000005</v>
      </c>
      <c r="D1058" s="27">
        <f ca="1">AVERAGE(OFFSET(SPY_Close_Price_PQ[[#This Row],[Close]], 0, 0, $D$1*-1))</f>
        <v>556.77025000000003</v>
      </c>
      <c r="E1058" s="28">
        <f t="shared" ca="1" si="16"/>
        <v>0</v>
      </c>
    </row>
    <row r="1059" spans="1:5" x14ac:dyDescent="0.4">
      <c r="A1059" s="4">
        <v>45673</v>
      </c>
      <c r="B1059" s="8">
        <v>591.64</v>
      </c>
      <c r="C1059" s="27">
        <f ca="1">AVERAGE(OFFSET(SPY_Close_Price_PQ[[#This Row],[Close]], 0, 0, $C$1*-1))</f>
        <v>594.67899999999997</v>
      </c>
      <c r="D1059" s="27">
        <f ca="1">AVERAGE(OFFSET(SPY_Close_Price_PQ[[#This Row],[Close]], 0, 0, $D$1*-1))</f>
        <v>557.11765000000014</v>
      </c>
      <c r="E1059" s="28">
        <f t="shared" ca="1" si="16"/>
        <v>0</v>
      </c>
    </row>
    <row r="1060" spans="1:5" x14ac:dyDescent="0.4">
      <c r="A1060" s="5">
        <v>45674</v>
      </c>
      <c r="B1060" s="9">
        <v>597.58000000000004</v>
      </c>
      <c r="C1060" s="27">
        <f ca="1">AVERAGE(OFFSET(SPY_Close_Price_PQ[[#This Row],[Close]], 0, 0, $C$1*-1))</f>
        <v>595.23440000000005</v>
      </c>
      <c r="D1060" s="27">
        <f ca="1">AVERAGE(OFFSET(SPY_Close_Price_PQ[[#This Row],[Close]], 0, 0, $D$1*-1))</f>
        <v>557.51135000000022</v>
      </c>
      <c r="E1060" s="28">
        <f t="shared" ca="1" si="16"/>
        <v>0</v>
      </c>
    </row>
    <row r="1061" spans="1:5" x14ac:dyDescent="0.4">
      <c r="A1061" s="4">
        <v>45678</v>
      </c>
      <c r="B1061" s="8">
        <v>603.04999999999995</v>
      </c>
      <c r="C1061" s="27">
        <f ca="1">AVERAGE(OFFSET(SPY_Close_Price_PQ[[#This Row],[Close]], 0, 0, $C$1*-1))</f>
        <v>595.76139999999998</v>
      </c>
      <c r="D1061" s="27">
        <f ca="1">AVERAGE(OFFSET(SPY_Close_Price_PQ[[#This Row],[Close]], 0, 0, $D$1*-1))</f>
        <v>557.92955000000018</v>
      </c>
      <c r="E1061" s="28">
        <f t="shared" ca="1" si="16"/>
        <v>0</v>
      </c>
    </row>
    <row r="1062" spans="1:5" x14ac:dyDescent="0.4">
      <c r="A1062" s="5">
        <v>45679</v>
      </c>
      <c r="B1062" s="9">
        <v>606.44000000000005</v>
      </c>
      <c r="C1062" s="27">
        <f ca="1">AVERAGE(OFFSET(SPY_Close_Price_PQ[[#This Row],[Close]], 0, 0, $C$1*-1))</f>
        <v>596.06939999999997</v>
      </c>
      <c r="D1062" s="27">
        <f ca="1">AVERAGE(OFFSET(SPY_Close_Price_PQ[[#This Row],[Close]], 0, 0, $D$1*-1))</f>
        <v>558.3964000000002</v>
      </c>
      <c r="E1062" s="28">
        <f t="shared" ca="1" si="16"/>
        <v>0</v>
      </c>
    </row>
    <row r="1063" spans="1:5" x14ac:dyDescent="0.4">
      <c r="A1063" s="4">
        <v>45680</v>
      </c>
      <c r="B1063" s="8">
        <v>609.75</v>
      </c>
      <c r="C1063" s="27">
        <f ca="1">AVERAGE(OFFSET(SPY_Close_Price_PQ[[#This Row],[Close]], 0, 0, $C$1*-1))</f>
        <v>596.35220000000004</v>
      </c>
      <c r="D1063" s="27">
        <f ca="1">AVERAGE(OFFSET(SPY_Close_Price_PQ[[#This Row],[Close]], 0, 0, $D$1*-1))</f>
        <v>558.85300000000029</v>
      </c>
      <c r="E1063" s="28">
        <f t="shared" ca="1" si="16"/>
        <v>0</v>
      </c>
    </row>
    <row r="1064" spans="1:5" x14ac:dyDescent="0.4">
      <c r="A1064" s="5">
        <v>45681</v>
      </c>
      <c r="B1064" s="9">
        <v>607.97</v>
      </c>
      <c r="C1064" s="27">
        <f ca="1">AVERAGE(OFFSET(SPY_Close_Price_PQ[[#This Row],[Close]], 0, 0, $C$1*-1))</f>
        <v>596.54780000000005</v>
      </c>
      <c r="D1064" s="27">
        <f ca="1">AVERAGE(OFFSET(SPY_Close_Price_PQ[[#This Row],[Close]], 0, 0, $D$1*-1))</f>
        <v>559.29925000000026</v>
      </c>
      <c r="E1064" s="28">
        <f t="shared" ca="1" si="16"/>
        <v>0</v>
      </c>
    </row>
    <row r="1065" spans="1:5" x14ac:dyDescent="0.4">
      <c r="A1065" s="4">
        <v>45684</v>
      </c>
      <c r="B1065" s="8">
        <v>599.37</v>
      </c>
      <c r="C1065" s="27">
        <f ca="1">AVERAGE(OFFSET(SPY_Close_Price_PQ[[#This Row],[Close]], 0, 0, $C$1*-1))</f>
        <v>596.56000000000006</v>
      </c>
      <c r="D1065" s="27">
        <f ca="1">AVERAGE(OFFSET(SPY_Close_Price_PQ[[#This Row],[Close]], 0, 0, $D$1*-1))</f>
        <v>559.69950000000028</v>
      </c>
      <c r="E1065" s="28">
        <f t="shared" ca="1" si="16"/>
        <v>0</v>
      </c>
    </row>
    <row r="1066" spans="1:5" x14ac:dyDescent="0.4">
      <c r="A1066" s="5">
        <v>45685</v>
      </c>
      <c r="B1066" s="9">
        <v>604.52</v>
      </c>
      <c r="C1066" s="27">
        <f ca="1">AVERAGE(OFFSET(SPY_Close_Price_PQ[[#This Row],[Close]], 0, 0, $C$1*-1))</f>
        <v>596.71240000000012</v>
      </c>
      <c r="D1066" s="27">
        <f ca="1">AVERAGE(OFFSET(SPY_Close_Price_PQ[[#This Row],[Close]], 0, 0, $D$1*-1))</f>
        <v>560.15150000000028</v>
      </c>
      <c r="E1066" s="28">
        <f t="shared" ca="1" si="16"/>
        <v>0</v>
      </c>
    </row>
    <row r="1067" spans="1:5" x14ac:dyDescent="0.4">
      <c r="A1067" s="4">
        <v>45686</v>
      </c>
      <c r="B1067" s="8">
        <v>601.80999999999995</v>
      </c>
      <c r="C1067" s="27">
        <f ca="1">AVERAGE(OFFSET(SPY_Close_Price_PQ[[#This Row],[Close]], 0, 0, $C$1*-1))</f>
        <v>596.80480000000011</v>
      </c>
      <c r="D1067" s="27">
        <f ca="1">AVERAGE(OFFSET(SPY_Close_Price_PQ[[#This Row],[Close]], 0, 0, $D$1*-1))</f>
        <v>560.57055000000025</v>
      </c>
      <c r="E1067" s="28">
        <f t="shared" ca="1" si="16"/>
        <v>0</v>
      </c>
    </row>
    <row r="1068" spans="1:5" x14ac:dyDescent="0.4">
      <c r="A1068" s="5">
        <v>45687</v>
      </c>
      <c r="B1068" s="9">
        <v>605.04</v>
      </c>
      <c r="C1068" s="27">
        <f ca="1">AVERAGE(OFFSET(SPY_Close_Price_PQ[[#This Row],[Close]], 0, 0, $C$1*-1))</f>
        <v>597.0386000000002</v>
      </c>
      <c r="D1068" s="27">
        <f ca="1">AVERAGE(OFFSET(SPY_Close_Price_PQ[[#This Row],[Close]], 0, 0, $D$1*-1))</f>
        <v>561.04150000000016</v>
      </c>
      <c r="E1068" s="28">
        <f t="shared" ca="1" si="16"/>
        <v>0</v>
      </c>
    </row>
    <row r="1069" spans="1:5" x14ac:dyDescent="0.4">
      <c r="A1069" s="4">
        <v>45688</v>
      </c>
      <c r="B1069" s="8">
        <v>601.82000000000005</v>
      </c>
      <c r="C1069" s="27">
        <f ca="1">AVERAGE(OFFSET(SPY_Close_Price_PQ[[#This Row],[Close]], 0, 0, $C$1*-1))</f>
        <v>597.36000000000013</v>
      </c>
      <c r="D1069" s="27">
        <f ca="1">AVERAGE(OFFSET(SPY_Close_Price_PQ[[#This Row],[Close]], 0, 0, $D$1*-1))</f>
        <v>561.52835000000027</v>
      </c>
      <c r="E1069" s="28">
        <f t="shared" ca="1" si="16"/>
        <v>0</v>
      </c>
    </row>
    <row r="1070" spans="1:5" x14ac:dyDescent="0.4">
      <c r="A1070" s="5">
        <v>45691</v>
      </c>
      <c r="B1070" s="9">
        <v>597.77</v>
      </c>
      <c r="C1070" s="27">
        <f ca="1">AVERAGE(OFFSET(SPY_Close_Price_PQ[[#This Row],[Close]], 0, 0, $C$1*-1))</f>
        <v>597.55240000000015</v>
      </c>
      <c r="D1070" s="27">
        <f ca="1">AVERAGE(OFFSET(SPY_Close_Price_PQ[[#This Row],[Close]], 0, 0, $D$1*-1))</f>
        <v>561.99955000000034</v>
      </c>
      <c r="E1070" s="28">
        <f t="shared" ca="1" si="16"/>
        <v>0</v>
      </c>
    </row>
    <row r="1071" spans="1:5" x14ac:dyDescent="0.4">
      <c r="A1071" s="4">
        <v>45692</v>
      </c>
      <c r="B1071" s="8">
        <v>601.78</v>
      </c>
      <c r="C1071" s="27">
        <f ca="1">AVERAGE(OFFSET(SPY_Close_Price_PQ[[#This Row],[Close]], 0, 0, $C$1*-1))</f>
        <v>597.78200000000015</v>
      </c>
      <c r="D1071" s="27">
        <f ca="1">AVERAGE(OFFSET(SPY_Close_Price_PQ[[#This Row],[Close]], 0, 0, $D$1*-1))</f>
        <v>562.50570000000027</v>
      </c>
      <c r="E1071" s="28">
        <f t="shared" ca="1" si="16"/>
        <v>0</v>
      </c>
    </row>
    <row r="1072" spans="1:5" x14ac:dyDescent="0.4">
      <c r="A1072" s="5">
        <v>45693</v>
      </c>
      <c r="B1072" s="9">
        <v>604.22</v>
      </c>
      <c r="C1072" s="27">
        <f ca="1">AVERAGE(OFFSET(SPY_Close_Price_PQ[[#This Row],[Close]], 0, 0, $C$1*-1))</f>
        <v>598.05640000000017</v>
      </c>
      <c r="D1072" s="27">
        <f ca="1">AVERAGE(OFFSET(SPY_Close_Price_PQ[[#This Row],[Close]], 0, 0, $D$1*-1))</f>
        <v>563.02920000000029</v>
      </c>
      <c r="E1072" s="28">
        <f t="shared" ca="1" si="16"/>
        <v>0</v>
      </c>
    </row>
    <row r="1073" spans="1:5" x14ac:dyDescent="0.4">
      <c r="A1073" s="4">
        <v>45694</v>
      </c>
      <c r="B1073" s="8">
        <v>606.32000000000005</v>
      </c>
      <c r="C1073" s="27">
        <f ca="1">AVERAGE(OFFSET(SPY_Close_Price_PQ[[#This Row],[Close]], 0, 0, $C$1*-1))</f>
        <v>598.3094000000001</v>
      </c>
      <c r="D1073" s="27">
        <f ca="1">AVERAGE(OFFSET(SPY_Close_Price_PQ[[#This Row],[Close]], 0, 0, $D$1*-1))</f>
        <v>563.58500000000026</v>
      </c>
      <c r="E1073" s="28">
        <f t="shared" ca="1" si="16"/>
        <v>0</v>
      </c>
    </row>
    <row r="1074" spans="1:5" x14ac:dyDescent="0.4">
      <c r="A1074" s="5">
        <v>45695</v>
      </c>
      <c r="B1074" s="9">
        <v>600.77</v>
      </c>
      <c r="C1074" s="27">
        <f ca="1">AVERAGE(OFFSET(SPY_Close_Price_PQ[[#This Row],[Close]], 0, 0, $C$1*-1))</f>
        <v>598.41460000000006</v>
      </c>
      <c r="D1074" s="27">
        <f ca="1">AVERAGE(OFFSET(SPY_Close_Price_PQ[[#This Row],[Close]], 0, 0, $D$1*-1))</f>
        <v>564.09025000000031</v>
      </c>
      <c r="E1074" s="28">
        <f t="shared" ca="1" si="16"/>
        <v>0</v>
      </c>
    </row>
    <row r="1075" spans="1:5" x14ac:dyDescent="0.4">
      <c r="A1075" s="4">
        <v>45698</v>
      </c>
      <c r="B1075" s="8">
        <v>604.85</v>
      </c>
      <c r="C1075" s="27">
        <f ca="1">AVERAGE(OFFSET(SPY_Close_Price_PQ[[#This Row],[Close]], 0, 0, $C$1*-1))</f>
        <v>598.56100000000004</v>
      </c>
      <c r="D1075" s="27">
        <f ca="1">AVERAGE(OFFSET(SPY_Close_Price_PQ[[#This Row],[Close]], 0, 0, $D$1*-1))</f>
        <v>564.5862500000004</v>
      </c>
      <c r="E1075" s="28">
        <f t="shared" ca="1" si="16"/>
        <v>0</v>
      </c>
    </row>
    <row r="1076" spans="1:5" x14ac:dyDescent="0.4">
      <c r="A1076" s="5">
        <v>45699</v>
      </c>
      <c r="B1076" s="9">
        <v>605.30999999999995</v>
      </c>
      <c r="C1076" s="27">
        <f ca="1">AVERAGE(OFFSET(SPY_Close_Price_PQ[[#This Row],[Close]], 0, 0, $C$1*-1))</f>
        <v>598.65420000000006</v>
      </c>
      <c r="D1076" s="27">
        <f ca="1">AVERAGE(OFFSET(SPY_Close_Price_PQ[[#This Row],[Close]], 0, 0, $D$1*-1))</f>
        <v>565.0857500000003</v>
      </c>
      <c r="E1076" s="28">
        <f t="shared" ca="1" si="16"/>
        <v>0</v>
      </c>
    </row>
    <row r="1077" spans="1:5" x14ac:dyDescent="0.4">
      <c r="A1077" s="4">
        <v>45700</v>
      </c>
      <c r="B1077" s="8">
        <v>603.36</v>
      </c>
      <c r="C1077" s="27">
        <f ca="1">AVERAGE(OFFSET(SPY_Close_Price_PQ[[#This Row],[Close]], 0, 0, $C$1*-1))</f>
        <v>598.74479999999994</v>
      </c>
      <c r="D1077" s="27">
        <f ca="1">AVERAGE(OFFSET(SPY_Close_Price_PQ[[#This Row],[Close]], 0, 0, $D$1*-1))</f>
        <v>565.58510000000024</v>
      </c>
      <c r="E1077" s="28">
        <f t="shared" ca="1" si="16"/>
        <v>0</v>
      </c>
    </row>
    <row r="1078" spans="1:5" x14ac:dyDescent="0.4">
      <c r="A1078" s="5">
        <v>45701</v>
      </c>
      <c r="B1078" s="9">
        <v>609.73</v>
      </c>
      <c r="C1078" s="27">
        <f ca="1">AVERAGE(OFFSET(SPY_Close_Price_PQ[[#This Row],[Close]], 0, 0, $C$1*-1))</f>
        <v>598.88839999999993</v>
      </c>
      <c r="D1078" s="27">
        <f ca="1">AVERAGE(OFFSET(SPY_Close_Price_PQ[[#This Row],[Close]], 0, 0, $D$1*-1))</f>
        <v>566.09245000000021</v>
      </c>
      <c r="E1078" s="28">
        <f t="shared" ca="1" si="16"/>
        <v>0</v>
      </c>
    </row>
    <row r="1079" spans="1:5" x14ac:dyDescent="0.4">
      <c r="A1079" s="4">
        <v>45702</v>
      </c>
      <c r="B1079" s="8">
        <v>609.70000000000005</v>
      </c>
      <c r="C1079" s="27">
        <f ca="1">AVERAGE(OFFSET(SPY_Close_Price_PQ[[#This Row],[Close]], 0, 0, $C$1*-1))</f>
        <v>599.00979999999993</v>
      </c>
      <c r="D1079" s="27">
        <f ca="1">AVERAGE(OFFSET(SPY_Close_Price_PQ[[#This Row],[Close]], 0, 0, $D$1*-1))</f>
        <v>566.59065000000021</v>
      </c>
      <c r="E1079" s="28">
        <f t="shared" ca="1" si="16"/>
        <v>0</v>
      </c>
    </row>
    <row r="1080" spans="1:5" x14ac:dyDescent="0.4">
      <c r="A1080" s="5">
        <v>45706</v>
      </c>
      <c r="B1080" s="9">
        <v>611.49</v>
      </c>
      <c r="C1080" s="27">
        <f ca="1">AVERAGE(OFFSET(SPY_Close_Price_PQ[[#This Row],[Close]], 0, 0, $C$1*-1))</f>
        <v>599.16140000000007</v>
      </c>
      <c r="D1080" s="27">
        <f ca="1">AVERAGE(OFFSET(SPY_Close_Price_PQ[[#This Row],[Close]], 0, 0, $D$1*-1))</f>
        <v>567.1382000000001</v>
      </c>
      <c r="E1080" s="28">
        <f t="shared" ca="1" si="16"/>
        <v>0</v>
      </c>
    </row>
    <row r="1081" spans="1:5" x14ac:dyDescent="0.4">
      <c r="A1081" s="4">
        <v>45707</v>
      </c>
      <c r="B1081" s="8">
        <v>612.92999999999995</v>
      </c>
      <c r="C1081" s="27">
        <f ca="1">AVERAGE(OFFSET(SPY_Close_Price_PQ[[#This Row],[Close]], 0, 0, $C$1*-1))</f>
        <v>599.2668000000001</v>
      </c>
      <c r="D1081" s="27">
        <f ca="1">AVERAGE(OFFSET(SPY_Close_Price_PQ[[#This Row],[Close]], 0, 0, $D$1*-1))</f>
        <v>567.70110000000011</v>
      </c>
      <c r="E1081" s="28">
        <f t="shared" ca="1" si="16"/>
        <v>0</v>
      </c>
    </row>
    <row r="1082" spans="1:5" x14ac:dyDescent="0.4">
      <c r="A1082" s="5">
        <v>45708</v>
      </c>
      <c r="B1082" s="9">
        <v>610.38</v>
      </c>
      <c r="C1082" s="27">
        <f ca="1">AVERAGE(OFFSET(SPY_Close_Price_PQ[[#This Row],[Close]], 0, 0, $C$1*-1))</f>
        <v>599.34120000000007</v>
      </c>
      <c r="D1082" s="27">
        <f ca="1">AVERAGE(OFFSET(SPY_Close_Price_PQ[[#This Row],[Close]], 0, 0, $D$1*-1))</f>
        <v>568.2278500000001</v>
      </c>
      <c r="E1082" s="28">
        <f t="shared" ca="1" si="16"/>
        <v>0</v>
      </c>
    </row>
    <row r="1083" spans="1:5" x14ac:dyDescent="0.4">
      <c r="A1083" s="4">
        <v>45709</v>
      </c>
      <c r="B1083" s="8">
        <v>599.94000000000005</v>
      </c>
      <c r="C1083" s="27">
        <f ca="1">AVERAGE(OFFSET(SPY_Close_Price_PQ[[#This Row],[Close]], 0, 0, $C$1*-1))</f>
        <v>599.18380000000002</v>
      </c>
      <c r="D1083" s="27">
        <f ca="1">AVERAGE(OFFSET(SPY_Close_Price_PQ[[#This Row],[Close]], 0, 0, $D$1*-1))</f>
        <v>568.67110000000002</v>
      </c>
      <c r="E1083" s="28">
        <f t="shared" ca="1" si="16"/>
        <v>0</v>
      </c>
    </row>
    <row r="1084" spans="1:5" x14ac:dyDescent="0.4">
      <c r="A1084" s="5">
        <v>45712</v>
      </c>
      <c r="B1084" s="9">
        <v>597.21</v>
      </c>
      <c r="C1084" s="27">
        <f ca="1">AVERAGE(OFFSET(SPY_Close_Price_PQ[[#This Row],[Close]], 0, 0, $C$1*-1))</f>
        <v>599.03440000000012</v>
      </c>
      <c r="D1084" s="27">
        <f ca="1">AVERAGE(OFFSET(SPY_Close_Price_PQ[[#This Row],[Close]], 0, 0, $D$1*-1))</f>
        <v>569.07430000000011</v>
      </c>
      <c r="E1084" s="28">
        <f t="shared" ca="1" si="16"/>
        <v>0</v>
      </c>
    </row>
    <row r="1085" spans="1:5" x14ac:dyDescent="0.4">
      <c r="A1085" s="4">
        <v>45713</v>
      </c>
      <c r="B1085" s="8">
        <v>594.24</v>
      </c>
      <c r="C1085" s="27">
        <f ca="1">AVERAGE(OFFSET(SPY_Close_Price_PQ[[#This Row],[Close]], 0, 0, $C$1*-1))</f>
        <v>598.86320000000012</v>
      </c>
      <c r="D1085" s="27">
        <f ca="1">AVERAGE(OFFSET(SPY_Close_Price_PQ[[#This Row],[Close]], 0, 0, $D$1*-1))</f>
        <v>569.45980000000009</v>
      </c>
      <c r="E1085" s="28">
        <f t="shared" ca="1" si="16"/>
        <v>0</v>
      </c>
    </row>
    <row r="1086" spans="1:5" x14ac:dyDescent="0.4">
      <c r="A1086" s="5">
        <v>45714</v>
      </c>
      <c r="B1086" s="9">
        <v>594.54</v>
      </c>
      <c r="C1086" s="27">
        <f ca="1">AVERAGE(OFFSET(SPY_Close_Price_PQ[[#This Row],[Close]], 0, 0, $C$1*-1))</f>
        <v>598.60480000000007</v>
      </c>
      <c r="D1086" s="27">
        <f ca="1">AVERAGE(OFFSET(SPY_Close_Price_PQ[[#This Row],[Close]], 0, 0, $D$1*-1))</f>
        <v>569.84655000000009</v>
      </c>
      <c r="E1086" s="28">
        <f t="shared" ca="1" si="16"/>
        <v>0</v>
      </c>
    </row>
    <row r="1087" spans="1:5" x14ac:dyDescent="0.4">
      <c r="A1087" s="4">
        <v>45715</v>
      </c>
      <c r="B1087" s="8">
        <v>585.04999999999995</v>
      </c>
      <c r="C1087" s="27">
        <f ca="1">AVERAGE(OFFSET(SPY_Close_Price_PQ[[#This Row],[Close]], 0, 0, $C$1*-1))</f>
        <v>598.21920000000011</v>
      </c>
      <c r="D1087" s="27">
        <f ca="1">AVERAGE(OFFSET(SPY_Close_Price_PQ[[#This Row],[Close]], 0, 0, $D$1*-1))</f>
        <v>570.17095000000006</v>
      </c>
      <c r="E1087" s="28">
        <f t="shared" ca="1" si="16"/>
        <v>0</v>
      </c>
    </row>
    <row r="1088" spans="1:5" x14ac:dyDescent="0.4">
      <c r="A1088" s="5">
        <v>45716</v>
      </c>
      <c r="B1088" s="9">
        <v>594.17999999999995</v>
      </c>
      <c r="C1088" s="27">
        <f ca="1">AVERAGE(OFFSET(SPY_Close_Price_PQ[[#This Row],[Close]], 0, 0, $C$1*-1))</f>
        <v>598.01860000000011</v>
      </c>
      <c r="D1088" s="27">
        <f ca="1">AVERAGE(OFFSET(SPY_Close_Price_PQ[[#This Row],[Close]], 0, 0, $D$1*-1))</f>
        <v>570.5376500000001</v>
      </c>
      <c r="E1088" s="28">
        <f t="shared" ca="1" si="16"/>
        <v>0</v>
      </c>
    </row>
    <row r="1089" spans="1:5" x14ac:dyDescent="0.4">
      <c r="A1089" s="4">
        <v>45719</v>
      </c>
      <c r="B1089" s="8">
        <v>583.77</v>
      </c>
      <c r="C1089" s="27">
        <f ca="1">AVERAGE(OFFSET(SPY_Close_Price_PQ[[#This Row],[Close]], 0, 0, $C$1*-1))</f>
        <v>597.55820000000017</v>
      </c>
      <c r="D1089" s="27">
        <f ca="1">AVERAGE(OFFSET(SPY_Close_Price_PQ[[#This Row],[Close]], 0, 0, $D$1*-1))</f>
        <v>570.8519500000001</v>
      </c>
      <c r="E1089" s="28">
        <f t="shared" ca="1" si="16"/>
        <v>0</v>
      </c>
    </row>
    <row r="1090" spans="1:5" x14ac:dyDescent="0.4">
      <c r="A1090" s="5">
        <v>45720</v>
      </c>
      <c r="B1090" s="9">
        <v>576.86</v>
      </c>
      <c r="C1090" s="27">
        <f ca="1">AVERAGE(OFFSET(SPY_Close_Price_PQ[[#This Row],[Close]], 0, 0, $C$1*-1))</f>
        <v>597.00960000000009</v>
      </c>
      <c r="D1090" s="27">
        <f ca="1">AVERAGE(OFFSET(SPY_Close_Price_PQ[[#This Row],[Close]], 0, 0, $D$1*-1))</f>
        <v>571.11975000000018</v>
      </c>
      <c r="E1090" s="28">
        <f t="shared" ca="1" si="16"/>
        <v>0</v>
      </c>
    </row>
    <row r="1091" spans="1:5" x14ac:dyDescent="0.4">
      <c r="A1091" s="4">
        <v>45721</v>
      </c>
      <c r="B1091" s="8">
        <v>583.05999999999995</v>
      </c>
      <c r="C1091" s="27">
        <f ca="1">AVERAGE(OFFSET(SPY_Close_Price_PQ[[#This Row],[Close]], 0, 0, $C$1*-1))</f>
        <v>596.94520000000011</v>
      </c>
      <c r="D1091" s="27">
        <f ca="1">AVERAGE(OFFSET(SPY_Close_Price_PQ[[#This Row],[Close]], 0, 0, $D$1*-1))</f>
        <v>571.38615000000016</v>
      </c>
      <c r="E1091" s="28">
        <f t="shared" ca="1" si="16"/>
        <v>0</v>
      </c>
    </row>
    <row r="1092" spans="1:5" x14ac:dyDescent="0.4">
      <c r="A1092" s="5">
        <v>45722</v>
      </c>
      <c r="B1092" s="9">
        <v>572.71</v>
      </c>
      <c r="C1092" s="27">
        <f ca="1">AVERAGE(OFFSET(SPY_Close_Price_PQ[[#This Row],[Close]], 0, 0, $C$1*-1))</f>
        <v>596.67740000000015</v>
      </c>
      <c r="D1092" s="27">
        <f ca="1">AVERAGE(OFFSET(SPY_Close_Price_PQ[[#This Row],[Close]], 0, 0, $D$1*-1))</f>
        <v>571.60625000000027</v>
      </c>
      <c r="E1092" s="28">
        <f t="shared" ref="E1092:E1155" ca="1" si="17">IF(AND(C1091&lt;D1091,C1092&gt;D1092),1,0)</f>
        <v>0</v>
      </c>
    </row>
    <row r="1093" spans="1:5" x14ac:dyDescent="0.4">
      <c r="A1093" s="4">
        <v>45723</v>
      </c>
      <c r="B1093" s="8">
        <v>575.91999999999996</v>
      </c>
      <c r="C1093" s="27">
        <f ca="1">AVERAGE(OFFSET(SPY_Close_Price_PQ[[#This Row],[Close]], 0, 0, $C$1*-1))</f>
        <v>596.3728000000001</v>
      </c>
      <c r="D1093" s="27">
        <f ca="1">AVERAGE(OFFSET(SPY_Close_Price_PQ[[#This Row],[Close]], 0, 0, $D$1*-1))</f>
        <v>571.83860000000027</v>
      </c>
      <c r="E1093" s="28">
        <f t="shared" ca="1" si="17"/>
        <v>0</v>
      </c>
    </row>
    <row r="1094" spans="1:5" x14ac:dyDescent="0.4">
      <c r="A1094" s="5">
        <v>45726</v>
      </c>
      <c r="B1094" s="9">
        <v>560.58000000000004</v>
      </c>
      <c r="C1094" s="27">
        <f ca="1">AVERAGE(OFFSET(SPY_Close_Price_PQ[[#This Row],[Close]], 0, 0, $C$1*-1))</f>
        <v>595.69060000000013</v>
      </c>
      <c r="D1094" s="27">
        <f ca="1">AVERAGE(OFFSET(SPY_Close_Price_PQ[[#This Row],[Close]], 0, 0, $D$1*-1))</f>
        <v>571.99120000000028</v>
      </c>
      <c r="E1094" s="28">
        <f t="shared" ca="1" si="17"/>
        <v>0</v>
      </c>
    </row>
    <row r="1095" spans="1:5" x14ac:dyDescent="0.4">
      <c r="A1095" s="4">
        <v>45727</v>
      </c>
      <c r="B1095" s="8">
        <v>555.91999999999996</v>
      </c>
      <c r="C1095" s="27">
        <f ca="1">AVERAGE(OFFSET(SPY_Close_Price_PQ[[#This Row],[Close]], 0, 0, $C$1*-1))</f>
        <v>594.78300000000002</v>
      </c>
      <c r="D1095" s="27">
        <f ca="1">AVERAGE(OFFSET(SPY_Close_Price_PQ[[#This Row],[Close]], 0, 0, $D$1*-1))</f>
        <v>572.11400000000026</v>
      </c>
      <c r="E1095" s="28">
        <f t="shared" ca="1" si="17"/>
        <v>0</v>
      </c>
    </row>
    <row r="1096" spans="1:5" x14ac:dyDescent="0.4">
      <c r="A1096" s="5">
        <v>45728</v>
      </c>
      <c r="B1096" s="9">
        <v>558.87</v>
      </c>
      <c r="C1096" s="27">
        <f ca="1">AVERAGE(OFFSET(SPY_Close_Price_PQ[[#This Row],[Close]], 0, 0, $C$1*-1))</f>
        <v>593.93359999999996</v>
      </c>
      <c r="D1096" s="27">
        <f ca="1">AVERAGE(OFFSET(SPY_Close_Price_PQ[[#This Row],[Close]], 0, 0, $D$1*-1))</f>
        <v>572.25920000000019</v>
      </c>
      <c r="E1096" s="28">
        <f t="shared" ca="1" si="17"/>
        <v>0</v>
      </c>
    </row>
    <row r="1097" spans="1:5" x14ac:dyDescent="0.4">
      <c r="A1097" s="4">
        <v>45729</v>
      </c>
      <c r="B1097" s="8">
        <v>551.41999999999996</v>
      </c>
      <c r="C1097" s="27">
        <f ca="1">AVERAGE(OFFSET(SPY_Close_Price_PQ[[#This Row],[Close]], 0, 0, $C$1*-1))</f>
        <v>593.06179999999995</v>
      </c>
      <c r="D1097" s="27">
        <f ca="1">AVERAGE(OFFSET(SPY_Close_Price_PQ[[#This Row],[Close]], 0, 0, $D$1*-1))</f>
        <v>572.38650000000018</v>
      </c>
      <c r="E1097" s="28">
        <f t="shared" ca="1" si="17"/>
        <v>0</v>
      </c>
    </row>
    <row r="1098" spans="1:5" x14ac:dyDescent="0.4">
      <c r="A1098" s="5">
        <v>45730</v>
      </c>
      <c r="B1098" s="9">
        <v>562.80999999999995</v>
      </c>
      <c r="C1098" s="27">
        <f ca="1">AVERAGE(OFFSET(SPY_Close_Price_PQ[[#This Row],[Close]], 0, 0, $C$1*-1))</f>
        <v>592.55360000000007</v>
      </c>
      <c r="D1098" s="27">
        <f ca="1">AVERAGE(OFFSET(SPY_Close_Price_PQ[[#This Row],[Close]], 0, 0, $D$1*-1))</f>
        <v>572.55335000000025</v>
      </c>
      <c r="E1098" s="28">
        <f t="shared" ca="1" si="17"/>
        <v>0</v>
      </c>
    </row>
    <row r="1099" spans="1:5" x14ac:dyDescent="0.4">
      <c r="A1099" s="4">
        <v>45733</v>
      </c>
      <c r="B1099" s="8">
        <v>567.15</v>
      </c>
      <c r="C1099" s="27">
        <f ca="1">AVERAGE(OFFSET(SPY_Close_Price_PQ[[#This Row],[Close]], 0, 0, $C$1*-1))</f>
        <v>592.17500000000007</v>
      </c>
      <c r="D1099" s="27">
        <f ca="1">AVERAGE(OFFSET(SPY_Close_Price_PQ[[#This Row],[Close]], 0, 0, $D$1*-1))</f>
        <v>572.74005000000022</v>
      </c>
      <c r="E1099" s="28">
        <f t="shared" ca="1" si="17"/>
        <v>0</v>
      </c>
    </row>
    <row r="1100" spans="1:5" x14ac:dyDescent="0.4">
      <c r="A1100" s="5">
        <v>45734</v>
      </c>
      <c r="B1100" s="9">
        <v>561.02</v>
      </c>
      <c r="C1100" s="27">
        <f ca="1">AVERAGE(OFFSET(SPY_Close_Price_PQ[[#This Row],[Close]], 0, 0, $C$1*-1))</f>
        <v>591.70260000000007</v>
      </c>
      <c r="D1100" s="27">
        <f ca="1">AVERAGE(OFFSET(SPY_Close_Price_PQ[[#This Row],[Close]], 0, 0, $D$1*-1))</f>
        <v>572.91465000000028</v>
      </c>
      <c r="E1100" s="28">
        <f t="shared" ca="1" si="17"/>
        <v>0</v>
      </c>
    </row>
    <row r="1101" spans="1:5" x14ac:dyDescent="0.4">
      <c r="A1101" s="4">
        <v>45735</v>
      </c>
      <c r="B1101" s="8">
        <v>567.13</v>
      </c>
      <c r="C1101" s="27">
        <f ca="1">AVERAGE(OFFSET(SPY_Close_Price_PQ[[#This Row],[Close]], 0, 0, $C$1*-1))</f>
        <v>591.20620000000008</v>
      </c>
      <c r="D1101" s="27">
        <f ca="1">AVERAGE(OFFSET(SPY_Close_Price_PQ[[#This Row],[Close]], 0, 0, $D$1*-1))</f>
        <v>573.13725000000022</v>
      </c>
      <c r="E1101" s="28">
        <f t="shared" ca="1" si="17"/>
        <v>0</v>
      </c>
    </row>
    <row r="1102" spans="1:5" x14ac:dyDescent="0.4">
      <c r="A1102" s="5">
        <v>45736</v>
      </c>
      <c r="B1102" s="9">
        <v>565.49</v>
      </c>
      <c r="C1102" s="27">
        <f ca="1">AVERAGE(OFFSET(SPY_Close_Price_PQ[[#This Row],[Close]], 0, 0, $C$1*-1))</f>
        <v>590.60880000000009</v>
      </c>
      <c r="D1102" s="27">
        <f ca="1">AVERAGE(OFFSET(SPY_Close_Price_PQ[[#This Row],[Close]], 0, 0, $D$1*-1))</f>
        <v>573.32785000000035</v>
      </c>
      <c r="E1102" s="28">
        <f t="shared" ca="1" si="17"/>
        <v>0</v>
      </c>
    </row>
    <row r="1103" spans="1:5" x14ac:dyDescent="0.4">
      <c r="A1103" s="4">
        <v>45737</v>
      </c>
      <c r="B1103" s="8">
        <v>563.98</v>
      </c>
      <c r="C1103" s="27">
        <f ca="1">AVERAGE(OFFSET(SPY_Close_Price_PQ[[#This Row],[Close]], 0, 0, $C$1*-1))</f>
        <v>590.11580000000004</v>
      </c>
      <c r="D1103" s="27">
        <f ca="1">AVERAGE(OFFSET(SPY_Close_Price_PQ[[#This Row],[Close]], 0, 0, $D$1*-1))</f>
        <v>573.5087500000003</v>
      </c>
      <c r="E1103" s="28">
        <f t="shared" ca="1" si="17"/>
        <v>0</v>
      </c>
    </row>
    <row r="1104" spans="1:5" x14ac:dyDescent="0.4">
      <c r="A1104" s="5">
        <v>45740</v>
      </c>
      <c r="B1104" s="9">
        <v>574.08000000000004</v>
      </c>
      <c r="C1104" s="27">
        <f ca="1">AVERAGE(OFFSET(SPY_Close_Price_PQ[[#This Row],[Close]], 0, 0, $C$1*-1))</f>
        <v>589.80760000000009</v>
      </c>
      <c r="D1104" s="27">
        <f ca="1">AVERAGE(OFFSET(SPY_Close_Price_PQ[[#This Row],[Close]], 0, 0, $D$1*-1))</f>
        <v>573.73720000000037</v>
      </c>
      <c r="E1104" s="28">
        <f t="shared" ca="1" si="17"/>
        <v>0</v>
      </c>
    </row>
    <row r="1105" spans="1:5" x14ac:dyDescent="0.4">
      <c r="A1105" s="4">
        <v>45741</v>
      </c>
      <c r="B1105" s="8">
        <v>575.46</v>
      </c>
      <c r="C1105" s="27">
        <f ca="1">AVERAGE(OFFSET(SPY_Close_Price_PQ[[#This Row],[Close]], 0, 0, $C$1*-1))</f>
        <v>589.70700000000011</v>
      </c>
      <c r="D1105" s="27">
        <f ca="1">AVERAGE(OFFSET(SPY_Close_Price_PQ[[#This Row],[Close]], 0, 0, $D$1*-1))</f>
        <v>573.94115000000033</v>
      </c>
      <c r="E1105" s="28">
        <f t="shared" ca="1" si="17"/>
        <v>0</v>
      </c>
    </row>
    <row r="1106" spans="1:5" x14ac:dyDescent="0.4">
      <c r="A1106" s="5">
        <v>45742</v>
      </c>
      <c r="B1106" s="9">
        <v>568.59</v>
      </c>
      <c r="C1106" s="27">
        <f ca="1">AVERAGE(OFFSET(SPY_Close_Price_PQ[[#This Row],[Close]], 0, 0, $C$1*-1))</f>
        <v>589.45100000000014</v>
      </c>
      <c r="D1106" s="27">
        <f ca="1">AVERAGE(OFFSET(SPY_Close_Price_PQ[[#This Row],[Close]], 0, 0, $D$1*-1))</f>
        <v>574.11080000000027</v>
      </c>
      <c r="E1106" s="28">
        <f t="shared" ca="1" si="17"/>
        <v>0</v>
      </c>
    </row>
    <row r="1107" spans="1:5" x14ac:dyDescent="0.4">
      <c r="A1107" s="4">
        <v>45743</v>
      </c>
      <c r="B1107" s="8">
        <v>567.08000000000004</v>
      </c>
      <c r="C1107" s="27">
        <f ca="1">AVERAGE(OFFSET(SPY_Close_Price_PQ[[#This Row],[Close]], 0, 0, $C$1*-1))</f>
        <v>589.14880000000016</v>
      </c>
      <c r="D1107" s="27">
        <f ca="1">AVERAGE(OFFSET(SPY_Close_Price_PQ[[#This Row],[Close]], 0, 0, $D$1*-1))</f>
        <v>574.27615000000037</v>
      </c>
      <c r="E1107" s="28">
        <f t="shared" ca="1" si="17"/>
        <v>0</v>
      </c>
    </row>
    <row r="1108" spans="1:5" x14ac:dyDescent="0.4">
      <c r="A1108" s="5">
        <v>45744</v>
      </c>
      <c r="B1108" s="9">
        <v>555.66</v>
      </c>
      <c r="C1108" s="27">
        <f ca="1">AVERAGE(OFFSET(SPY_Close_Price_PQ[[#This Row],[Close]], 0, 0, $C$1*-1))</f>
        <v>588.40640000000008</v>
      </c>
      <c r="D1108" s="27">
        <f ca="1">AVERAGE(OFFSET(SPY_Close_Price_PQ[[#This Row],[Close]], 0, 0, $D$1*-1))</f>
        <v>574.37615000000039</v>
      </c>
      <c r="E1108" s="28">
        <f t="shared" ca="1" si="17"/>
        <v>0</v>
      </c>
    </row>
    <row r="1109" spans="1:5" x14ac:dyDescent="0.4">
      <c r="A1109" s="4">
        <v>45747</v>
      </c>
      <c r="B1109" s="8">
        <v>559.39</v>
      </c>
      <c r="C1109" s="27">
        <f ca="1">AVERAGE(OFFSET(SPY_Close_Price_PQ[[#This Row],[Close]], 0, 0, $C$1*-1))</f>
        <v>587.76140000000009</v>
      </c>
      <c r="D1109" s="27">
        <f ca="1">AVERAGE(OFFSET(SPY_Close_Price_PQ[[#This Row],[Close]], 0, 0, $D$1*-1))</f>
        <v>574.48835000000042</v>
      </c>
      <c r="E1109" s="28">
        <f t="shared" ca="1" si="17"/>
        <v>0</v>
      </c>
    </row>
    <row r="1110" spans="1:5" x14ac:dyDescent="0.4">
      <c r="A1110" s="5">
        <v>45748</v>
      </c>
      <c r="B1110" s="9">
        <v>560.97</v>
      </c>
      <c r="C1110" s="27">
        <f ca="1">AVERAGE(OFFSET(SPY_Close_Price_PQ[[#This Row],[Close]], 0, 0, $C$1*-1))</f>
        <v>587.02920000000006</v>
      </c>
      <c r="D1110" s="27">
        <f ca="1">AVERAGE(OFFSET(SPY_Close_Price_PQ[[#This Row],[Close]], 0, 0, $D$1*-1))</f>
        <v>574.58640000000048</v>
      </c>
      <c r="E1110" s="28">
        <f t="shared" ca="1" si="17"/>
        <v>0</v>
      </c>
    </row>
    <row r="1111" spans="1:5" x14ac:dyDescent="0.4">
      <c r="A1111" s="4">
        <v>45749</v>
      </c>
      <c r="B1111" s="8">
        <v>564.52</v>
      </c>
      <c r="C1111" s="27">
        <f ca="1">AVERAGE(OFFSET(SPY_Close_Price_PQ[[#This Row],[Close]], 0, 0, $C$1*-1))</f>
        <v>586.25860000000011</v>
      </c>
      <c r="D1111" s="27">
        <f ca="1">AVERAGE(OFFSET(SPY_Close_Price_PQ[[#This Row],[Close]], 0, 0, $D$1*-1))</f>
        <v>574.69675000000052</v>
      </c>
      <c r="E1111" s="28">
        <f t="shared" ca="1" si="17"/>
        <v>0</v>
      </c>
    </row>
    <row r="1112" spans="1:5" x14ac:dyDescent="0.4">
      <c r="A1112" s="5">
        <v>45750</v>
      </c>
      <c r="B1112" s="9">
        <v>536.70000000000005</v>
      </c>
      <c r="C1112" s="27">
        <f ca="1">AVERAGE(OFFSET(SPY_Close_Price_PQ[[#This Row],[Close]], 0, 0, $C$1*-1))</f>
        <v>584.86380000000008</v>
      </c>
      <c r="D1112" s="27">
        <f ca="1">AVERAGE(OFFSET(SPY_Close_Price_PQ[[#This Row],[Close]], 0, 0, $D$1*-1))</f>
        <v>574.66635000000042</v>
      </c>
      <c r="E1112" s="28">
        <f t="shared" ca="1" si="17"/>
        <v>0</v>
      </c>
    </row>
    <row r="1113" spans="1:5" x14ac:dyDescent="0.4">
      <c r="A1113" s="4">
        <v>45751</v>
      </c>
      <c r="B1113" s="8">
        <v>505.28</v>
      </c>
      <c r="C1113" s="27">
        <f ca="1">AVERAGE(OFFSET(SPY_Close_Price_PQ[[#This Row],[Close]], 0, 0, $C$1*-1))</f>
        <v>582.77440000000013</v>
      </c>
      <c r="D1113" s="27">
        <f ca="1">AVERAGE(OFFSET(SPY_Close_Price_PQ[[#This Row],[Close]], 0, 0, $D$1*-1))</f>
        <v>574.45725000000039</v>
      </c>
      <c r="E1113" s="28">
        <f t="shared" ca="1" si="17"/>
        <v>0</v>
      </c>
    </row>
    <row r="1114" spans="1:5" x14ac:dyDescent="0.4">
      <c r="A1114" s="5">
        <v>45754</v>
      </c>
      <c r="B1114" s="9">
        <v>504.38</v>
      </c>
      <c r="C1114" s="27">
        <f ca="1">AVERAGE(OFFSET(SPY_Close_Price_PQ[[#This Row],[Close]], 0, 0, $C$1*-1))</f>
        <v>580.70260000000007</v>
      </c>
      <c r="D1114" s="27">
        <f ca="1">AVERAGE(OFFSET(SPY_Close_Price_PQ[[#This Row],[Close]], 0, 0, $D$1*-1))</f>
        <v>574.23670000000038</v>
      </c>
      <c r="E1114" s="28">
        <f t="shared" ca="1" si="17"/>
        <v>0</v>
      </c>
    </row>
    <row r="1115" spans="1:5" x14ac:dyDescent="0.4">
      <c r="A1115" s="4">
        <v>45755</v>
      </c>
      <c r="B1115" s="8">
        <v>496.48</v>
      </c>
      <c r="C1115" s="27">
        <f ca="1">AVERAGE(OFFSET(SPY_Close_Price_PQ[[#This Row],[Close]], 0, 0, $C$1*-1))</f>
        <v>578.64480000000015</v>
      </c>
      <c r="D1115" s="27">
        <f ca="1">AVERAGE(OFFSET(SPY_Close_Price_PQ[[#This Row],[Close]], 0, 0, $D$1*-1))</f>
        <v>573.98410000000035</v>
      </c>
      <c r="E1115" s="28">
        <f t="shared" ca="1" si="17"/>
        <v>0</v>
      </c>
    </row>
    <row r="1116" spans="1:5" x14ac:dyDescent="0.4">
      <c r="A1116" s="5">
        <v>45756</v>
      </c>
      <c r="B1116" s="9">
        <v>548.62</v>
      </c>
      <c r="C1116" s="27">
        <f ca="1">AVERAGE(OFFSET(SPY_Close_Price_PQ[[#This Row],[Close]], 0, 0, $C$1*-1))</f>
        <v>577.52680000000009</v>
      </c>
      <c r="D1116" s="27">
        <f ca="1">AVERAGE(OFFSET(SPY_Close_Price_PQ[[#This Row],[Close]], 0, 0, $D$1*-1))</f>
        <v>574.00465000000042</v>
      </c>
      <c r="E1116" s="28">
        <f t="shared" ca="1" si="17"/>
        <v>0</v>
      </c>
    </row>
    <row r="1117" spans="1:5" x14ac:dyDescent="0.4">
      <c r="A1117" s="4">
        <v>45757</v>
      </c>
      <c r="B1117" s="8">
        <v>524.58000000000004</v>
      </c>
      <c r="C1117" s="27">
        <f ca="1">AVERAGE(OFFSET(SPY_Close_Price_PQ[[#This Row],[Close]], 0, 0, $C$1*-1))</f>
        <v>575.98220000000003</v>
      </c>
      <c r="D1117" s="27">
        <f ca="1">AVERAGE(OFFSET(SPY_Close_Price_PQ[[#This Row],[Close]], 0, 0, $D$1*-1))</f>
        <v>573.91385000000037</v>
      </c>
      <c r="E1117" s="28">
        <f t="shared" ca="1" si="17"/>
        <v>0</v>
      </c>
    </row>
    <row r="1118" spans="1:5" x14ac:dyDescent="0.4">
      <c r="A1118" s="5">
        <v>45758</v>
      </c>
      <c r="B1118" s="9">
        <v>533.94000000000005</v>
      </c>
      <c r="C1118" s="27">
        <f ca="1">AVERAGE(OFFSET(SPY_Close_Price_PQ[[#This Row],[Close]], 0, 0, $C$1*-1))</f>
        <v>574.56020000000024</v>
      </c>
      <c r="D1118" s="27">
        <f ca="1">AVERAGE(OFFSET(SPY_Close_Price_PQ[[#This Row],[Close]], 0, 0, $D$1*-1))</f>
        <v>573.85940000000039</v>
      </c>
      <c r="E1118" s="28">
        <f t="shared" ca="1" si="17"/>
        <v>0</v>
      </c>
    </row>
    <row r="1119" spans="1:5" x14ac:dyDescent="0.4">
      <c r="A1119" s="4">
        <v>45761</v>
      </c>
      <c r="B1119" s="8">
        <v>539.12</v>
      </c>
      <c r="C1119" s="27">
        <f ca="1">AVERAGE(OFFSET(SPY_Close_Price_PQ[[#This Row],[Close]], 0, 0, $C$1*-1))</f>
        <v>573.30620000000022</v>
      </c>
      <c r="D1119" s="27">
        <f ca="1">AVERAGE(OFFSET(SPY_Close_Price_PQ[[#This Row],[Close]], 0, 0, $D$1*-1))</f>
        <v>573.82745000000034</v>
      </c>
      <c r="E1119" s="28">
        <f t="shared" ca="1" si="17"/>
        <v>0</v>
      </c>
    </row>
    <row r="1120" spans="1:5" x14ac:dyDescent="0.4">
      <c r="A1120" s="5">
        <v>45762</v>
      </c>
      <c r="B1120" s="9">
        <v>537.61</v>
      </c>
      <c r="C1120" s="27">
        <f ca="1">AVERAGE(OFFSET(SPY_Close_Price_PQ[[#This Row],[Close]], 0, 0, $C$1*-1))</f>
        <v>572.10300000000018</v>
      </c>
      <c r="D1120" s="27">
        <f ca="1">AVERAGE(OFFSET(SPY_Close_Price_PQ[[#This Row],[Close]], 0, 0, $D$1*-1))</f>
        <v>573.78365000000031</v>
      </c>
      <c r="E1120" s="28">
        <f t="shared" ca="1" si="17"/>
        <v>0</v>
      </c>
    </row>
    <row r="1121" spans="1:5" x14ac:dyDescent="0.4">
      <c r="A1121" s="4">
        <v>45763</v>
      </c>
      <c r="B1121" s="8">
        <v>525.66</v>
      </c>
      <c r="C1121" s="27">
        <f ca="1">AVERAGE(OFFSET(SPY_Close_Price_PQ[[#This Row],[Close]], 0, 0, $C$1*-1))</f>
        <v>570.58060000000023</v>
      </c>
      <c r="D1121" s="27">
        <f ca="1">AVERAGE(OFFSET(SPY_Close_Price_PQ[[#This Row],[Close]], 0, 0, $D$1*-1))</f>
        <v>573.69085000000041</v>
      </c>
      <c r="E1121" s="28">
        <f t="shared" ca="1" si="17"/>
        <v>0</v>
      </c>
    </row>
    <row r="1122" spans="1:5" x14ac:dyDescent="0.4">
      <c r="A1122" s="5">
        <v>45764</v>
      </c>
      <c r="B1122" s="9">
        <v>526.41</v>
      </c>
      <c r="C1122" s="27">
        <f ca="1">AVERAGE(OFFSET(SPY_Close_Price_PQ[[#This Row],[Close]], 0, 0, $C$1*-1))</f>
        <v>569.02440000000013</v>
      </c>
      <c r="D1122" s="27">
        <f ca="1">AVERAGE(OFFSET(SPY_Close_Price_PQ[[#This Row],[Close]], 0, 0, $D$1*-1))</f>
        <v>573.59620000000029</v>
      </c>
      <c r="E1122" s="28">
        <f t="shared" ca="1" si="17"/>
        <v>0</v>
      </c>
    </row>
    <row r="1123" spans="1:5" x14ac:dyDescent="0.4">
      <c r="A1123" s="4">
        <v>45768</v>
      </c>
      <c r="B1123" s="8">
        <v>513.88</v>
      </c>
      <c r="C1123" s="27">
        <f ca="1">AVERAGE(OFFSET(SPY_Close_Price_PQ[[#This Row],[Close]], 0, 0, $C$1*-1))</f>
        <v>567.17560000000014</v>
      </c>
      <c r="D1123" s="27">
        <f ca="1">AVERAGE(OFFSET(SPY_Close_Price_PQ[[#This Row],[Close]], 0, 0, $D$1*-1))</f>
        <v>573.42055000000039</v>
      </c>
      <c r="E1123" s="28">
        <f t="shared" ca="1" si="17"/>
        <v>0</v>
      </c>
    </row>
    <row r="1124" spans="1:5" x14ac:dyDescent="0.4">
      <c r="A1124" s="5">
        <v>45769</v>
      </c>
      <c r="B1124" s="9">
        <v>527.25</v>
      </c>
      <c r="C1124" s="27">
        <f ca="1">AVERAGE(OFFSET(SPY_Close_Price_PQ[[#This Row],[Close]], 0, 0, $C$1*-1))</f>
        <v>565.7052000000001</v>
      </c>
      <c r="D1124" s="27">
        <f ca="1">AVERAGE(OFFSET(SPY_Close_Price_PQ[[#This Row],[Close]], 0, 0, $D$1*-1))</f>
        <v>573.29950000000042</v>
      </c>
      <c r="E1124" s="28">
        <f t="shared" ca="1" si="17"/>
        <v>0</v>
      </c>
    </row>
    <row r="1125" spans="1:5" x14ac:dyDescent="0.4">
      <c r="A1125" s="4">
        <v>45770</v>
      </c>
      <c r="B1125" s="8">
        <v>535.41999999999996</v>
      </c>
      <c r="C1125" s="27">
        <f ca="1">AVERAGE(OFFSET(SPY_Close_Price_PQ[[#This Row],[Close]], 0, 0, $C$1*-1))</f>
        <v>564.31659999999999</v>
      </c>
      <c r="D1125" s="27">
        <f ca="1">AVERAGE(OFFSET(SPY_Close_Price_PQ[[#This Row],[Close]], 0, 0, $D$1*-1))</f>
        <v>573.20340000000033</v>
      </c>
      <c r="E1125" s="28">
        <f t="shared" ca="1" si="17"/>
        <v>0</v>
      </c>
    </row>
    <row r="1126" spans="1:5" x14ac:dyDescent="0.4">
      <c r="A1126" s="5">
        <v>45771</v>
      </c>
      <c r="B1126" s="9">
        <v>546.69000000000005</v>
      </c>
      <c r="C1126" s="27">
        <f ca="1">AVERAGE(OFFSET(SPY_Close_Price_PQ[[#This Row],[Close]], 0, 0, $C$1*-1))</f>
        <v>563.14419999999996</v>
      </c>
      <c r="D1126" s="27">
        <f ca="1">AVERAGE(OFFSET(SPY_Close_Price_PQ[[#This Row],[Close]], 0, 0, $D$1*-1))</f>
        <v>573.16045000000031</v>
      </c>
      <c r="E1126" s="28">
        <f t="shared" ca="1" si="17"/>
        <v>0</v>
      </c>
    </row>
    <row r="1127" spans="1:5" x14ac:dyDescent="0.4">
      <c r="A1127" s="4">
        <v>45772</v>
      </c>
      <c r="B1127" s="8">
        <v>550.64</v>
      </c>
      <c r="C1127" s="27">
        <f ca="1">AVERAGE(OFFSET(SPY_Close_Price_PQ[[#This Row],[Close]], 0, 0, $C$1*-1))</f>
        <v>562.08979999999997</v>
      </c>
      <c r="D1127" s="27">
        <f ca="1">AVERAGE(OFFSET(SPY_Close_Price_PQ[[#This Row],[Close]], 0, 0, $D$1*-1))</f>
        <v>573.13455000000033</v>
      </c>
      <c r="E1127" s="28">
        <f t="shared" ca="1" si="17"/>
        <v>0</v>
      </c>
    </row>
    <row r="1128" spans="1:5" x14ac:dyDescent="0.4">
      <c r="A1128" s="5">
        <v>45775</v>
      </c>
      <c r="B1128" s="9">
        <v>550.85</v>
      </c>
      <c r="C1128" s="27">
        <f ca="1">AVERAGE(OFFSET(SPY_Close_Price_PQ[[#This Row],[Close]], 0, 0, $C$1*-1))</f>
        <v>560.91219999999998</v>
      </c>
      <c r="D1128" s="27">
        <f ca="1">AVERAGE(OFFSET(SPY_Close_Price_PQ[[#This Row],[Close]], 0, 0, $D$1*-1))</f>
        <v>573.0822000000004</v>
      </c>
      <c r="E1128" s="28">
        <f t="shared" ca="1" si="17"/>
        <v>0</v>
      </c>
    </row>
    <row r="1129" spans="1:5" x14ac:dyDescent="0.4">
      <c r="A1129" s="4">
        <v>45776</v>
      </c>
      <c r="B1129" s="8">
        <v>554.32000000000005</v>
      </c>
      <c r="C1129" s="27">
        <f ca="1">AVERAGE(OFFSET(SPY_Close_Price_PQ[[#This Row],[Close]], 0, 0, $C$1*-1))</f>
        <v>559.80459999999994</v>
      </c>
      <c r="D1129" s="27">
        <f ca="1">AVERAGE(OFFSET(SPY_Close_Price_PQ[[#This Row],[Close]], 0, 0, $D$1*-1))</f>
        <v>573.07140000000038</v>
      </c>
      <c r="E1129" s="28">
        <f t="shared" ca="1" si="17"/>
        <v>0</v>
      </c>
    </row>
    <row r="1130" spans="1:5" x14ac:dyDescent="0.4">
      <c r="A1130" s="5">
        <v>45777</v>
      </c>
      <c r="B1130" s="9">
        <v>554.54</v>
      </c>
      <c r="C1130" s="27">
        <f ca="1">AVERAGE(OFFSET(SPY_Close_Price_PQ[[#This Row],[Close]], 0, 0, $C$1*-1))</f>
        <v>558.66559999999993</v>
      </c>
      <c r="D1130" s="27">
        <f ca="1">AVERAGE(OFFSET(SPY_Close_Price_PQ[[#This Row],[Close]], 0, 0, $D$1*-1))</f>
        <v>573.04415000000029</v>
      </c>
      <c r="E1130" s="28">
        <f t="shared" ca="1" si="17"/>
        <v>0</v>
      </c>
    </row>
    <row r="1131" spans="1:5" x14ac:dyDescent="0.4">
      <c r="A1131" s="4">
        <v>45778</v>
      </c>
      <c r="B1131" s="8">
        <v>558.47</v>
      </c>
      <c r="C1131" s="27">
        <f ca="1">AVERAGE(OFFSET(SPY_Close_Price_PQ[[#This Row],[Close]], 0, 0, $C$1*-1))</f>
        <v>557.57639999999992</v>
      </c>
      <c r="D1131" s="27">
        <f ca="1">AVERAGE(OFFSET(SPY_Close_Price_PQ[[#This Row],[Close]], 0, 0, $D$1*-1))</f>
        <v>573.02885000000038</v>
      </c>
      <c r="E1131" s="28">
        <f t="shared" ca="1" si="17"/>
        <v>0</v>
      </c>
    </row>
    <row r="1132" spans="1:5" x14ac:dyDescent="0.4">
      <c r="A1132" s="5">
        <v>45779</v>
      </c>
      <c r="B1132" s="9">
        <v>566.76</v>
      </c>
      <c r="C1132" s="27">
        <f ca="1">AVERAGE(OFFSET(SPY_Close_Price_PQ[[#This Row],[Close]], 0, 0, $C$1*-1))</f>
        <v>556.70399999999984</v>
      </c>
      <c r="D1132" s="27">
        <f ca="1">AVERAGE(OFFSET(SPY_Close_Price_PQ[[#This Row],[Close]], 0, 0, $D$1*-1))</f>
        <v>573.03835000000038</v>
      </c>
      <c r="E1132" s="28">
        <f t="shared" ca="1" si="17"/>
        <v>0</v>
      </c>
    </row>
    <row r="1133" spans="1:5" x14ac:dyDescent="0.4">
      <c r="A1133" s="4">
        <v>45782</v>
      </c>
      <c r="B1133" s="8">
        <v>563.51</v>
      </c>
      <c r="C1133" s="27">
        <f ca="1">AVERAGE(OFFSET(SPY_Close_Price_PQ[[#This Row],[Close]], 0, 0, $C$1*-1))</f>
        <v>555.97539999999981</v>
      </c>
      <c r="D1133" s="27">
        <f ca="1">AVERAGE(OFFSET(SPY_Close_Price_PQ[[#This Row],[Close]], 0, 0, $D$1*-1))</f>
        <v>573.07120000000032</v>
      </c>
      <c r="E1133" s="28">
        <f t="shared" ca="1" si="17"/>
        <v>0</v>
      </c>
    </row>
    <row r="1134" spans="1:5" x14ac:dyDescent="0.4">
      <c r="A1134" s="5">
        <v>45783</v>
      </c>
      <c r="B1134" s="9">
        <v>558.79999999999995</v>
      </c>
      <c r="C1134" s="27">
        <f ca="1">AVERAGE(OFFSET(SPY_Close_Price_PQ[[#This Row],[Close]], 0, 0, $C$1*-1))</f>
        <v>555.20719999999983</v>
      </c>
      <c r="D1134" s="27">
        <f ca="1">AVERAGE(OFFSET(SPY_Close_Price_PQ[[#This Row],[Close]], 0, 0, $D$1*-1))</f>
        <v>573.10190000000034</v>
      </c>
      <c r="E1134" s="28">
        <f t="shared" ca="1" si="17"/>
        <v>0</v>
      </c>
    </row>
    <row r="1135" spans="1:5" x14ac:dyDescent="0.4">
      <c r="A1135" s="4">
        <v>45784</v>
      </c>
      <c r="B1135" s="8">
        <v>561.15</v>
      </c>
      <c r="C1135" s="27">
        <f ca="1">AVERAGE(OFFSET(SPY_Close_Price_PQ[[#This Row],[Close]], 0, 0, $C$1*-1))</f>
        <v>554.54539999999986</v>
      </c>
      <c r="D1135" s="27">
        <f ca="1">AVERAGE(OFFSET(SPY_Close_Price_PQ[[#This Row],[Close]], 0, 0, $D$1*-1))</f>
        <v>573.16270000000031</v>
      </c>
      <c r="E1135" s="28">
        <f t="shared" ca="1" si="17"/>
        <v>0</v>
      </c>
    </row>
    <row r="1136" spans="1:5" x14ac:dyDescent="0.4">
      <c r="A1136" s="5">
        <v>45785</v>
      </c>
      <c r="B1136" s="9">
        <v>565.05999999999995</v>
      </c>
      <c r="C1136" s="27">
        <f ca="1">AVERAGE(OFFSET(SPY_Close_Price_PQ[[#This Row],[Close]], 0, 0, $C$1*-1))</f>
        <v>553.95579999999984</v>
      </c>
      <c r="D1136" s="27">
        <f ca="1">AVERAGE(OFFSET(SPY_Close_Price_PQ[[#This Row],[Close]], 0, 0, $D$1*-1))</f>
        <v>573.21475000000032</v>
      </c>
      <c r="E1136" s="28">
        <f t="shared" ca="1" si="17"/>
        <v>0</v>
      </c>
    </row>
    <row r="1137" spans="1:5" x14ac:dyDescent="0.4">
      <c r="A1137" s="4">
        <v>45786</v>
      </c>
      <c r="B1137" s="8">
        <v>564.34</v>
      </c>
      <c r="C1137" s="27">
        <f ca="1">AVERAGE(OFFSET(SPY_Close_Price_PQ[[#This Row],[Close]], 0, 0, $C$1*-1))</f>
        <v>553.5415999999999</v>
      </c>
      <c r="D1137" s="27">
        <f ca="1">AVERAGE(OFFSET(SPY_Close_Price_PQ[[#This Row],[Close]], 0, 0, $D$1*-1))</f>
        <v>573.26755000000026</v>
      </c>
      <c r="E1137" s="28">
        <f t="shared" ca="1" si="17"/>
        <v>0</v>
      </c>
    </row>
    <row r="1138" spans="1:5" x14ac:dyDescent="0.4">
      <c r="A1138" s="5">
        <v>45789</v>
      </c>
      <c r="B1138" s="9">
        <v>582.99</v>
      </c>
      <c r="C1138" s="27">
        <f ca="1">AVERAGE(OFFSET(SPY_Close_Price_PQ[[#This Row],[Close]], 0, 0, $C$1*-1))</f>
        <v>553.31779999999992</v>
      </c>
      <c r="D1138" s="27">
        <f ca="1">AVERAGE(OFFSET(SPY_Close_Price_PQ[[#This Row],[Close]], 0, 0, $D$1*-1))</f>
        <v>573.47635000000037</v>
      </c>
      <c r="E1138" s="28">
        <f t="shared" ca="1" si="17"/>
        <v>0</v>
      </c>
    </row>
    <row r="1139" spans="1:5" x14ac:dyDescent="0.4">
      <c r="A1139" s="4">
        <v>45790</v>
      </c>
      <c r="B1139" s="8">
        <v>586.84</v>
      </c>
      <c r="C1139" s="27">
        <f ca="1">AVERAGE(OFFSET(SPY_Close_Price_PQ[[#This Row],[Close]], 0, 0, $C$1*-1))</f>
        <v>553.37919999999997</v>
      </c>
      <c r="D1139" s="27">
        <f ca="1">AVERAGE(OFFSET(SPY_Close_Price_PQ[[#This Row],[Close]], 0, 0, $D$1*-1))</f>
        <v>573.71850000000029</v>
      </c>
      <c r="E1139" s="28">
        <f t="shared" ca="1" si="17"/>
        <v>0</v>
      </c>
    </row>
    <row r="1140" spans="1:5" x14ac:dyDescent="0.4">
      <c r="A1140" s="5">
        <v>45791</v>
      </c>
      <c r="B1140" s="9">
        <v>587.59</v>
      </c>
      <c r="C1140" s="27">
        <f ca="1">AVERAGE(OFFSET(SPY_Close_Price_PQ[[#This Row],[Close]], 0, 0, $C$1*-1))</f>
        <v>553.59379999999999</v>
      </c>
      <c r="D1140" s="27">
        <f ca="1">AVERAGE(OFFSET(SPY_Close_Price_PQ[[#This Row],[Close]], 0, 0, $D$1*-1))</f>
        <v>573.93425000000025</v>
      </c>
      <c r="E1140" s="28">
        <f t="shared" ca="1" si="17"/>
        <v>0</v>
      </c>
    </row>
    <row r="1141" spans="1:5" x14ac:dyDescent="0.4">
      <c r="A1141" s="4">
        <v>45792</v>
      </c>
      <c r="B1141" s="8">
        <v>590.46</v>
      </c>
      <c r="C1141" s="27">
        <f ca="1">AVERAGE(OFFSET(SPY_Close_Price_PQ[[#This Row],[Close]], 0, 0, $C$1*-1))</f>
        <v>553.74180000000001</v>
      </c>
      <c r="D1141" s="27">
        <f ca="1">AVERAGE(OFFSET(SPY_Close_Price_PQ[[#This Row],[Close]], 0, 0, $D$1*-1))</f>
        <v>574.16275000000019</v>
      </c>
      <c r="E1141" s="28">
        <f t="shared" ca="1" si="17"/>
        <v>0</v>
      </c>
    </row>
    <row r="1142" spans="1:5" x14ac:dyDescent="0.4">
      <c r="A1142" s="5">
        <v>45793</v>
      </c>
      <c r="B1142" s="9">
        <v>594.20000000000005</v>
      </c>
      <c r="C1142" s="27">
        <f ca="1">AVERAGE(OFFSET(SPY_Close_Price_PQ[[#This Row],[Close]], 0, 0, $C$1*-1))</f>
        <v>554.17160000000001</v>
      </c>
      <c r="D1142" s="27">
        <f ca="1">AVERAGE(OFFSET(SPY_Close_Price_PQ[[#This Row],[Close]], 0, 0, $D$1*-1))</f>
        <v>574.42375000000027</v>
      </c>
      <c r="E1142" s="28">
        <f t="shared" ca="1" si="17"/>
        <v>0</v>
      </c>
    </row>
    <row r="1143" spans="1:5" x14ac:dyDescent="0.4">
      <c r="A1143" s="4">
        <v>45796</v>
      </c>
      <c r="B1143" s="8">
        <v>594.85</v>
      </c>
      <c r="C1143" s="27">
        <f ca="1">AVERAGE(OFFSET(SPY_Close_Price_PQ[[#This Row],[Close]], 0, 0, $C$1*-1))</f>
        <v>554.55020000000002</v>
      </c>
      <c r="D1143" s="27">
        <f ca="1">AVERAGE(OFFSET(SPY_Close_Price_PQ[[#This Row],[Close]], 0, 0, $D$1*-1))</f>
        <v>574.64395000000025</v>
      </c>
      <c r="E1143" s="28">
        <f t="shared" ca="1" si="17"/>
        <v>0</v>
      </c>
    </row>
    <row r="1144" spans="1:5" x14ac:dyDescent="0.4">
      <c r="A1144" s="5">
        <v>45797</v>
      </c>
      <c r="B1144" s="9">
        <v>592.85</v>
      </c>
      <c r="C1144" s="27">
        <f ca="1">AVERAGE(OFFSET(SPY_Close_Price_PQ[[#This Row],[Close]], 0, 0, $C$1*-1))</f>
        <v>555.19560000000001</v>
      </c>
      <c r="D1144" s="27">
        <f ca="1">AVERAGE(OFFSET(SPY_Close_Price_PQ[[#This Row],[Close]], 0, 0, $D$1*-1))</f>
        <v>574.89315000000033</v>
      </c>
      <c r="E1144" s="28">
        <f t="shared" ca="1" si="17"/>
        <v>0</v>
      </c>
    </row>
    <row r="1145" spans="1:5" x14ac:dyDescent="0.4">
      <c r="A1145" s="4">
        <v>45798</v>
      </c>
      <c r="B1145" s="8">
        <v>582.86</v>
      </c>
      <c r="C1145" s="27">
        <f ca="1">AVERAGE(OFFSET(SPY_Close_Price_PQ[[#This Row],[Close]], 0, 0, $C$1*-1))</f>
        <v>555.73440000000005</v>
      </c>
      <c r="D1145" s="27">
        <f ca="1">AVERAGE(OFFSET(SPY_Close_Price_PQ[[#This Row],[Close]], 0, 0, $D$1*-1))</f>
        <v>575.14295000000038</v>
      </c>
      <c r="E1145" s="28">
        <f t="shared" ca="1" si="17"/>
        <v>0</v>
      </c>
    </row>
    <row r="1146" spans="1:5" x14ac:dyDescent="0.4">
      <c r="A1146" s="5">
        <v>45799</v>
      </c>
      <c r="B1146" s="9">
        <v>583.09</v>
      </c>
      <c r="C1146" s="27">
        <f ca="1">AVERAGE(OFFSET(SPY_Close_Price_PQ[[#This Row],[Close]], 0, 0, $C$1*-1))</f>
        <v>556.2188000000001</v>
      </c>
      <c r="D1146" s="27">
        <f ca="1">AVERAGE(OFFSET(SPY_Close_Price_PQ[[#This Row],[Close]], 0, 0, $D$1*-1))</f>
        <v>575.47150000000033</v>
      </c>
      <c r="E1146" s="28">
        <f t="shared" ca="1" si="17"/>
        <v>0</v>
      </c>
    </row>
    <row r="1147" spans="1:5" x14ac:dyDescent="0.4">
      <c r="A1147" s="4">
        <v>45800</v>
      </c>
      <c r="B1147" s="8">
        <v>579.11</v>
      </c>
      <c r="C1147" s="27">
        <f ca="1">AVERAGE(OFFSET(SPY_Close_Price_PQ[[#This Row],[Close]], 0, 0, $C$1*-1))</f>
        <v>556.77260000000012</v>
      </c>
      <c r="D1147" s="27">
        <f ca="1">AVERAGE(OFFSET(SPY_Close_Price_PQ[[#This Row],[Close]], 0, 0, $D$1*-1))</f>
        <v>575.75630000000035</v>
      </c>
      <c r="E1147" s="28">
        <f t="shared" ca="1" si="17"/>
        <v>0</v>
      </c>
    </row>
    <row r="1148" spans="1:5" x14ac:dyDescent="0.4">
      <c r="A1148" s="5">
        <v>45804</v>
      </c>
      <c r="B1148" s="9">
        <v>591.15</v>
      </c>
      <c r="C1148" s="27">
        <f ca="1">AVERAGE(OFFSET(SPY_Close_Price_PQ[[#This Row],[Close]], 0, 0, $C$1*-1))</f>
        <v>557.33940000000007</v>
      </c>
      <c r="D1148" s="27">
        <f ca="1">AVERAGE(OFFSET(SPY_Close_Price_PQ[[#This Row],[Close]], 0, 0, $D$1*-1))</f>
        <v>576.11875000000032</v>
      </c>
      <c r="E1148" s="28">
        <f t="shared" ca="1" si="17"/>
        <v>0</v>
      </c>
    </row>
    <row r="1149" spans="1:5" x14ac:dyDescent="0.4">
      <c r="A1149" s="4">
        <v>45805</v>
      </c>
      <c r="B1149" s="8">
        <v>587.73</v>
      </c>
      <c r="C1149" s="27">
        <f ca="1">AVERAGE(OFFSET(SPY_Close_Price_PQ[[#This Row],[Close]], 0, 0, $C$1*-1))</f>
        <v>557.75100000000009</v>
      </c>
      <c r="D1149" s="27">
        <f ca="1">AVERAGE(OFFSET(SPY_Close_Price_PQ[[#This Row],[Close]], 0, 0, $D$1*-1))</f>
        <v>576.4041500000003</v>
      </c>
      <c r="E1149" s="28">
        <f t="shared" ca="1" si="17"/>
        <v>0</v>
      </c>
    </row>
    <row r="1150" spans="1:5" x14ac:dyDescent="0.4">
      <c r="A1150" s="5">
        <v>45806</v>
      </c>
      <c r="B1150" s="9">
        <v>590.04999999999995</v>
      </c>
      <c r="C1150" s="27">
        <f ca="1">AVERAGE(OFFSET(SPY_Close_Price_PQ[[#This Row],[Close]], 0, 0, $C$1*-1))</f>
        <v>558.33159999999998</v>
      </c>
      <c r="D1150" s="27">
        <f ca="1">AVERAGE(OFFSET(SPY_Close_Price_PQ[[#This Row],[Close]], 0, 0, $D$1*-1))</f>
        <v>576.68945000000031</v>
      </c>
      <c r="E1150" s="28">
        <f t="shared" ca="1" si="17"/>
        <v>0</v>
      </c>
    </row>
    <row r="1151" spans="1:5" x14ac:dyDescent="0.4">
      <c r="A1151" s="4">
        <v>45807</v>
      </c>
      <c r="B1151" s="8">
        <v>589.39</v>
      </c>
      <c r="C1151" s="27">
        <f ca="1">AVERAGE(OFFSET(SPY_Close_Price_PQ[[#This Row],[Close]], 0, 0, $C$1*-1))</f>
        <v>558.77680000000009</v>
      </c>
      <c r="D1151" s="27">
        <f ca="1">AVERAGE(OFFSET(SPY_Close_Price_PQ[[#This Row],[Close]], 0, 0, $D$1*-1))</f>
        <v>576.97005000000024</v>
      </c>
      <c r="E1151" s="28">
        <f t="shared" ca="1" si="17"/>
        <v>0</v>
      </c>
    </row>
    <row r="1152" spans="1:5" x14ac:dyDescent="0.4">
      <c r="A1152" s="5">
        <v>45810</v>
      </c>
      <c r="B1152" s="9">
        <v>592.71</v>
      </c>
      <c r="C1152" s="27">
        <f ca="1">AVERAGE(OFFSET(SPY_Close_Price_PQ[[#This Row],[Close]], 0, 0, $C$1*-1))</f>
        <v>559.32119999999998</v>
      </c>
      <c r="D1152" s="27">
        <f ca="1">AVERAGE(OFFSET(SPY_Close_Price_PQ[[#This Row],[Close]], 0, 0, $D$1*-1))</f>
        <v>577.22340000000031</v>
      </c>
      <c r="E1152" s="28">
        <f t="shared" ca="1" si="17"/>
        <v>0</v>
      </c>
    </row>
    <row r="1153" spans="1:5" x14ac:dyDescent="0.4">
      <c r="A1153" s="4">
        <v>45811</v>
      </c>
      <c r="B1153" s="8">
        <v>596.09</v>
      </c>
      <c r="C1153" s="27">
        <f ca="1">AVERAGE(OFFSET(SPY_Close_Price_PQ[[#This Row],[Close]], 0, 0, $C$1*-1))</f>
        <v>559.96340000000009</v>
      </c>
      <c r="D1153" s="27">
        <f ca="1">AVERAGE(OFFSET(SPY_Close_Price_PQ[[#This Row],[Close]], 0, 0, $D$1*-1))</f>
        <v>577.48510000000033</v>
      </c>
      <c r="E1153" s="28">
        <f t="shared" ca="1" si="17"/>
        <v>0</v>
      </c>
    </row>
    <row r="1154" spans="1:5" x14ac:dyDescent="0.4">
      <c r="A1154" s="5">
        <v>45812</v>
      </c>
      <c r="B1154" s="9">
        <v>595.92999999999995</v>
      </c>
      <c r="C1154" s="27">
        <f ca="1">AVERAGE(OFFSET(SPY_Close_Price_PQ[[#This Row],[Close]], 0, 0, $C$1*-1))</f>
        <v>560.40039999999999</v>
      </c>
      <c r="D1154" s="27">
        <f ca="1">AVERAGE(OFFSET(SPY_Close_Price_PQ[[#This Row],[Close]], 0, 0, $D$1*-1))</f>
        <v>577.69940000000031</v>
      </c>
      <c r="E1154" s="28">
        <f t="shared" ca="1" si="17"/>
        <v>0</v>
      </c>
    </row>
    <row r="1155" spans="1:5" x14ac:dyDescent="0.4">
      <c r="A1155" s="4">
        <v>45813</v>
      </c>
      <c r="B1155" s="8">
        <v>593.04999999999995</v>
      </c>
      <c r="C1155" s="27">
        <f ca="1">AVERAGE(OFFSET(SPY_Close_Price_PQ[[#This Row],[Close]], 0, 0, $C$1*-1))</f>
        <v>560.7521999999999</v>
      </c>
      <c r="D1155" s="27">
        <f ca="1">AVERAGE(OFFSET(SPY_Close_Price_PQ[[#This Row],[Close]], 0, 0, $D$1*-1))</f>
        <v>577.89310000000035</v>
      </c>
      <c r="E1155" s="28">
        <f t="shared" ca="1" si="17"/>
        <v>0</v>
      </c>
    </row>
    <row r="1156" spans="1:5" x14ac:dyDescent="0.4">
      <c r="A1156" s="5">
        <v>45814</v>
      </c>
      <c r="B1156" s="9">
        <v>599.14</v>
      </c>
      <c r="C1156" s="27">
        <f ca="1">AVERAGE(OFFSET(SPY_Close_Price_PQ[[#This Row],[Close]], 0, 0, $C$1*-1))</f>
        <v>561.36319999999989</v>
      </c>
      <c r="D1156" s="27">
        <f ca="1">AVERAGE(OFFSET(SPY_Close_Price_PQ[[#This Row],[Close]], 0, 0, $D$1*-1))</f>
        <v>578.0907500000003</v>
      </c>
      <c r="E1156" s="28">
        <f t="shared" ref="E1156:E1219" ca="1" si="18">IF(AND(C1155&lt;D1155,C1156&gt;D1156),1,0)</f>
        <v>0</v>
      </c>
    </row>
    <row r="1157" spans="1:5" x14ac:dyDescent="0.4">
      <c r="A1157" s="4">
        <v>45817</v>
      </c>
      <c r="B1157" s="8">
        <v>599.67999999999995</v>
      </c>
      <c r="C1157" s="27">
        <f ca="1">AVERAGE(OFFSET(SPY_Close_Price_PQ[[#This Row],[Close]], 0, 0, $C$1*-1))</f>
        <v>562.01519999999982</v>
      </c>
      <c r="D1157" s="27">
        <f ca="1">AVERAGE(OFFSET(SPY_Close_Price_PQ[[#This Row],[Close]], 0, 0, $D$1*-1))</f>
        <v>578.29565000000025</v>
      </c>
      <c r="E1157" s="28">
        <f t="shared" ca="1" si="18"/>
        <v>0</v>
      </c>
    </row>
    <row r="1158" spans="1:5" x14ac:dyDescent="0.4">
      <c r="A1158" s="5">
        <v>45818</v>
      </c>
      <c r="B1158" s="9">
        <v>603.08000000000004</v>
      </c>
      <c r="C1158" s="27">
        <f ca="1">AVERAGE(OFFSET(SPY_Close_Price_PQ[[#This Row],[Close]], 0, 0, $C$1*-1))</f>
        <v>562.96359999999993</v>
      </c>
      <c r="D1158" s="27">
        <f ca="1">AVERAGE(OFFSET(SPY_Close_Price_PQ[[#This Row],[Close]], 0, 0, $D$1*-1))</f>
        <v>578.50795000000016</v>
      </c>
      <c r="E1158" s="28">
        <f t="shared" ca="1" si="18"/>
        <v>0</v>
      </c>
    </row>
    <row r="1159" spans="1:5" x14ac:dyDescent="0.4">
      <c r="A1159" s="4">
        <v>45819</v>
      </c>
      <c r="B1159" s="8">
        <v>601.36</v>
      </c>
      <c r="C1159" s="27">
        <f ca="1">AVERAGE(OFFSET(SPY_Close_Price_PQ[[#This Row],[Close]], 0, 0, $C$1*-1))</f>
        <v>563.803</v>
      </c>
      <c r="D1159" s="27">
        <f ca="1">AVERAGE(OFFSET(SPY_Close_Price_PQ[[#This Row],[Close]], 0, 0, $D$1*-1))</f>
        <v>578.73365000000024</v>
      </c>
      <c r="E1159" s="28">
        <f t="shared" ca="1" si="18"/>
        <v>0</v>
      </c>
    </row>
    <row r="1160" spans="1:5" x14ac:dyDescent="0.4">
      <c r="A1160" s="5">
        <v>45820</v>
      </c>
      <c r="B1160" s="9">
        <v>603.75</v>
      </c>
      <c r="C1160" s="27">
        <f ca="1">AVERAGE(OFFSET(SPY_Close_Price_PQ[[#This Row],[Close]], 0, 0, $C$1*-1))</f>
        <v>564.65859999999998</v>
      </c>
      <c r="D1160" s="27">
        <f ca="1">AVERAGE(OFFSET(SPY_Close_Price_PQ[[#This Row],[Close]], 0, 0, $D$1*-1))</f>
        <v>578.94175000000018</v>
      </c>
      <c r="E1160" s="28">
        <f t="shared" ca="1" si="18"/>
        <v>0</v>
      </c>
    </row>
    <row r="1161" spans="1:5" x14ac:dyDescent="0.4">
      <c r="A1161" s="4">
        <v>45821</v>
      </c>
      <c r="B1161" s="8">
        <v>597</v>
      </c>
      <c r="C1161" s="27">
        <f ca="1">AVERAGE(OFFSET(SPY_Close_Price_PQ[[#This Row],[Close]], 0, 0, $C$1*-1))</f>
        <v>565.30819999999994</v>
      </c>
      <c r="D1161" s="27">
        <f ca="1">AVERAGE(OFFSET(SPY_Close_Price_PQ[[#This Row],[Close]], 0, 0, $D$1*-1))</f>
        <v>579.1228000000001</v>
      </c>
      <c r="E1161" s="28">
        <f t="shared" ca="1" si="18"/>
        <v>0</v>
      </c>
    </row>
    <row r="1162" spans="1:5" x14ac:dyDescent="0.4">
      <c r="A1162" s="5">
        <v>45824</v>
      </c>
      <c r="B1162" s="9">
        <v>602.67999999999995</v>
      </c>
      <c r="C1162" s="27">
        <f ca="1">AVERAGE(OFFSET(SPY_Close_Price_PQ[[#This Row],[Close]], 0, 0, $C$1*-1))</f>
        <v>566.62779999999987</v>
      </c>
      <c r="D1162" s="27">
        <f ca="1">AVERAGE(OFFSET(SPY_Close_Price_PQ[[#This Row],[Close]], 0, 0, $D$1*-1))</f>
        <v>579.32839999999999</v>
      </c>
      <c r="E1162" s="28">
        <f t="shared" ca="1" si="18"/>
        <v>0</v>
      </c>
    </row>
    <row r="1163" spans="1:5" x14ac:dyDescent="0.4">
      <c r="A1163" s="4">
        <v>45825</v>
      </c>
      <c r="B1163" s="8">
        <v>597.53</v>
      </c>
      <c r="C1163" s="27">
        <f ca="1">AVERAGE(OFFSET(SPY_Close_Price_PQ[[#This Row],[Close]], 0, 0, $C$1*-1))</f>
        <v>568.47280000000001</v>
      </c>
      <c r="D1163" s="27">
        <f ca="1">AVERAGE(OFFSET(SPY_Close_Price_PQ[[#This Row],[Close]], 0, 0, $D$1*-1))</f>
        <v>579.52455000000009</v>
      </c>
      <c r="E1163" s="28">
        <f t="shared" ca="1" si="18"/>
        <v>0</v>
      </c>
    </row>
    <row r="1164" spans="1:5" x14ac:dyDescent="0.4">
      <c r="A1164" s="5">
        <v>45826</v>
      </c>
      <c r="B1164" s="9">
        <v>597.44000000000005</v>
      </c>
      <c r="C1164" s="27">
        <f ca="1">AVERAGE(OFFSET(SPY_Close_Price_PQ[[#This Row],[Close]], 0, 0, $C$1*-1))</f>
        <v>570.33400000000006</v>
      </c>
      <c r="D1164" s="27">
        <f ca="1">AVERAGE(OFFSET(SPY_Close_Price_PQ[[#This Row],[Close]], 0, 0, $D$1*-1))</f>
        <v>579.72</v>
      </c>
      <c r="E1164" s="28">
        <f t="shared" ca="1" si="18"/>
        <v>0</v>
      </c>
    </row>
    <row r="1165" spans="1:5" x14ac:dyDescent="0.4">
      <c r="A1165" s="4">
        <v>45828</v>
      </c>
      <c r="B1165" s="8">
        <v>594.28</v>
      </c>
      <c r="C1165" s="27">
        <f ca="1">AVERAGE(OFFSET(SPY_Close_Price_PQ[[#This Row],[Close]], 0, 0, $C$1*-1))</f>
        <v>572.29</v>
      </c>
      <c r="D1165" s="27">
        <f ca="1">AVERAGE(OFFSET(SPY_Close_Price_PQ[[#This Row],[Close]], 0, 0, $D$1*-1))</f>
        <v>579.87300000000005</v>
      </c>
      <c r="E1165" s="28">
        <f t="shared" ca="1" si="18"/>
        <v>0</v>
      </c>
    </row>
    <row r="1166" spans="1:5" x14ac:dyDescent="0.4">
      <c r="A1166" s="5">
        <v>45831</v>
      </c>
      <c r="B1166" s="9">
        <v>600.15</v>
      </c>
      <c r="C1166" s="27">
        <f ca="1">AVERAGE(OFFSET(SPY_Close_Price_PQ[[#This Row],[Close]], 0, 0, $C$1*-1))</f>
        <v>573.32060000000001</v>
      </c>
      <c r="D1166" s="27">
        <f ca="1">AVERAGE(OFFSET(SPY_Close_Price_PQ[[#This Row],[Close]], 0, 0, $D$1*-1))</f>
        <v>580.11334999999997</v>
      </c>
      <c r="E1166" s="28">
        <f t="shared" ca="1" si="18"/>
        <v>0</v>
      </c>
    </row>
    <row r="1167" spans="1:5" x14ac:dyDescent="0.4">
      <c r="A1167" s="4">
        <v>45832</v>
      </c>
      <c r="B1167" s="8">
        <v>606.78</v>
      </c>
      <c r="C1167" s="27">
        <f ca="1">AVERAGE(OFFSET(SPY_Close_Price_PQ[[#This Row],[Close]], 0, 0, $C$1*-1))</f>
        <v>574.96460000000002</v>
      </c>
      <c r="D1167" s="27">
        <f ca="1">AVERAGE(OFFSET(SPY_Close_Price_PQ[[#This Row],[Close]], 0, 0, $D$1*-1))</f>
        <v>580.39250000000004</v>
      </c>
      <c r="E1167" s="28">
        <f t="shared" ca="1" si="18"/>
        <v>0</v>
      </c>
    </row>
    <row r="1168" spans="1:5" x14ac:dyDescent="0.4">
      <c r="A1168" s="5">
        <v>45833</v>
      </c>
      <c r="B1168" s="9">
        <v>607.12</v>
      </c>
      <c r="C1168" s="27">
        <f ca="1">AVERAGE(OFFSET(SPY_Close_Price_PQ[[#This Row],[Close]], 0, 0, $C$1*-1))</f>
        <v>576.42819999999995</v>
      </c>
      <c r="D1168" s="27">
        <f ca="1">AVERAGE(OFFSET(SPY_Close_Price_PQ[[#This Row],[Close]], 0, 0, $D$1*-1))</f>
        <v>580.68004999999994</v>
      </c>
      <c r="E1168" s="28">
        <f t="shared" ca="1" si="18"/>
        <v>0</v>
      </c>
    </row>
    <row r="1169" spans="1:5" x14ac:dyDescent="0.4">
      <c r="A1169" s="4">
        <v>45834</v>
      </c>
      <c r="B1169" s="8">
        <v>611.87</v>
      </c>
      <c r="C1169" s="27">
        <f ca="1">AVERAGE(OFFSET(SPY_Close_Price_PQ[[#This Row],[Close]], 0, 0, $C$1*-1))</f>
        <v>577.88319999999999</v>
      </c>
      <c r="D1169" s="27">
        <f ca="1">AVERAGE(OFFSET(SPY_Close_Price_PQ[[#This Row],[Close]], 0, 0, $D$1*-1))</f>
        <v>581.0376</v>
      </c>
      <c r="E1169" s="28">
        <f t="shared" ca="1" si="18"/>
        <v>0</v>
      </c>
    </row>
    <row r="1170" spans="1:5" x14ac:dyDescent="0.4">
      <c r="A1170" s="5">
        <v>45835</v>
      </c>
      <c r="B1170" s="9">
        <v>614.91</v>
      </c>
      <c r="C1170" s="27">
        <f ca="1">AVERAGE(OFFSET(SPY_Close_Price_PQ[[#This Row],[Close]], 0, 0, $C$1*-1))</f>
        <v>579.42920000000004</v>
      </c>
      <c r="D1170" s="27">
        <f ca="1">AVERAGE(OFFSET(SPY_Close_Price_PQ[[#This Row],[Close]], 0, 0, $D$1*-1))</f>
        <v>581.38009999999997</v>
      </c>
      <c r="E1170" s="28">
        <f t="shared" ca="1" si="18"/>
        <v>0</v>
      </c>
    </row>
    <row r="1171" spans="1:5" x14ac:dyDescent="0.4">
      <c r="A1171" s="4">
        <v>45838</v>
      </c>
      <c r="B1171" s="8">
        <v>617.85</v>
      </c>
      <c r="C1171" s="27">
        <f ca="1">AVERAGE(OFFSET(SPY_Close_Price_PQ[[#This Row],[Close]], 0, 0, $C$1*-1))</f>
        <v>581.27299999999991</v>
      </c>
      <c r="D1171" s="27">
        <f ca="1">AVERAGE(OFFSET(SPY_Close_Price_PQ[[#This Row],[Close]], 0, 0, $D$1*-1))</f>
        <v>581.72539999999992</v>
      </c>
      <c r="E1171" s="28">
        <f t="shared" ca="1" si="18"/>
        <v>0</v>
      </c>
    </row>
    <row r="1172" spans="1:5" x14ac:dyDescent="0.4">
      <c r="A1172" s="5">
        <v>45839</v>
      </c>
      <c r="B1172" s="9">
        <v>617.65</v>
      </c>
      <c r="C1172" s="27">
        <f ca="1">AVERAGE(OFFSET(SPY_Close_Price_PQ[[#This Row],[Close]], 0, 0, $C$1*-1))</f>
        <v>583.09780000000001</v>
      </c>
      <c r="D1172" s="27">
        <f ca="1">AVERAGE(OFFSET(SPY_Close_Price_PQ[[#This Row],[Close]], 0, 0, $D$1*-1))</f>
        <v>582.04154999999992</v>
      </c>
      <c r="E1172" s="28">
        <f t="shared" ca="1" si="18"/>
        <v>1</v>
      </c>
    </row>
    <row r="1173" spans="1:5" x14ac:dyDescent="0.4">
      <c r="A1173" s="4">
        <v>45840</v>
      </c>
      <c r="B1173" s="8">
        <v>620.45000000000005</v>
      </c>
      <c r="C1173" s="27">
        <f ca="1">AVERAGE(OFFSET(SPY_Close_Price_PQ[[#This Row],[Close]], 0, 0, $C$1*-1))</f>
        <v>585.22919999999999</v>
      </c>
      <c r="D1173" s="27">
        <f ca="1">AVERAGE(OFFSET(SPY_Close_Price_PQ[[#This Row],[Close]], 0, 0, $D$1*-1))</f>
        <v>582.34834999999987</v>
      </c>
      <c r="E1173" s="28">
        <f t="shared" ca="1" si="18"/>
        <v>0</v>
      </c>
    </row>
    <row r="1174" spans="1:5" x14ac:dyDescent="0.4">
      <c r="A1174" s="5">
        <v>45841</v>
      </c>
      <c r="B1174" s="9">
        <v>625.34</v>
      </c>
      <c r="C1174" s="27">
        <f ca="1">AVERAGE(OFFSET(SPY_Close_Price_PQ[[#This Row],[Close]], 0, 0, $C$1*-1))</f>
        <v>587.19100000000003</v>
      </c>
      <c r="D1174" s="27">
        <f ca="1">AVERAGE(OFFSET(SPY_Close_Price_PQ[[#This Row],[Close]], 0, 0, $D$1*-1))</f>
        <v>582.66499999999985</v>
      </c>
      <c r="E1174" s="28">
        <f t="shared" ca="1" si="18"/>
        <v>0</v>
      </c>
    </row>
    <row r="1175" spans="1:5" x14ac:dyDescent="0.4">
      <c r="A1175" s="4">
        <v>45845</v>
      </c>
      <c r="B1175" s="8">
        <v>620.67999999999995</v>
      </c>
      <c r="C1175" s="27">
        <f ca="1">AVERAGE(OFFSET(SPY_Close_Price_PQ[[#This Row],[Close]], 0, 0, $C$1*-1))</f>
        <v>588.89620000000002</v>
      </c>
      <c r="D1175" s="27">
        <f ca="1">AVERAGE(OFFSET(SPY_Close_Price_PQ[[#This Row],[Close]], 0, 0, $D$1*-1))</f>
        <v>582.95419999999979</v>
      </c>
      <c r="E1175" s="28">
        <f t="shared" ca="1" si="18"/>
        <v>0</v>
      </c>
    </row>
    <row r="1176" spans="1:5" x14ac:dyDescent="0.4">
      <c r="A1176" s="5">
        <v>45846</v>
      </c>
      <c r="B1176" s="9">
        <v>620.34</v>
      </c>
      <c r="C1176" s="27">
        <f ca="1">AVERAGE(OFFSET(SPY_Close_Price_PQ[[#This Row],[Close]], 0, 0, $C$1*-1))</f>
        <v>590.36919999999998</v>
      </c>
      <c r="D1176" s="27">
        <f ca="1">AVERAGE(OFFSET(SPY_Close_Price_PQ[[#This Row],[Close]], 0, 0, $D$1*-1))</f>
        <v>583.24054999999976</v>
      </c>
      <c r="E1176" s="28">
        <f t="shared" ca="1" si="18"/>
        <v>0</v>
      </c>
    </row>
    <row r="1177" spans="1:5" x14ac:dyDescent="0.4">
      <c r="A1177" s="4">
        <v>45847</v>
      </c>
      <c r="B1177" s="8">
        <v>624.05999999999995</v>
      </c>
      <c r="C1177" s="27">
        <f ca="1">AVERAGE(OFFSET(SPY_Close_Price_PQ[[#This Row],[Close]], 0, 0, $C$1*-1))</f>
        <v>591.83760000000007</v>
      </c>
      <c r="D1177" s="27">
        <f ca="1">AVERAGE(OFFSET(SPY_Close_Price_PQ[[#This Row],[Close]], 0, 0, $D$1*-1))</f>
        <v>583.55384999999978</v>
      </c>
      <c r="E1177" s="28">
        <f t="shared" ca="1" si="18"/>
        <v>0</v>
      </c>
    </row>
    <row r="1178" spans="1:5" x14ac:dyDescent="0.4">
      <c r="A1178" s="5">
        <v>45848</v>
      </c>
      <c r="B1178" s="9">
        <v>625.82000000000005</v>
      </c>
      <c r="C1178" s="27">
        <f ca="1">AVERAGE(OFFSET(SPY_Close_Price_PQ[[#This Row],[Close]], 0, 0, $C$1*-1))</f>
        <v>593.33699999999999</v>
      </c>
      <c r="D1178" s="27">
        <f ca="1">AVERAGE(OFFSET(SPY_Close_Price_PQ[[#This Row],[Close]], 0, 0, $D$1*-1))</f>
        <v>583.82804999999973</v>
      </c>
      <c r="E1178" s="28">
        <f t="shared" ca="1" si="18"/>
        <v>0</v>
      </c>
    </row>
    <row r="1179" spans="1:5" x14ac:dyDescent="0.4">
      <c r="A1179" s="4">
        <v>45849</v>
      </c>
      <c r="B1179" s="8">
        <v>623.62</v>
      </c>
      <c r="C1179" s="27">
        <f ca="1">AVERAGE(OFFSET(SPY_Close_Price_PQ[[#This Row],[Close]], 0, 0, $C$1*-1))</f>
        <v>594.72299999999996</v>
      </c>
      <c r="D1179" s="27">
        <f ca="1">AVERAGE(OFFSET(SPY_Close_Price_PQ[[#This Row],[Close]], 0, 0, $D$1*-1))</f>
        <v>584.10489999999982</v>
      </c>
      <c r="E1179" s="28">
        <f t="shared" ca="1" si="18"/>
        <v>0</v>
      </c>
    </row>
    <row r="1180" spans="1:5" x14ac:dyDescent="0.4">
      <c r="A1180" s="5">
        <v>45852</v>
      </c>
      <c r="B1180" s="9">
        <v>624.80999999999995</v>
      </c>
      <c r="C1180" s="27">
        <f ca="1">AVERAGE(OFFSET(SPY_Close_Price_PQ[[#This Row],[Close]], 0, 0, $C$1*-1))</f>
        <v>596.12839999999994</v>
      </c>
      <c r="D1180" s="27">
        <f ca="1">AVERAGE(OFFSET(SPY_Close_Price_PQ[[#This Row],[Close]], 0, 0, $D$1*-1))</f>
        <v>584.38059999999973</v>
      </c>
      <c r="E1180" s="28">
        <f t="shared" ca="1" si="18"/>
        <v>0</v>
      </c>
    </row>
    <row r="1181" spans="1:5" x14ac:dyDescent="0.4">
      <c r="A1181" s="4">
        <v>45853</v>
      </c>
      <c r="B1181" s="8">
        <v>622.14</v>
      </c>
      <c r="C1181" s="27">
        <f ca="1">AVERAGE(OFFSET(SPY_Close_Price_PQ[[#This Row],[Close]], 0, 0, $C$1*-1))</f>
        <v>597.40179999999987</v>
      </c>
      <c r="D1181" s="27">
        <f ca="1">AVERAGE(OFFSET(SPY_Close_Price_PQ[[#This Row],[Close]], 0, 0, $D$1*-1))</f>
        <v>584.6347999999997</v>
      </c>
      <c r="E1181" s="28">
        <f t="shared" ca="1" si="18"/>
        <v>0</v>
      </c>
    </row>
    <row r="1182" spans="1:5" x14ac:dyDescent="0.4">
      <c r="A1182" s="5">
        <v>45854</v>
      </c>
      <c r="B1182" s="9">
        <v>624.22</v>
      </c>
      <c r="C1182" s="27">
        <f ca="1">AVERAGE(OFFSET(SPY_Close_Price_PQ[[#This Row],[Close]], 0, 0, $C$1*-1))</f>
        <v>598.55099999999993</v>
      </c>
      <c r="D1182" s="27">
        <f ca="1">AVERAGE(OFFSET(SPY_Close_Price_PQ[[#This Row],[Close]], 0, 0, $D$1*-1))</f>
        <v>584.90569999999968</v>
      </c>
      <c r="E1182" s="28">
        <f t="shared" ca="1" si="18"/>
        <v>0</v>
      </c>
    </row>
    <row r="1183" spans="1:5" x14ac:dyDescent="0.4">
      <c r="A1183" s="4">
        <v>45855</v>
      </c>
      <c r="B1183" s="8">
        <v>628.04</v>
      </c>
      <c r="C1183" s="27">
        <f ca="1">AVERAGE(OFFSET(SPY_Close_Price_PQ[[#This Row],[Close]], 0, 0, $C$1*-1))</f>
        <v>599.84159999999986</v>
      </c>
      <c r="D1183" s="27">
        <f ca="1">AVERAGE(OFFSET(SPY_Close_Price_PQ[[#This Row],[Close]], 0, 0, $D$1*-1))</f>
        <v>585.18439999999964</v>
      </c>
      <c r="E1183" s="28">
        <f t="shared" ca="1" si="18"/>
        <v>0</v>
      </c>
    </row>
    <row r="1184" spans="1:5" x14ac:dyDescent="0.4">
      <c r="A1184" s="5">
        <v>45856</v>
      </c>
      <c r="B1184" s="9">
        <v>627.58000000000004</v>
      </c>
      <c r="C1184" s="27">
        <f ca="1">AVERAGE(OFFSET(SPY_Close_Price_PQ[[#This Row],[Close]], 0, 0, $C$1*-1))</f>
        <v>601.21719999999993</v>
      </c>
      <c r="D1184" s="27">
        <f ca="1">AVERAGE(OFFSET(SPY_Close_Price_PQ[[#This Row],[Close]], 0, 0, $D$1*-1))</f>
        <v>585.4649499999997</v>
      </c>
      <c r="E1184" s="28">
        <f t="shared" ca="1" si="18"/>
        <v>0</v>
      </c>
    </row>
    <row r="1185" spans="1:5" x14ac:dyDescent="0.4">
      <c r="A1185" s="4">
        <v>45859</v>
      </c>
      <c r="B1185" s="8">
        <v>628.77</v>
      </c>
      <c r="C1185" s="27">
        <f ca="1">AVERAGE(OFFSET(SPY_Close_Price_PQ[[#This Row],[Close]], 0, 0, $C$1*-1))</f>
        <v>602.56960000000004</v>
      </c>
      <c r="D1185" s="27">
        <f ca="1">AVERAGE(OFFSET(SPY_Close_Price_PQ[[#This Row],[Close]], 0, 0, $D$1*-1))</f>
        <v>585.73999999999967</v>
      </c>
      <c r="E1185" s="28">
        <f t="shared" ca="1" si="18"/>
        <v>0</v>
      </c>
    </row>
    <row r="1186" spans="1:5" x14ac:dyDescent="0.4">
      <c r="A1186" s="5">
        <v>45860</v>
      </c>
      <c r="B1186" s="9">
        <v>628.86</v>
      </c>
      <c r="C1186" s="27">
        <f ca="1">AVERAGE(OFFSET(SPY_Close_Price_PQ[[#This Row],[Close]], 0, 0, $C$1*-1))</f>
        <v>603.8456000000001</v>
      </c>
      <c r="D1186" s="27">
        <f ca="1">AVERAGE(OFFSET(SPY_Close_Price_PQ[[#This Row],[Close]], 0, 0, $D$1*-1))</f>
        <v>586.04119999999978</v>
      </c>
      <c r="E1186" s="28">
        <f t="shared" ca="1" si="18"/>
        <v>0</v>
      </c>
    </row>
    <row r="1187" spans="1:5" x14ac:dyDescent="0.4">
      <c r="A1187" s="4">
        <v>45861</v>
      </c>
      <c r="B1187" s="8">
        <v>634.21</v>
      </c>
      <c r="C1187" s="27">
        <f ca="1">AVERAGE(OFFSET(SPY_Close_Price_PQ[[#This Row],[Close]], 0, 0, $C$1*-1))</f>
        <v>605.24300000000005</v>
      </c>
      <c r="D1187" s="27">
        <f ca="1">AVERAGE(OFFSET(SPY_Close_Price_PQ[[#This Row],[Close]], 0, 0, $D$1*-1))</f>
        <v>586.36794999999984</v>
      </c>
      <c r="E1187" s="28">
        <f t="shared" ca="1" si="18"/>
        <v>0</v>
      </c>
    </row>
    <row r="1188" spans="1:5" x14ac:dyDescent="0.4">
      <c r="A1188" s="5">
        <v>45862</v>
      </c>
      <c r="B1188" s="9">
        <v>634.41999999999996</v>
      </c>
      <c r="C1188" s="27">
        <f ca="1">AVERAGE(OFFSET(SPY_Close_Price_PQ[[#This Row],[Close]], 0, 0, $C$1*-1))</f>
        <v>606.27160000000015</v>
      </c>
      <c r="D1188" s="27">
        <f ca="1">AVERAGE(OFFSET(SPY_Close_Price_PQ[[#This Row],[Close]], 0, 0, $D$1*-1))</f>
        <v>586.70094999999981</v>
      </c>
      <c r="E1188" s="28">
        <f t="shared" ca="1" si="18"/>
        <v>0</v>
      </c>
    </row>
    <row r="1189" spans="1:5" x14ac:dyDescent="0.4">
      <c r="A1189" s="4">
        <v>45863</v>
      </c>
      <c r="B1189" s="8">
        <v>637.1</v>
      </c>
      <c r="C1189" s="27">
        <f ca="1">AVERAGE(OFFSET(SPY_Close_Price_PQ[[#This Row],[Close]], 0, 0, $C$1*-1))</f>
        <v>607.27679999999998</v>
      </c>
      <c r="D1189" s="27">
        <f ca="1">AVERAGE(OFFSET(SPY_Close_Price_PQ[[#This Row],[Close]], 0, 0, $D$1*-1))</f>
        <v>587.02154999999982</v>
      </c>
      <c r="E1189" s="28">
        <f t="shared" ca="1" si="18"/>
        <v>0</v>
      </c>
    </row>
    <row r="1190" spans="1:5" x14ac:dyDescent="0.4">
      <c r="A1190" s="5">
        <v>45866</v>
      </c>
      <c r="B1190" s="9">
        <v>636.94000000000005</v>
      </c>
      <c r="C1190" s="27">
        <f ca="1">AVERAGE(OFFSET(SPY_Close_Price_PQ[[#This Row],[Close]], 0, 0, $C$1*-1))</f>
        <v>608.26380000000006</v>
      </c>
      <c r="D1190" s="27">
        <f ca="1">AVERAGE(OFFSET(SPY_Close_Price_PQ[[#This Row],[Close]], 0, 0, $D$1*-1))</f>
        <v>587.36724999999979</v>
      </c>
      <c r="E1190" s="28">
        <f t="shared" ca="1" si="18"/>
        <v>0</v>
      </c>
    </row>
    <row r="1191" spans="1:5" x14ac:dyDescent="0.4">
      <c r="A1191" s="4">
        <v>45867</v>
      </c>
      <c r="B1191" s="8">
        <v>635.26</v>
      </c>
      <c r="C1191" s="27">
        <f ca="1">AVERAGE(OFFSET(SPY_Close_Price_PQ[[#This Row],[Close]], 0, 0, $C$1*-1))</f>
        <v>609.15980000000013</v>
      </c>
      <c r="D1191" s="27">
        <f ca="1">AVERAGE(OFFSET(SPY_Close_Price_PQ[[#This Row],[Close]], 0, 0, $D$1*-1))</f>
        <v>587.67769999999973</v>
      </c>
      <c r="E1191" s="28">
        <f t="shared" ca="1" si="18"/>
        <v>0</v>
      </c>
    </row>
    <row r="1192" spans="1:5" x14ac:dyDescent="0.4">
      <c r="A1192" s="5">
        <v>45868</v>
      </c>
      <c r="B1192" s="9">
        <v>634.46</v>
      </c>
      <c r="C1192" s="27">
        <f ca="1">AVERAGE(OFFSET(SPY_Close_Price_PQ[[#This Row],[Close]], 0, 0, $C$1*-1))</f>
        <v>609.96500000000015</v>
      </c>
      <c r="D1192" s="27">
        <f ca="1">AVERAGE(OFFSET(SPY_Close_Price_PQ[[#This Row],[Close]], 0, 0, $D$1*-1))</f>
        <v>587.96429999999975</v>
      </c>
      <c r="E1192" s="28">
        <f t="shared" ca="1" si="18"/>
        <v>0</v>
      </c>
    </row>
    <row r="1193" spans="1:5" x14ac:dyDescent="0.4">
      <c r="A1193" s="4">
        <v>45869</v>
      </c>
      <c r="B1193" s="8">
        <v>632.08000000000004</v>
      </c>
      <c r="C1193" s="27">
        <f ca="1">AVERAGE(OFFSET(SPY_Close_Price_PQ[[#This Row],[Close]], 0, 0, $C$1*-1))</f>
        <v>610.70960000000014</v>
      </c>
      <c r="D1193" s="27">
        <f ca="1">AVERAGE(OFFSET(SPY_Close_Price_PQ[[#This Row],[Close]], 0, 0, $D$1*-1))</f>
        <v>588.24404999999979</v>
      </c>
      <c r="E1193" s="28">
        <f t="shared" ca="1" si="18"/>
        <v>0</v>
      </c>
    </row>
    <row r="1194" spans="1:5" x14ac:dyDescent="0.4">
      <c r="A1194" s="5">
        <v>45870</v>
      </c>
      <c r="B1194" s="9">
        <v>621.72</v>
      </c>
      <c r="C1194" s="27">
        <f ca="1">AVERAGE(OFFSET(SPY_Close_Price_PQ[[#This Row],[Close]], 0, 0, $C$1*-1))</f>
        <v>611.28700000000015</v>
      </c>
      <c r="D1194" s="27">
        <f ca="1">AVERAGE(OFFSET(SPY_Close_Price_PQ[[#This Row],[Close]], 0, 0, $D$1*-1))</f>
        <v>588.45474999999976</v>
      </c>
      <c r="E1194" s="28">
        <f t="shared" ca="1" si="18"/>
        <v>0</v>
      </c>
    </row>
    <row r="1195" spans="1:5" x14ac:dyDescent="0.4">
      <c r="A1195" s="4">
        <v>45873</v>
      </c>
      <c r="B1195" s="8">
        <v>631.16999999999996</v>
      </c>
      <c r="C1195" s="27">
        <f ca="1">AVERAGE(OFFSET(SPY_Close_Price_PQ[[#This Row],[Close]], 0, 0, $C$1*-1))</f>
        <v>612.25320000000011</v>
      </c>
      <c r="D1195" s="27">
        <f ca="1">AVERAGE(OFFSET(SPY_Close_Price_PQ[[#This Row],[Close]], 0, 0, $D$1*-1))</f>
        <v>588.68899999999985</v>
      </c>
      <c r="E1195" s="28">
        <f t="shared" ca="1" si="18"/>
        <v>0</v>
      </c>
    </row>
    <row r="1196" spans="1:5" x14ac:dyDescent="0.4">
      <c r="A1196" s="5">
        <v>45874</v>
      </c>
      <c r="B1196" s="9">
        <v>627.97</v>
      </c>
      <c r="C1196" s="27">
        <f ca="1">AVERAGE(OFFSET(SPY_Close_Price_PQ[[#This Row],[Close]], 0, 0, $C$1*-1))</f>
        <v>613.15080000000012</v>
      </c>
      <c r="D1196" s="27">
        <f ca="1">AVERAGE(OFFSET(SPY_Close_Price_PQ[[#This Row],[Close]], 0, 0, $D$1*-1))</f>
        <v>588.92994999999974</v>
      </c>
      <c r="E1196" s="28">
        <f t="shared" ca="1" si="18"/>
        <v>0</v>
      </c>
    </row>
    <row r="1197" spans="1:5" x14ac:dyDescent="0.4">
      <c r="A1197" s="4">
        <v>45875</v>
      </c>
      <c r="B1197" s="8">
        <v>632.78</v>
      </c>
      <c r="C1197" s="27">
        <f ca="1">AVERAGE(OFFSET(SPY_Close_Price_PQ[[#This Row],[Close]], 0, 0, $C$1*-1))</f>
        <v>614.22420000000011</v>
      </c>
      <c r="D1197" s="27">
        <f ca="1">AVERAGE(OFFSET(SPY_Close_Price_PQ[[#This Row],[Close]], 0, 0, $D$1*-1))</f>
        <v>589.18234999999981</v>
      </c>
      <c r="E1197" s="28">
        <f t="shared" ca="1" si="18"/>
        <v>0</v>
      </c>
    </row>
    <row r="1198" spans="1:5" x14ac:dyDescent="0.4">
      <c r="A1198" s="5">
        <v>45876</v>
      </c>
      <c r="B1198" s="9">
        <v>632.25</v>
      </c>
      <c r="C1198" s="27">
        <f ca="1">AVERAGE(OFFSET(SPY_Close_Price_PQ[[#This Row],[Close]], 0, 0, $C$1*-1))</f>
        <v>615.0462</v>
      </c>
      <c r="D1198" s="27">
        <f ca="1">AVERAGE(OFFSET(SPY_Close_Price_PQ[[#This Row],[Close]], 0, 0, $D$1*-1))</f>
        <v>589.43184999999971</v>
      </c>
      <c r="E1198" s="28">
        <f t="shared" ca="1" si="18"/>
        <v>0</v>
      </c>
    </row>
    <row r="1199" spans="1:5" x14ac:dyDescent="0.4">
      <c r="A1199" s="4">
        <v>45877</v>
      </c>
      <c r="B1199" s="8">
        <v>637.17999999999995</v>
      </c>
      <c r="C1199" s="27">
        <f ca="1">AVERAGE(OFFSET(SPY_Close_Price_PQ[[#This Row],[Close]], 0, 0, $C$1*-1))</f>
        <v>616.03520000000003</v>
      </c>
      <c r="D1199" s="27">
        <f ca="1">AVERAGE(OFFSET(SPY_Close_Price_PQ[[#This Row],[Close]], 0, 0, $D$1*-1))</f>
        <v>589.69479999999976</v>
      </c>
      <c r="E1199" s="28">
        <f t="shared" ca="1" si="18"/>
        <v>0</v>
      </c>
    </row>
    <row r="1200" spans="1:5" x14ac:dyDescent="0.4">
      <c r="A1200" s="5">
        <v>45880</v>
      </c>
      <c r="B1200" s="9">
        <v>635.91999999999996</v>
      </c>
      <c r="C1200" s="27">
        <f ca="1">AVERAGE(OFFSET(SPY_Close_Price_PQ[[#This Row],[Close]], 0, 0, $C$1*-1))</f>
        <v>616.95260000000007</v>
      </c>
      <c r="D1200" s="27">
        <f ca="1">AVERAGE(OFFSET(SPY_Close_Price_PQ[[#This Row],[Close]], 0, 0, $D$1*-1))</f>
        <v>589.95624999999973</v>
      </c>
      <c r="E1200" s="28">
        <f t="shared" ca="1" si="18"/>
        <v>0</v>
      </c>
    </row>
    <row r="1201" spans="1:5" x14ac:dyDescent="0.4">
      <c r="A1201" s="4">
        <v>45881</v>
      </c>
      <c r="B1201" s="8">
        <v>642.69000000000005</v>
      </c>
      <c r="C1201" s="27">
        <f ca="1">AVERAGE(OFFSET(SPY_Close_Price_PQ[[#This Row],[Close]], 0, 0, $C$1*-1))</f>
        <v>618.01859999999988</v>
      </c>
      <c r="D1201" s="27">
        <f ca="1">AVERAGE(OFFSET(SPY_Close_Price_PQ[[#This Row],[Close]], 0, 0, $D$1*-1))</f>
        <v>590.25309999999979</v>
      </c>
      <c r="E1201" s="28">
        <f t="shared" ca="1" si="18"/>
        <v>0</v>
      </c>
    </row>
    <row r="1202" spans="1:5" x14ac:dyDescent="0.4">
      <c r="A1202" s="5">
        <v>45882</v>
      </c>
      <c r="B1202" s="9">
        <v>644.89</v>
      </c>
      <c r="C1202" s="27">
        <f ca="1">AVERAGE(OFFSET(SPY_Close_Price_PQ[[#This Row],[Close]], 0, 0, $C$1*-1))</f>
        <v>619.06219999999996</v>
      </c>
      <c r="D1202" s="27">
        <f ca="1">AVERAGE(OFFSET(SPY_Close_Price_PQ[[#This Row],[Close]], 0, 0, $D$1*-1))</f>
        <v>590.58759999999972</v>
      </c>
      <c r="E1202" s="28">
        <f t="shared" ca="1" si="18"/>
        <v>0</v>
      </c>
    </row>
    <row r="1203" spans="1:5" x14ac:dyDescent="0.4">
      <c r="A1203" s="4">
        <v>45883</v>
      </c>
      <c r="B1203" s="8">
        <v>644.95000000000005</v>
      </c>
      <c r="C1203" s="27">
        <f ca="1">AVERAGE(OFFSET(SPY_Close_Price_PQ[[#This Row],[Close]], 0, 0, $C$1*-1))</f>
        <v>620.0394</v>
      </c>
      <c r="D1203" s="27">
        <f ca="1">AVERAGE(OFFSET(SPY_Close_Price_PQ[[#This Row],[Close]], 0, 0, $D$1*-1))</f>
        <v>590.91614999999967</v>
      </c>
      <c r="E1203" s="28">
        <f t="shared" ca="1" si="18"/>
        <v>0</v>
      </c>
    </row>
    <row r="1204" spans="1:5" x14ac:dyDescent="0.4">
      <c r="A1204" s="5">
        <v>45884</v>
      </c>
      <c r="B1204" s="9">
        <v>643.44000000000005</v>
      </c>
      <c r="C1204" s="27">
        <f ca="1">AVERAGE(OFFSET(SPY_Close_Price_PQ[[#This Row],[Close]], 0, 0, $C$1*-1))</f>
        <v>620.98959999999988</v>
      </c>
      <c r="D1204" s="27">
        <f ca="1">AVERAGE(OFFSET(SPY_Close_Price_PQ[[#This Row],[Close]], 0, 0, $D$1*-1))</f>
        <v>591.23814999999968</v>
      </c>
      <c r="E1204" s="28">
        <f t="shared" ca="1" si="18"/>
        <v>0</v>
      </c>
    </row>
    <row r="1205" spans="1:5" x14ac:dyDescent="0.4">
      <c r="A1205" s="4">
        <v>45887</v>
      </c>
      <c r="B1205" s="8">
        <v>643.29999999999995</v>
      </c>
      <c r="C1205" s="27">
        <f ca="1">AVERAGE(OFFSET(SPY_Close_Price_PQ[[#This Row],[Close]], 0, 0, $C$1*-1))</f>
        <v>621.99459999999988</v>
      </c>
      <c r="D1205" s="27">
        <f ca="1">AVERAGE(OFFSET(SPY_Close_Price_PQ[[#This Row],[Close]], 0, 0, $D$1*-1))</f>
        <v>591.55049999999972</v>
      </c>
      <c r="E1205" s="28">
        <f t="shared" ca="1" si="18"/>
        <v>0</v>
      </c>
    </row>
    <row r="1206" spans="1:5" x14ac:dyDescent="0.4">
      <c r="A1206" s="5">
        <v>45888</v>
      </c>
      <c r="B1206" s="9">
        <v>639.80999999999995</v>
      </c>
      <c r="C1206" s="27">
        <f ca="1">AVERAGE(OFFSET(SPY_Close_Price_PQ[[#This Row],[Close]], 0, 0, $C$1*-1))</f>
        <v>622.80799999999977</v>
      </c>
      <c r="D1206" s="27">
        <f ca="1">AVERAGE(OFFSET(SPY_Close_Price_PQ[[#This Row],[Close]], 0, 0, $D$1*-1))</f>
        <v>591.84069999999974</v>
      </c>
      <c r="E1206" s="28">
        <f t="shared" ca="1" si="18"/>
        <v>0</v>
      </c>
    </row>
    <row r="1207" spans="1:5" x14ac:dyDescent="0.4">
      <c r="A1207" s="4">
        <v>45889</v>
      </c>
      <c r="B1207" s="8">
        <v>638.11</v>
      </c>
      <c r="C1207" s="27">
        <f ca="1">AVERAGE(OFFSET(SPY_Close_Price_PQ[[#This Row],[Close]], 0, 0, $C$1*-1))</f>
        <v>623.57659999999987</v>
      </c>
      <c r="D1207" s="27">
        <f ca="1">AVERAGE(OFFSET(SPY_Close_Price_PQ[[#This Row],[Close]], 0, 0, $D$1*-1))</f>
        <v>592.13119999999969</v>
      </c>
      <c r="E1207" s="28">
        <f t="shared" ca="1" si="18"/>
        <v>0</v>
      </c>
    </row>
    <row r="1208" spans="1:5" x14ac:dyDescent="0.4">
      <c r="A1208" s="5">
        <v>45890</v>
      </c>
      <c r="B1208" s="9">
        <v>635.54999999999995</v>
      </c>
      <c r="C1208" s="27">
        <f ca="1">AVERAGE(OFFSET(SPY_Close_Price_PQ[[#This Row],[Close]], 0, 0, $C$1*-1))</f>
        <v>624.22599999999977</v>
      </c>
      <c r="D1208" s="27">
        <f ca="1">AVERAGE(OFFSET(SPY_Close_Price_PQ[[#This Row],[Close]], 0, 0, $D$1*-1))</f>
        <v>592.46574999999973</v>
      </c>
      <c r="E1208" s="28">
        <f t="shared" ca="1" si="18"/>
        <v>0</v>
      </c>
    </row>
    <row r="1209" spans="1:5" x14ac:dyDescent="0.4">
      <c r="A1209" s="4">
        <v>45891</v>
      </c>
      <c r="B1209" s="8">
        <v>645.30999999999995</v>
      </c>
      <c r="C1209" s="27">
        <f ca="1">AVERAGE(OFFSET(SPY_Close_Price_PQ[[#This Row],[Close]], 0, 0, $C$1*-1))</f>
        <v>625.10499999999979</v>
      </c>
      <c r="D1209" s="27">
        <f ca="1">AVERAGE(OFFSET(SPY_Close_Price_PQ[[#This Row],[Close]], 0, 0, $D$1*-1))</f>
        <v>592.83709999999974</v>
      </c>
      <c r="E1209" s="28">
        <f t="shared" ca="1" si="18"/>
        <v>0</v>
      </c>
    </row>
    <row r="1210" spans="1:5" x14ac:dyDescent="0.4">
      <c r="A1210" s="5">
        <v>45894</v>
      </c>
      <c r="B1210" s="9">
        <v>642.47</v>
      </c>
      <c r="C1210" s="27">
        <f ca="1">AVERAGE(OFFSET(SPY_Close_Price_PQ[[#This Row],[Close]], 0, 0, $C$1*-1))</f>
        <v>625.87939999999992</v>
      </c>
      <c r="D1210" s="27">
        <f ca="1">AVERAGE(OFFSET(SPY_Close_Price_PQ[[#This Row],[Close]], 0, 0, $D$1*-1))</f>
        <v>593.20039999999972</v>
      </c>
      <c r="E1210" s="28">
        <f t="shared" ca="1" si="18"/>
        <v>0</v>
      </c>
    </row>
    <row r="1211" spans="1:5" x14ac:dyDescent="0.4">
      <c r="A1211" s="4">
        <v>45895</v>
      </c>
      <c r="B1211" s="8">
        <v>645.16</v>
      </c>
      <c r="C1211" s="27">
        <f ca="1">AVERAGE(OFFSET(SPY_Close_Price_PQ[[#This Row],[Close]], 0, 0, $C$1*-1))</f>
        <v>626.84259999999983</v>
      </c>
      <c r="D1211" s="27">
        <f ca="1">AVERAGE(OFFSET(SPY_Close_Price_PQ[[#This Row],[Close]], 0, 0, $D$1*-1))</f>
        <v>593.54269999999963</v>
      </c>
      <c r="E1211" s="28">
        <f t="shared" ca="1" si="18"/>
        <v>0</v>
      </c>
    </row>
    <row r="1212" spans="1:5" x14ac:dyDescent="0.4">
      <c r="A1212" s="5">
        <v>45896</v>
      </c>
      <c r="B1212" s="9">
        <v>646.63</v>
      </c>
      <c r="C1212" s="27">
        <f ca="1">AVERAGE(OFFSET(SPY_Close_Price_PQ[[#This Row],[Close]], 0, 0, $C$1*-1))</f>
        <v>627.72159999999997</v>
      </c>
      <c r="D1212" s="27">
        <f ca="1">AVERAGE(OFFSET(SPY_Close_Price_PQ[[#This Row],[Close]], 0, 0, $D$1*-1))</f>
        <v>593.82064999999977</v>
      </c>
      <c r="E1212" s="28">
        <f t="shared" ca="1" si="18"/>
        <v>0</v>
      </c>
    </row>
    <row r="1213" spans="1:5" x14ac:dyDescent="0.4">
      <c r="A1213" s="4">
        <v>45897</v>
      </c>
      <c r="B1213" s="8">
        <v>648.91999999999996</v>
      </c>
      <c r="C1213" s="27">
        <f ca="1">AVERAGE(OFFSET(SPY_Close_Price_PQ[[#This Row],[Close]], 0, 0, $C$1*-1))</f>
        <v>628.74939999999992</v>
      </c>
      <c r="D1213" s="27">
        <f ca="1">AVERAGE(OFFSET(SPY_Close_Price_PQ[[#This Row],[Close]], 0, 0, $D$1*-1))</f>
        <v>594.08719999999971</v>
      </c>
      <c r="E1213" s="28">
        <f t="shared" ca="1" si="18"/>
        <v>0</v>
      </c>
    </row>
    <row r="1214" spans="1:5" x14ac:dyDescent="0.4">
      <c r="A1214" s="5">
        <v>45898</v>
      </c>
      <c r="B1214" s="9">
        <v>645.04999999999995</v>
      </c>
      <c r="C1214" s="27">
        <f ca="1">AVERAGE(OFFSET(SPY_Close_Price_PQ[[#This Row],[Close]], 0, 0, $C$1*-1))</f>
        <v>629.70159999999998</v>
      </c>
      <c r="D1214" s="27">
        <f ca="1">AVERAGE(OFFSET(SPY_Close_Price_PQ[[#This Row],[Close]], 0, 0, $D$1*-1))</f>
        <v>594.32149999999979</v>
      </c>
      <c r="E1214" s="28">
        <f t="shared" ca="1" si="18"/>
        <v>0</v>
      </c>
    </row>
    <row r="1215" spans="1:5" x14ac:dyDescent="0.4">
      <c r="A1215" s="4">
        <v>45902</v>
      </c>
      <c r="B1215" s="8">
        <v>640.27</v>
      </c>
      <c r="C1215" s="27">
        <f ca="1">AVERAGE(OFFSET(SPY_Close_Price_PQ[[#This Row],[Close]], 0, 0, $C$1*-1))</f>
        <v>630.62139999999999</v>
      </c>
      <c r="D1215" s="27">
        <f ca="1">AVERAGE(OFFSET(SPY_Close_Price_PQ[[#This Row],[Close]], 0, 0, $D$1*-1))</f>
        <v>594.52904999999987</v>
      </c>
      <c r="E1215" s="28">
        <f t="shared" ca="1" si="18"/>
        <v>0</v>
      </c>
    </row>
    <row r="1216" spans="1:5" x14ac:dyDescent="0.4">
      <c r="A1216" s="5">
        <v>45903</v>
      </c>
      <c r="B1216" s="9">
        <v>643.74</v>
      </c>
      <c r="C1216" s="27">
        <f ca="1">AVERAGE(OFFSET(SPY_Close_Price_PQ[[#This Row],[Close]], 0, 0, $C$1*-1))</f>
        <v>631.49320000000012</v>
      </c>
      <c r="D1216" s="27">
        <f ca="1">AVERAGE(OFFSET(SPY_Close_Price_PQ[[#This Row],[Close]], 0, 0, $D$1*-1))</f>
        <v>594.76324999999986</v>
      </c>
      <c r="E1216" s="28">
        <f t="shared" ca="1" si="18"/>
        <v>0</v>
      </c>
    </row>
    <row r="1217" spans="1:5" x14ac:dyDescent="0.4">
      <c r="A1217" s="4">
        <v>45904</v>
      </c>
      <c r="B1217" s="8">
        <v>649.12</v>
      </c>
      <c r="C1217" s="27">
        <f ca="1">AVERAGE(OFFSET(SPY_Close_Price_PQ[[#This Row],[Close]], 0, 0, $C$1*-1))</f>
        <v>632.33999999999992</v>
      </c>
      <c r="D1217" s="27">
        <f ca="1">AVERAGE(OFFSET(SPY_Close_Price_PQ[[#This Row],[Close]], 0, 0, $D$1*-1))</f>
        <v>595.02289999999982</v>
      </c>
      <c r="E1217" s="28">
        <f t="shared" ca="1" si="18"/>
        <v>0</v>
      </c>
    </row>
    <row r="1218" spans="1:5" x14ac:dyDescent="0.4">
      <c r="A1218" s="5">
        <v>45905</v>
      </c>
      <c r="B1218" s="9">
        <v>647.24</v>
      </c>
      <c r="C1218" s="27">
        <f ca="1">AVERAGE(OFFSET(SPY_Close_Price_PQ[[#This Row],[Close]], 0, 0, $C$1*-1))</f>
        <v>633.14240000000007</v>
      </c>
      <c r="D1218" s="27">
        <f ca="1">AVERAGE(OFFSET(SPY_Close_Price_PQ[[#This Row],[Close]], 0, 0, $D$1*-1))</f>
        <v>595.29234999999983</v>
      </c>
      <c r="E1218" s="28">
        <f t="shared" ca="1" si="18"/>
        <v>0</v>
      </c>
    </row>
    <row r="1219" spans="1:5" x14ac:dyDescent="0.4">
      <c r="A1219" s="4">
        <v>45908</v>
      </c>
      <c r="B1219" s="8">
        <v>648.83000000000004</v>
      </c>
      <c r="C1219" s="27">
        <f ca="1">AVERAGE(OFFSET(SPY_Close_Price_PQ[[#This Row],[Close]], 0, 0, $C$1*-1))</f>
        <v>633.88160000000005</v>
      </c>
      <c r="D1219" s="27">
        <f ca="1">AVERAGE(OFFSET(SPY_Close_Price_PQ[[#This Row],[Close]], 0, 0, $D$1*-1))</f>
        <v>595.6077499999999</v>
      </c>
      <c r="E1219" s="28">
        <f t="shared" ca="1" si="18"/>
        <v>0</v>
      </c>
    </row>
    <row r="1220" spans="1:5" x14ac:dyDescent="0.4">
      <c r="A1220" s="5">
        <v>45909</v>
      </c>
      <c r="B1220" s="9">
        <v>650.33000000000004</v>
      </c>
      <c r="C1220" s="27">
        <f ca="1">AVERAGE(OFFSET(SPY_Close_Price_PQ[[#This Row],[Close]], 0, 0, $C$1*-1))</f>
        <v>634.59</v>
      </c>
      <c r="D1220" s="27">
        <f ca="1">AVERAGE(OFFSET(SPY_Close_Price_PQ[[#This Row],[Close]], 0, 0, $D$1*-1))</f>
        <v>595.91864999999996</v>
      </c>
      <c r="E1220" s="28">
        <f t="shared" ref="E1220:E1258" ca="1" si="19">IF(AND(C1219&lt;D1219,C1220&gt;D1220),1,0)</f>
        <v>0</v>
      </c>
    </row>
    <row r="1221" spans="1:5" x14ac:dyDescent="0.4">
      <c r="A1221" s="4">
        <v>45910</v>
      </c>
      <c r="B1221" s="8">
        <v>652.21</v>
      </c>
      <c r="C1221" s="27">
        <f ca="1">AVERAGE(OFFSET(SPY_Close_Price_PQ[[#This Row],[Close]], 0, 0, $C$1*-1))</f>
        <v>635.27719999999999</v>
      </c>
      <c r="D1221" s="27">
        <f ca="1">AVERAGE(OFFSET(SPY_Close_Price_PQ[[#This Row],[Close]], 0, 0, $D$1*-1))</f>
        <v>596.22820000000002</v>
      </c>
      <c r="E1221" s="28">
        <f t="shared" ca="1" si="19"/>
        <v>0</v>
      </c>
    </row>
    <row r="1222" spans="1:5" x14ac:dyDescent="0.4">
      <c r="A1222" s="5">
        <v>45911</v>
      </c>
      <c r="B1222" s="9">
        <v>657.63</v>
      </c>
      <c r="C1222" s="27">
        <f ca="1">AVERAGE(OFFSET(SPY_Close_Price_PQ[[#This Row],[Close]], 0, 0, $C$1*-1))</f>
        <v>636.07680000000005</v>
      </c>
      <c r="D1222" s="27">
        <f ca="1">AVERAGE(OFFSET(SPY_Close_Price_PQ[[#This Row],[Close]], 0, 0, $D$1*-1))</f>
        <v>596.56385000000012</v>
      </c>
      <c r="E1222" s="28">
        <f t="shared" ca="1" si="19"/>
        <v>0</v>
      </c>
    </row>
    <row r="1223" spans="1:5" x14ac:dyDescent="0.4">
      <c r="A1223" s="4">
        <v>45912</v>
      </c>
      <c r="B1223" s="8">
        <v>657.41</v>
      </c>
      <c r="C1223" s="27">
        <f ca="1">AVERAGE(OFFSET(SPY_Close_Price_PQ[[#This Row],[Close]], 0, 0, $C$1*-1))</f>
        <v>636.81600000000014</v>
      </c>
      <c r="D1223" s="27">
        <f ca="1">AVERAGE(OFFSET(SPY_Close_Price_PQ[[#This Row],[Close]], 0, 0, $D$1*-1))</f>
        <v>596.88255000000004</v>
      </c>
      <c r="E1223" s="28">
        <f t="shared" ca="1" si="19"/>
        <v>0</v>
      </c>
    </row>
    <row r="1224" spans="1:5" x14ac:dyDescent="0.4">
      <c r="A1224" s="5">
        <v>45915</v>
      </c>
      <c r="B1224" s="9">
        <v>660.91</v>
      </c>
      <c r="C1224" s="27">
        <f ca="1">AVERAGE(OFFSET(SPY_Close_Price_PQ[[#This Row],[Close]], 0, 0, $C$1*-1))</f>
        <v>637.52740000000017</v>
      </c>
      <c r="D1224" s="27">
        <f ca="1">AVERAGE(OFFSET(SPY_Close_Price_PQ[[#This Row],[Close]], 0, 0, $D$1*-1))</f>
        <v>597.20955000000004</v>
      </c>
      <c r="E1224" s="28">
        <f t="shared" ca="1" si="19"/>
        <v>0</v>
      </c>
    </row>
    <row r="1225" spans="1:5" x14ac:dyDescent="0.4">
      <c r="A1225" s="4">
        <v>45916</v>
      </c>
      <c r="B1225" s="8">
        <v>660</v>
      </c>
      <c r="C1225" s="27">
        <f ca="1">AVERAGE(OFFSET(SPY_Close_Price_PQ[[#This Row],[Close]], 0, 0, $C$1*-1))</f>
        <v>638.31380000000013</v>
      </c>
      <c r="D1225" s="27">
        <f ca="1">AVERAGE(OFFSET(SPY_Close_Price_PQ[[#This Row],[Close]], 0, 0, $D$1*-1))</f>
        <v>597.52190000000007</v>
      </c>
      <c r="E1225" s="28">
        <f t="shared" ca="1" si="19"/>
        <v>0</v>
      </c>
    </row>
    <row r="1226" spans="1:5" x14ac:dyDescent="0.4">
      <c r="A1226" s="5">
        <v>45917</v>
      </c>
      <c r="B1226" s="9">
        <v>659.18</v>
      </c>
      <c r="C1226" s="27">
        <f ca="1">AVERAGE(OFFSET(SPY_Close_Price_PQ[[#This Row],[Close]], 0, 0, $C$1*-1))</f>
        <v>639.09060000000022</v>
      </c>
      <c r="D1226" s="27">
        <f ca="1">AVERAGE(OFFSET(SPY_Close_Price_PQ[[#This Row],[Close]], 0, 0, $D$1*-1))</f>
        <v>597.81455000000005</v>
      </c>
      <c r="E1226" s="28">
        <f t="shared" ca="1" si="19"/>
        <v>0</v>
      </c>
    </row>
    <row r="1227" spans="1:5" x14ac:dyDescent="0.4">
      <c r="A1227" s="4">
        <v>45918</v>
      </c>
      <c r="B1227" s="8">
        <v>662.26</v>
      </c>
      <c r="C1227" s="27">
        <f ca="1">AVERAGE(OFFSET(SPY_Close_Price_PQ[[#This Row],[Close]], 0, 0, $C$1*-1))</f>
        <v>639.85460000000012</v>
      </c>
      <c r="D1227" s="27">
        <f ca="1">AVERAGE(OFFSET(SPY_Close_Price_PQ[[#This Row],[Close]], 0, 0, $D$1*-1))</f>
        <v>598.13170000000002</v>
      </c>
      <c r="E1227" s="28">
        <f t="shared" ca="1" si="19"/>
        <v>0</v>
      </c>
    </row>
    <row r="1228" spans="1:5" x14ac:dyDescent="0.4">
      <c r="A1228" s="5">
        <v>45919</v>
      </c>
      <c r="B1228" s="9">
        <v>663.7</v>
      </c>
      <c r="C1228" s="27">
        <f ca="1">AVERAGE(OFFSET(SPY_Close_Price_PQ[[#This Row],[Close]], 0, 0, $C$1*-1))</f>
        <v>640.61220000000014</v>
      </c>
      <c r="D1228" s="27">
        <f ca="1">AVERAGE(OFFSET(SPY_Close_Price_PQ[[#This Row],[Close]], 0, 0, $D$1*-1))</f>
        <v>598.4374499999999</v>
      </c>
      <c r="E1228" s="28">
        <f t="shared" ca="1" si="19"/>
        <v>0</v>
      </c>
    </row>
    <row r="1229" spans="1:5" x14ac:dyDescent="0.4">
      <c r="A1229" s="4">
        <v>45922</v>
      </c>
      <c r="B1229" s="8">
        <v>666.84</v>
      </c>
      <c r="C1229" s="27">
        <f ca="1">AVERAGE(OFFSET(SPY_Close_Price_PQ[[#This Row],[Close]], 0, 0, $C$1*-1))</f>
        <v>641.47660000000019</v>
      </c>
      <c r="D1229" s="27">
        <f ca="1">AVERAGE(OFFSET(SPY_Close_Price_PQ[[#This Row],[Close]], 0, 0, $D$1*-1))</f>
        <v>598.75349999999992</v>
      </c>
      <c r="E1229" s="28">
        <f t="shared" ca="1" si="19"/>
        <v>0</v>
      </c>
    </row>
    <row r="1230" spans="1:5" x14ac:dyDescent="0.4">
      <c r="A1230" s="5">
        <v>45923</v>
      </c>
      <c r="B1230" s="9">
        <v>663.21</v>
      </c>
      <c r="C1230" s="27">
        <f ca="1">AVERAGE(OFFSET(SPY_Close_Price_PQ[[#This Row],[Close]], 0, 0, $C$1*-1))</f>
        <v>642.2446000000001</v>
      </c>
      <c r="D1230" s="27">
        <f ca="1">AVERAGE(OFFSET(SPY_Close_Price_PQ[[#This Row],[Close]], 0, 0, $D$1*-1))</f>
        <v>599.04999999999995</v>
      </c>
      <c r="E1230" s="28">
        <f t="shared" ca="1" si="19"/>
        <v>0</v>
      </c>
    </row>
    <row r="1231" spans="1:5" x14ac:dyDescent="0.4">
      <c r="A1231" s="4">
        <v>45924</v>
      </c>
      <c r="B1231" s="8">
        <v>661.1</v>
      </c>
      <c r="C1231" s="27">
        <f ca="1">AVERAGE(OFFSET(SPY_Close_Price_PQ[[#This Row],[Close]], 0, 0, $C$1*-1))</f>
        <v>643.02380000000016</v>
      </c>
      <c r="D1231" s="27">
        <f ca="1">AVERAGE(OFFSET(SPY_Close_Price_PQ[[#This Row],[Close]], 0, 0, $D$1*-1))</f>
        <v>599.31719999999984</v>
      </c>
      <c r="E1231" s="28">
        <f t="shared" ca="1" si="19"/>
        <v>0</v>
      </c>
    </row>
    <row r="1232" spans="1:5" x14ac:dyDescent="0.4">
      <c r="A1232" s="5">
        <v>45925</v>
      </c>
      <c r="B1232" s="9">
        <v>658.05</v>
      </c>
      <c r="C1232" s="27">
        <f ca="1">AVERAGE(OFFSET(SPY_Close_Price_PQ[[#This Row],[Close]], 0, 0, $C$1*-1))</f>
        <v>643.70040000000006</v>
      </c>
      <c r="D1232" s="27">
        <f ca="1">AVERAGE(OFFSET(SPY_Close_Price_PQ[[#This Row],[Close]], 0, 0, $D$1*-1))</f>
        <v>599.57414999999992</v>
      </c>
      <c r="E1232" s="28">
        <f t="shared" ca="1" si="19"/>
        <v>0</v>
      </c>
    </row>
    <row r="1233" spans="1:5" x14ac:dyDescent="0.4">
      <c r="A1233" s="4">
        <v>45926</v>
      </c>
      <c r="B1233" s="8">
        <v>661.82</v>
      </c>
      <c r="C1233" s="27">
        <f ca="1">AVERAGE(OFFSET(SPY_Close_Price_PQ[[#This Row],[Close]], 0, 0, $C$1*-1))</f>
        <v>644.37600000000009</v>
      </c>
      <c r="D1233" s="27">
        <f ca="1">AVERAGE(OFFSET(SPY_Close_Price_PQ[[#This Row],[Close]], 0, 0, $D$1*-1))</f>
        <v>599.84419999999989</v>
      </c>
      <c r="E1233" s="28">
        <f t="shared" ca="1" si="19"/>
        <v>0</v>
      </c>
    </row>
    <row r="1234" spans="1:5" x14ac:dyDescent="0.4">
      <c r="A1234" s="5">
        <v>45929</v>
      </c>
      <c r="B1234" s="9">
        <v>663.68</v>
      </c>
      <c r="C1234" s="27">
        <f ca="1">AVERAGE(OFFSET(SPY_Close_Price_PQ[[#This Row],[Close]], 0, 0, $C$1*-1))</f>
        <v>645.09800000000007</v>
      </c>
      <c r="D1234" s="27">
        <f ca="1">AVERAGE(OFFSET(SPY_Close_Price_PQ[[#This Row],[Close]], 0, 0, $D$1*-1))</f>
        <v>600.13919999999996</v>
      </c>
      <c r="E1234" s="28">
        <f t="shared" ca="1" si="19"/>
        <v>0</v>
      </c>
    </row>
    <row r="1235" spans="1:5" x14ac:dyDescent="0.4">
      <c r="A1235" s="4">
        <v>45930</v>
      </c>
      <c r="B1235" s="8">
        <v>666.18</v>
      </c>
      <c r="C1235" s="27">
        <f ca="1">AVERAGE(OFFSET(SPY_Close_Price_PQ[[#This Row],[Close]], 0, 0, $C$1*-1))</f>
        <v>645.84620000000007</v>
      </c>
      <c r="D1235" s="27">
        <f ca="1">AVERAGE(OFFSET(SPY_Close_Price_PQ[[#This Row],[Close]], 0, 0, $D$1*-1))</f>
        <v>600.45609999999988</v>
      </c>
      <c r="E1235" s="28">
        <f t="shared" ca="1" si="19"/>
        <v>0</v>
      </c>
    </row>
    <row r="1236" spans="1:5" x14ac:dyDescent="0.4">
      <c r="A1236" s="5">
        <v>45931</v>
      </c>
      <c r="B1236" s="9">
        <v>668.45</v>
      </c>
      <c r="C1236" s="27">
        <f ca="1">AVERAGE(OFFSET(SPY_Close_Price_PQ[[#This Row],[Close]], 0, 0, $C$1*-1))</f>
        <v>646.63800000000003</v>
      </c>
      <c r="D1236" s="27">
        <f ca="1">AVERAGE(OFFSET(SPY_Close_Price_PQ[[#This Row],[Close]], 0, 0, $D$1*-1))</f>
        <v>600.76104999999995</v>
      </c>
      <c r="E1236" s="28">
        <f t="shared" ca="1" si="19"/>
        <v>0</v>
      </c>
    </row>
    <row r="1237" spans="1:5" x14ac:dyDescent="0.4">
      <c r="A1237" s="4">
        <v>45932</v>
      </c>
      <c r="B1237" s="8">
        <v>669.22</v>
      </c>
      <c r="C1237" s="27">
        <f ca="1">AVERAGE(OFFSET(SPY_Close_Price_PQ[[#This Row],[Close]], 0, 0, $C$1*-1))</f>
        <v>647.33820000000003</v>
      </c>
      <c r="D1237" s="27">
        <f ca="1">AVERAGE(OFFSET(SPY_Close_Price_PQ[[#This Row],[Close]], 0, 0, $D$1*-1))</f>
        <v>601.08550000000002</v>
      </c>
      <c r="E1237" s="28">
        <f t="shared" ca="1" si="19"/>
        <v>0</v>
      </c>
    </row>
    <row r="1238" spans="1:5" x14ac:dyDescent="0.4">
      <c r="A1238" s="5">
        <v>45933</v>
      </c>
      <c r="B1238" s="9">
        <v>669.21</v>
      </c>
      <c r="C1238" s="27">
        <f ca="1">AVERAGE(OFFSET(SPY_Close_Price_PQ[[#This Row],[Close]], 0, 0, $C$1*-1))</f>
        <v>648.03399999999999</v>
      </c>
      <c r="D1238" s="27">
        <f ca="1">AVERAGE(OFFSET(SPY_Close_Price_PQ[[#This Row],[Close]], 0, 0, $D$1*-1))</f>
        <v>601.41050000000007</v>
      </c>
      <c r="E1238" s="28">
        <f t="shared" ca="1" si="19"/>
        <v>0</v>
      </c>
    </row>
    <row r="1239" spans="1:5" x14ac:dyDescent="0.4">
      <c r="A1239" s="4">
        <v>45936</v>
      </c>
      <c r="B1239" s="8">
        <v>671.61</v>
      </c>
      <c r="C1239" s="27">
        <f ca="1">AVERAGE(OFFSET(SPY_Close_Price_PQ[[#This Row],[Close]], 0, 0, $C$1*-1))</f>
        <v>648.7242</v>
      </c>
      <c r="D1239" s="27">
        <f ca="1">AVERAGE(OFFSET(SPY_Close_Price_PQ[[#This Row],[Close]], 0, 0, $D$1*-1))</f>
        <v>601.7346</v>
      </c>
      <c r="E1239" s="28">
        <f t="shared" ca="1" si="19"/>
        <v>0</v>
      </c>
    </row>
    <row r="1240" spans="1:5" x14ac:dyDescent="0.4">
      <c r="A1240" s="5">
        <v>45937</v>
      </c>
      <c r="B1240" s="9">
        <v>669.12</v>
      </c>
      <c r="C1240" s="27">
        <f ca="1">AVERAGE(OFFSET(SPY_Close_Price_PQ[[#This Row],[Close]], 0, 0, $C$1*-1))</f>
        <v>649.36779999999999</v>
      </c>
      <c r="D1240" s="27">
        <f ca="1">AVERAGE(OFFSET(SPY_Close_Price_PQ[[#This Row],[Close]], 0, 0, $D$1*-1))</f>
        <v>602.05875000000003</v>
      </c>
      <c r="E1240" s="28">
        <f t="shared" ca="1" si="19"/>
        <v>0</v>
      </c>
    </row>
    <row r="1241" spans="1:5" x14ac:dyDescent="0.4">
      <c r="A1241" s="4">
        <v>45938</v>
      </c>
      <c r="B1241" s="8">
        <v>673.11</v>
      </c>
      <c r="C1241" s="27">
        <f ca="1">AVERAGE(OFFSET(SPY_Close_Price_PQ[[#This Row],[Close]], 0, 0, $C$1*-1))</f>
        <v>650.12479999999994</v>
      </c>
      <c r="D1241" s="27">
        <f ca="1">AVERAGE(OFFSET(SPY_Close_Price_PQ[[#This Row],[Close]], 0, 0, $D$1*-1))</f>
        <v>602.49289999999996</v>
      </c>
      <c r="E1241" s="28">
        <f t="shared" ca="1" si="19"/>
        <v>0</v>
      </c>
    </row>
    <row r="1242" spans="1:5" x14ac:dyDescent="0.4">
      <c r="A1242" s="5">
        <v>45939</v>
      </c>
      <c r="B1242" s="9">
        <v>671.16</v>
      </c>
      <c r="C1242" s="27">
        <f ca="1">AVERAGE(OFFSET(SPY_Close_Price_PQ[[#This Row],[Close]], 0, 0, $C$1*-1))</f>
        <v>650.85879999999997</v>
      </c>
      <c r="D1242" s="27">
        <f ca="1">AVERAGE(OFFSET(SPY_Close_Price_PQ[[#This Row],[Close]], 0, 0, $D$1*-1))</f>
        <v>602.91819999999996</v>
      </c>
      <c r="E1242" s="28">
        <f t="shared" ca="1" si="19"/>
        <v>0</v>
      </c>
    </row>
    <row r="1243" spans="1:5" x14ac:dyDescent="0.4">
      <c r="A1243" s="4">
        <v>45940</v>
      </c>
      <c r="B1243" s="8">
        <v>653.02</v>
      </c>
      <c r="C1243" s="27">
        <f ca="1">AVERAGE(OFFSET(SPY_Close_Price_PQ[[#This Row],[Close]], 0, 0, $C$1*-1))</f>
        <v>651.27760000000001</v>
      </c>
      <c r="D1243" s="27">
        <f ca="1">AVERAGE(OFFSET(SPY_Close_Price_PQ[[#This Row],[Close]], 0, 0, $D$1*-1))</f>
        <v>603.22755000000006</v>
      </c>
      <c r="E1243" s="28">
        <f t="shared" ca="1" si="19"/>
        <v>0</v>
      </c>
    </row>
    <row r="1244" spans="1:5" x14ac:dyDescent="0.4">
      <c r="A1244" s="5">
        <v>45943</v>
      </c>
      <c r="B1244" s="9">
        <v>663.04</v>
      </c>
      <c r="C1244" s="27">
        <f ca="1">AVERAGE(OFFSET(SPY_Close_Price_PQ[[#This Row],[Close]], 0, 0, $C$1*-1))</f>
        <v>652.10399999999993</v>
      </c>
      <c r="D1244" s="27">
        <f ca="1">AVERAGE(OFFSET(SPY_Close_Price_PQ[[#This Row],[Close]], 0, 0, $D$1*-1))</f>
        <v>603.5693</v>
      </c>
      <c r="E1244" s="28">
        <f t="shared" ca="1" si="19"/>
        <v>0</v>
      </c>
    </row>
    <row r="1245" spans="1:5" x14ac:dyDescent="0.4">
      <c r="A1245" s="4">
        <v>45944</v>
      </c>
      <c r="B1245" s="8">
        <v>662.23</v>
      </c>
      <c r="C1245" s="27">
        <f ca="1">AVERAGE(OFFSET(SPY_Close_Price_PQ[[#This Row],[Close]], 0, 0, $C$1*-1))</f>
        <v>652.72519999999997</v>
      </c>
      <c r="D1245" s="27">
        <f ca="1">AVERAGE(OFFSET(SPY_Close_Price_PQ[[#This Row],[Close]], 0, 0, $D$1*-1))</f>
        <v>603.87395000000004</v>
      </c>
      <c r="E1245" s="28">
        <f t="shared" ca="1" si="19"/>
        <v>0</v>
      </c>
    </row>
    <row r="1246" spans="1:5" x14ac:dyDescent="0.4">
      <c r="A1246" s="5">
        <v>45945</v>
      </c>
      <c r="B1246" s="9">
        <v>665.17</v>
      </c>
      <c r="C1246" s="27">
        <f ca="1">AVERAGE(OFFSET(SPY_Close_Price_PQ[[#This Row],[Close]], 0, 0, $C$1*-1))</f>
        <v>653.46919999999989</v>
      </c>
      <c r="D1246" s="27">
        <f ca="1">AVERAGE(OFFSET(SPY_Close_Price_PQ[[#This Row],[Close]], 0, 0, $D$1*-1))</f>
        <v>604.19310000000007</v>
      </c>
      <c r="E1246" s="28">
        <f t="shared" ca="1" si="19"/>
        <v>0</v>
      </c>
    </row>
    <row r="1247" spans="1:5" x14ac:dyDescent="0.4">
      <c r="A1247" s="4">
        <v>45946</v>
      </c>
      <c r="B1247" s="8">
        <v>660.64</v>
      </c>
      <c r="C1247" s="27">
        <f ca="1">AVERAGE(OFFSET(SPY_Close_Price_PQ[[#This Row],[Close]], 0, 0, $C$1*-1))</f>
        <v>654.02639999999997</v>
      </c>
      <c r="D1247" s="27">
        <f ca="1">AVERAGE(OFFSET(SPY_Close_Price_PQ[[#This Row],[Close]], 0, 0, $D$1*-1))</f>
        <v>604.52125000000012</v>
      </c>
      <c r="E1247" s="28">
        <f t="shared" ca="1" si="19"/>
        <v>0</v>
      </c>
    </row>
    <row r="1248" spans="1:5" x14ac:dyDescent="0.4">
      <c r="A1248" s="5">
        <v>45947</v>
      </c>
      <c r="B1248" s="9">
        <v>664.39</v>
      </c>
      <c r="C1248" s="27">
        <f ca="1">AVERAGE(OFFSET(SPY_Close_Price_PQ[[#This Row],[Close]], 0, 0, $C$1*-1))</f>
        <v>654.66919999999993</v>
      </c>
      <c r="D1248" s="27">
        <f ca="1">AVERAGE(OFFSET(SPY_Close_Price_PQ[[#This Row],[Close]], 0, 0, $D$1*-1))</f>
        <v>604.90210000000002</v>
      </c>
      <c r="E1248" s="28">
        <f t="shared" ca="1" si="19"/>
        <v>0</v>
      </c>
    </row>
    <row r="1249" spans="1:5" x14ac:dyDescent="0.4">
      <c r="A1249" s="4">
        <v>45950</v>
      </c>
      <c r="B1249" s="8">
        <v>671.3</v>
      </c>
      <c r="C1249" s="27">
        <f ca="1">AVERAGE(OFFSET(SPY_Close_Price_PQ[[#This Row],[Close]], 0, 0, $C$1*-1))</f>
        <v>655.35159999999985</v>
      </c>
      <c r="D1249" s="27">
        <f ca="1">AVERAGE(OFFSET(SPY_Close_Price_PQ[[#This Row],[Close]], 0, 0, $D$1*-1))</f>
        <v>605.32820000000015</v>
      </c>
      <c r="E1249" s="28">
        <f t="shared" ca="1" si="19"/>
        <v>0</v>
      </c>
    </row>
    <row r="1250" spans="1:5" x14ac:dyDescent="0.4">
      <c r="A1250" s="5">
        <v>45951</v>
      </c>
      <c r="B1250" s="9">
        <v>671.29</v>
      </c>
      <c r="C1250" s="27">
        <f ca="1">AVERAGE(OFFSET(SPY_Close_Price_PQ[[#This Row],[Close]], 0, 0, $C$1*-1))</f>
        <v>656.05899999999974</v>
      </c>
      <c r="D1250" s="27">
        <f ca="1">AVERAGE(OFFSET(SPY_Close_Price_PQ[[#This Row],[Close]], 0, 0, $D$1*-1))</f>
        <v>605.76145000000008</v>
      </c>
      <c r="E1250" s="28">
        <f t="shared" ca="1" si="19"/>
        <v>0</v>
      </c>
    </row>
    <row r="1251" spans="1:5" x14ac:dyDescent="0.4">
      <c r="A1251" s="4">
        <v>45952</v>
      </c>
      <c r="B1251" s="8">
        <v>667.8</v>
      </c>
      <c r="C1251" s="27">
        <f ca="1">AVERAGE(OFFSET(SPY_Close_Price_PQ[[#This Row],[Close]], 0, 0, $C$1*-1))</f>
        <v>656.56119999999999</v>
      </c>
      <c r="D1251" s="27">
        <f ca="1">AVERAGE(OFFSET(SPY_Close_Price_PQ[[#This Row],[Close]], 0, 0, $D$1*-1))</f>
        <v>606.14070000000004</v>
      </c>
      <c r="E1251" s="28">
        <f t="shared" ca="1" si="19"/>
        <v>0</v>
      </c>
    </row>
    <row r="1252" spans="1:5" x14ac:dyDescent="0.4">
      <c r="A1252" s="5">
        <v>45953</v>
      </c>
      <c r="B1252" s="9">
        <v>671.76</v>
      </c>
      <c r="C1252" s="27">
        <f ca="1">AVERAGE(OFFSET(SPY_Close_Price_PQ[[#This Row],[Close]], 0, 0, $C$1*-1))</f>
        <v>657.09859999999981</v>
      </c>
      <c r="D1252" s="27">
        <f ca="1">AVERAGE(OFFSET(SPY_Close_Price_PQ[[#This Row],[Close]], 0, 0, $D$1*-1))</f>
        <v>606.52269999999999</v>
      </c>
      <c r="E1252" s="28">
        <f t="shared" ca="1" si="19"/>
        <v>0</v>
      </c>
    </row>
    <row r="1253" spans="1:5" x14ac:dyDescent="0.4">
      <c r="A1253" s="4">
        <v>45954</v>
      </c>
      <c r="B1253" s="8">
        <v>677.25</v>
      </c>
      <c r="C1253" s="27">
        <f ca="1">AVERAGE(OFFSET(SPY_Close_Price_PQ[[#This Row],[Close]], 0, 0, $C$1*-1))</f>
        <v>657.74459999999988</v>
      </c>
      <c r="D1253" s="27">
        <f ca="1">AVERAGE(OFFSET(SPY_Close_Price_PQ[[#This Row],[Close]], 0, 0, $D$1*-1))</f>
        <v>606.96580000000006</v>
      </c>
      <c r="E1253" s="28">
        <f t="shared" ca="1" si="19"/>
        <v>0</v>
      </c>
    </row>
    <row r="1254" spans="1:5" x14ac:dyDescent="0.4">
      <c r="A1254" s="5">
        <v>45957</v>
      </c>
      <c r="B1254" s="9">
        <v>685.24</v>
      </c>
      <c r="C1254" s="27">
        <f ca="1">AVERAGE(OFFSET(SPY_Close_Price_PQ[[#This Row],[Close]], 0, 0, $C$1*-1))</f>
        <v>658.58059999999978</v>
      </c>
      <c r="D1254" s="27">
        <f ca="1">AVERAGE(OFFSET(SPY_Close_Price_PQ[[#This Row],[Close]], 0, 0, $D$1*-1))</f>
        <v>607.44455000000005</v>
      </c>
      <c r="E1254" s="28">
        <f t="shared" ca="1" si="19"/>
        <v>0</v>
      </c>
    </row>
    <row r="1255" spans="1:5" x14ac:dyDescent="0.4">
      <c r="A1255" s="4">
        <v>45958</v>
      </c>
      <c r="B1255" s="8">
        <v>687.06</v>
      </c>
      <c r="C1255" s="27">
        <f ca="1">AVERAGE(OFFSET(SPY_Close_Price_PQ[[#This Row],[Close]], 0, 0, $C$1*-1))</f>
        <v>659.45579999999984</v>
      </c>
      <c r="D1255" s="27">
        <f ca="1">AVERAGE(OFFSET(SPY_Close_Price_PQ[[#This Row],[Close]], 0, 0, $D$1*-1))</f>
        <v>607.9774000000001</v>
      </c>
      <c r="E1255" s="28">
        <f t="shared" ca="1" si="19"/>
        <v>0</v>
      </c>
    </row>
    <row r="1256" spans="1:5" x14ac:dyDescent="0.4">
      <c r="A1256" s="5">
        <v>45959</v>
      </c>
      <c r="B1256" s="9">
        <v>687.39</v>
      </c>
      <c r="C1256" s="27">
        <f ca="1">AVERAGE(OFFSET(SPY_Close_Price_PQ[[#This Row],[Close]], 0, 0, $C$1*-1))</f>
        <v>660.40740000000005</v>
      </c>
      <c r="D1256" s="27">
        <f ca="1">AVERAGE(OFFSET(SPY_Close_Price_PQ[[#This Row],[Close]], 0, 0, $D$1*-1))</f>
        <v>608.50740000000019</v>
      </c>
      <c r="E1256" s="28">
        <f t="shared" ca="1" si="19"/>
        <v>0</v>
      </c>
    </row>
    <row r="1257" spans="1:5" x14ac:dyDescent="0.4">
      <c r="A1257" s="4">
        <v>45960</v>
      </c>
      <c r="B1257" s="8">
        <v>679.83</v>
      </c>
      <c r="C1257" s="27">
        <f ca="1">AVERAGE(OFFSET(SPY_Close_Price_PQ[[#This Row],[Close]], 0, 0, $C$1*-1))</f>
        <v>661.24180000000013</v>
      </c>
      <c r="D1257" s="27">
        <f ca="1">AVERAGE(OFFSET(SPY_Close_Price_PQ[[#This Row],[Close]], 0, 0, $D$1*-1))</f>
        <v>608.99560000000019</v>
      </c>
      <c r="E1257" s="28">
        <f t="shared" ca="1" si="19"/>
        <v>0</v>
      </c>
    </row>
    <row r="1258" spans="1:5" x14ac:dyDescent="0.4">
      <c r="A1258" s="5">
        <v>45961</v>
      </c>
      <c r="B1258" s="9">
        <v>682.06</v>
      </c>
      <c r="C1258" s="27">
        <f ca="1">AVERAGE(OFFSET(SPY_Close_Price_PQ[[#This Row],[Close]], 0, 0, $C$1*-1))</f>
        <v>662.17200000000003</v>
      </c>
      <c r="D1258" s="27">
        <f ca="1">AVERAGE(OFFSET(SPY_Close_Price_PQ[[#This Row],[Close]], 0, 0, $D$1*-1))</f>
        <v>609.44200000000023</v>
      </c>
      <c r="E1258" s="28">
        <f t="shared" ca="1" si="19"/>
        <v>0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F02E-656C-4F9B-ABA0-D19AEA1AC073}">
  <dimension ref="A1:Q1258"/>
  <sheetViews>
    <sheetView topLeftCell="A2" workbookViewId="0">
      <selection activeCell="A17" sqref="A17"/>
    </sheetView>
  </sheetViews>
  <sheetFormatPr defaultRowHeight="21" x14ac:dyDescent="0.4"/>
  <cols>
    <col min="1" max="1" width="9.92578125" bestFit="1" customWidth="1"/>
    <col min="2" max="2" width="8.5703125" bestFit="1" customWidth="1"/>
    <col min="3" max="3" width="9.7109375" bestFit="1" customWidth="1"/>
    <col min="4" max="4" width="10.7109375" bestFit="1" customWidth="1"/>
    <col min="5" max="6" width="8.5703125" customWidth="1"/>
    <col min="7" max="7" width="14.5703125" customWidth="1"/>
    <col min="8" max="8" width="15.5703125" customWidth="1"/>
    <col min="9" max="9" width="12.42578125" customWidth="1"/>
    <col min="10" max="10" width="11.42578125" customWidth="1"/>
    <col min="11" max="11" width="9.78515625" bestFit="1" customWidth="1"/>
  </cols>
  <sheetData>
    <row r="1" spans="1:17" x14ac:dyDescent="0.4">
      <c r="I1">
        <v>50</v>
      </c>
      <c r="J1">
        <v>200</v>
      </c>
    </row>
    <row r="2" spans="1:17" x14ac:dyDescent="0.4">
      <c r="A2" s="13" t="s">
        <v>0</v>
      </c>
      <c r="B2" s="14" t="s">
        <v>1</v>
      </c>
      <c r="C2" s="14" t="s">
        <v>10</v>
      </c>
      <c r="D2" s="14" t="s">
        <v>11</v>
      </c>
      <c r="E2" s="14"/>
      <c r="F2" s="14"/>
      <c r="G2" s="14" t="s">
        <v>2</v>
      </c>
      <c r="H2" s="14" t="s">
        <v>3</v>
      </c>
      <c r="I2" s="14" t="s">
        <v>4</v>
      </c>
      <c r="J2" s="14" t="s">
        <v>5</v>
      </c>
      <c r="K2" s="15" t="s">
        <v>9</v>
      </c>
    </row>
    <row r="3" spans="1:17" x14ac:dyDescent="0.4">
      <c r="A3" s="16">
        <v>44137</v>
      </c>
      <c r="B3" s="8">
        <v>330.2</v>
      </c>
      <c r="C3" t="e">
        <v>#N/A</v>
      </c>
      <c r="D3" t="e">
        <v>#N/A</v>
      </c>
      <c r="E3" s="8"/>
      <c r="F3" s="8"/>
      <c r="G3" s="8">
        <f t="shared" ref="G3" ca="1" si="0">AVERAGE(OFFSET($B3,0,0,-(MIN(ROW()-ROW($B$3)+1,n_50)),1))</f>
        <v>330.2</v>
      </c>
      <c r="H3" s="8">
        <f t="shared" ref="H3" ca="1" si="1">AVERAGE(OFFSET($B3,0,0,-(MIN(ROW()-ROW($B$3)+1,n_200)),1))</f>
        <v>330.2</v>
      </c>
      <c r="I3" s="12">
        <f ca="1">IF(AND('Data Analysis Addin'!$G3&lt;='Data Analysis Addin'!$H3,G4&gt;H4), 1, 0)</f>
        <v>0</v>
      </c>
      <c r="J3" s="2">
        <f t="shared" ref="J3:J66" ca="1" si="2">IF($G3&lt;$H3,1,0)</f>
        <v>0</v>
      </c>
      <c r="K3" s="17">
        <f>YEAR('Data Analysis Addin'!$A3)</f>
        <v>2020</v>
      </c>
      <c r="N3" s="7" t="s">
        <v>8</v>
      </c>
      <c r="Q3" cm="1">
        <f t="array" ref="Q3:Q8">_xlfn.UNIQUE('Data Analysis Addin'!$K$3:$K$1258)</f>
        <v>2020</v>
      </c>
    </row>
    <row r="4" spans="1:17" x14ac:dyDescent="0.4">
      <c r="A4" s="18">
        <v>44138</v>
      </c>
      <c r="B4" s="9">
        <v>336.03</v>
      </c>
      <c r="C4" t="e">
        <v>#N/A</v>
      </c>
      <c r="D4" t="e">
        <v>#N/A</v>
      </c>
      <c r="E4" s="9"/>
      <c r="F4" s="9"/>
      <c r="G4" s="9">
        <f t="shared" ref="G4:G66" ca="1" si="3">AVERAGE(OFFSET($B4,0,0,-(MIN(ROW()-ROW($B$3)+1,n_50)),1))</f>
        <v>333.11500000000001</v>
      </c>
      <c r="H4" s="9">
        <f t="shared" ref="H4:H66" ca="1" si="4">AVERAGE(OFFSET($B4,0,0,-(MIN(ROW()-ROW($B$3)+1,n_200)),1))</f>
        <v>333.11500000000001</v>
      </c>
      <c r="I4" s="12">
        <f ca="1">IF(AND('Data Analysis Addin'!$G4&lt;='Data Analysis Addin'!$H4,G5&gt;H5), 1, 0)</f>
        <v>0</v>
      </c>
      <c r="J4" s="3">
        <f t="shared" ca="1" si="2"/>
        <v>0</v>
      </c>
      <c r="K4" s="19">
        <f>YEAR('Data Analysis Addin'!$A4)</f>
        <v>2020</v>
      </c>
      <c r="N4" s="7" t="s">
        <v>12</v>
      </c>
      <c r="Q4">
        <v>2021</v>
      </c>
    </row>
    <row r="5" spans="1:17" x14ac:dyDescent="0.4">
      <c r="A5" s="16">
        <v>44139</v>
      </c>
      <c r="B5" s="8">
        <v>343.54</v>
      </c>
      <c r="C5" t="e">
        <v>#N/A</v>
      </c>
      <c r="D5" t="e">
        <v>#N/A</v>
      </c>
      <c r="E5" s="8"/>
      <c r="F5" s="8"/>
      <c r="G5" s="8">
        <f t="shared" ca="1" si="3"/>
        <v>336.59</v>
      </c>
      <c r="H5" s="8">
        <f t="shared" ca="1" si="4"/>
        <v>336.59</v>
      </c>
      <c r="I5" s="12">
        <f ca="1">IF(AND('Data Analysis Addin'!$G5&lt;='Data Analysis Addin'!$H5,G6&gt;H6), 1, 0)</f>
        <v>0</v>
      </c>
      <c r="J5" s="2">
        <f t="shared" ca="1" si="2"/>
        <v>0</v>
      </c>
      <c r="K5" s="17">
        <f>YEAR('Data Analysis Addin'!$A5)</f>
        <v>2020</v>
      </c>
      <c r="Q5">
        <v>2022</v>
      </c>
    </row>
    <row r="6" spans="1:17" x14ac:dyDescent="0.4">
      <c r="A6" s="18">
        <v>44140</v>
      </c>
      <c r="B6" s="9">
        <v>350.24</v>
      </c>
      <c r="C6" t="e">
        <v>#N/A</v>
      </c>
      <c r="D6" t="e">
        <v>#N/A</v>
      </c>
      <c r="E6" s="9"/>
      <c r="F6" s="9"/>
      <c r="G6" s="9">
        <f t="shared" ca="1" si="3"/>
        <v>340.0025</v>
      </c>
      <c r="H6" s="9">
        <f t="shared" ca="1" si="4"/>
        <v>340.0025</v>
      </c>
      <c r="I6" s="12">
        <f ca="1">IF(AND('Data Analysis Addin'!$G6&lt;='Data Analysis Addin'!$H6,G7&gt;H7), 1, 0)</f>
        <v>0</v>
      </c>
      <c r="J6" s="3">
        <f t="shared" ca="1" si="2"/>
        <v>0</v>
      </c>
      <c r="K6" s="19">
        <f>YEAR('Data Analysis Addin'!$A6)</f>
        <v>2020</v>
      </c>
      <c r="Q6">
        <v>2023</v>
      </c>
    </row>
    <row r="7" spans="1:17" x14ac:dyDescent="0.4">
      <c r="A7" s="16">
        <v>44141</v>
      </c>
      <c r="B7" s="8">
        <v>350.16</v>
      </c>
      <c r="C7" t="e">
        <v>#N/A</v>
      </c>
      <c r="D7" t="e">
        <v>#N/A</v>
      </c>
      <c r="E7" s="8"/>
      <c r="F7" s="8"/>
      <c r="G7" s="8">
        <f t="shared" ca="1" si="3"/>
        <v>342.03399999999999</v>
      </c>
      <c r="H7" s="8">
        <f t="shared" ca="1" si="4"/>
        <v>342.03399999999999</v>
      </c>
      <c r="I7" s="12">
        <f ca="1">IF(AND('Data Analysis Addin'!$G7&lt;='Data Analysis Addin'!$H7,G8&gt;H8), 1, 0)</f>
        <v>0</v>
      </c>
      <c r="J7" s="2">
        <f t="shared" ca="1" si="2"/>
        <v>0</v>
      </c>
      <c r="K7" s="17">
        <f>YEAR('Data Analysis Addin'!$A7)</f>
        <v>2020</v>
      </c>
      <c r="Q7">
        <v>2024</v>
      </c>
    </row>
    <row r="8" spans="1:17" x14ac:dyDescent="0.4">
      <c r="A8" s="18">
        <v>44144</v>
      </c>
      <c r="B8" s="9">
        <v>354.56</v>
      </c>
      <c r="C8" t="e">
        <v>#N/A</v>
      </c>
      <c r="D8" t="e">
        <v>#N/A</v>
      </c>
      <c r="E8" s="9"/>
      <c r="F8" s="9"/>
      <c r="G8" s="9">
        <f t="shared" ca="1" si="3"/>
        <v>344.12166666666667</v>
      </c>
      <c r="H8" s="9">
        <f t="shared" ca="1" si="4"/>
        <v>344.12166666666667</v>
      </c>
      <c r="I8" s="12">
        <f ca="1">IF(AND('Data Analysis Addin'!$G8&lt;='Data Analysis Addin'!$H8,G9&gt;H9), 1, 0)</f>
        <v>0</v>
      </c>
      <c r="J8" s="3">
        <f t="shared" ca="1" si="2"/>
        <v>0</v>
      </c>
      <c r="K8" s="19">
        <f>YEAR('Data Analysis Addin'!$A8)</f>
        <v>2020</v>
      </c>
      <c r="Q8">
        <v>2025</v>
      </c>
    </row>
    <row r="9" spans="1:17" x14ac:dyDescent="0.4">
      <c r="A9" s="16">
        <v>44145</v>
      </c>
      <c r="B9" s="8">
        <v>354.04</v>
      </c>
      <c r="C9" t="e">
        <v>#N/A</v>
      </c>
      <c r="D9" t="e">
        <v>#N/A</v>
      </c>
      <c r="E9" s="8"/>
      <c r="F9" s="8"/>
      <c r="G9" s="8">
        <f t="shared" ca="1" si="3"/>
        <v>345.5385714285714</v>
      </c>
      <c r="H9" s="8">
        <f t="shared" ca="1" si="4"/>
        <v>345.5385714285714</v>
      </c>
      <c r="I9" s="12">
        <f ca="1">IF(AND('Data Analysis Addin'!$G9&lt;='Data Analysis Addin'!$H9,G10&gt;H10), 1, 0)</f>
        <v>0</v>
      </c>
      <c r="J9" s="2">
        <f t="shared" ca="1" si="2"/>
        <v>0</v>
      </c>
      <c r="K9" s="17">
        <f>YEAR('Data Analysis Addin'!$A9)</f>
        <v>2020</v>
      </c>
    </row>
    <row r="10" spans="1:17" x14ac:dyDescent="0.4">
      <c r="A10" s="18">
        <v>44146</v>
      </c>
      <c r="B10" s="9">
        <v>356.67</v>
      </c>
      <c r="C10" t="e">
        <v>#N/A</v>
      </c>
      <c r="D10" t="e">
        <v>#N/A</v>
      </c>
      <c r="E10" s="9"/>
      <c r="F10" s="9"/>
      <c r="G10" s="9">
        <f t="shared" ca="1" si="3"/>
        <v>346.93</v>
      </c>
      <c r="H10" s="9">
        <f t="shared" ca="1" si="4"/>
        <v>346.93</v>
      </c>
      <c r="I10" s="12">
        <f ca="1">IF(AND('Data Analysis Addin'!$G10&lt;='Data Analysis Addin'!$H10,G11&gt;H11), 1, 0)</f>
        <v>0</v>
      </c>
      <c r="J10" s="3">
        <f t="shared" ca="1" si="2"/>
        <v>0</v>
      </c>
      <c r="K10" s="19">
        <f>YEAR('Data Analysis Addin'!$A10)</f>
        <v>2020</v>
      </c>
    </row>
    <row r="11" spans="1:17" x14ac:dyDescent="0.4">
      <c r="A11" s="16">
        <v>44147</v>
      </c>
      <c r="B11" s="8">
        <v>353.21</v>
      </c>
      <c r="C11" t="e">
        <v>#N/A</v>
      </c>
      <c r="D11" t="e">
        <v>#N/A</v>
      </c>
      <c r="E11" s="8"/>
      <c r="F11" s="8"/>
      <c r="G11" s="8">
        <f t="shared" ca="1" si="3"/>
        <v>347.62777777777779</v>
      </c>
      <c r="H11" s="8">
        <f t="shared" ca="1" si="4"/>
        <v>347.62777777777779</v>
      </c>
      <c r="I11" s="12">
        <f ca="1">IF(AND('Data Analysis Addin'!$G11&lt;='Data Analysis Addin'!$H11,G12&gt;H12), 1, 0)</f>
        <v>0</v>
      </c>
      <c r="J11" s="2">
        <f t="shared" ca="1" si="2"/>
        <v>0</v>
      </c>
      <c r="K11" s="17">
        <f>YEAR('Data Analysis Addin'!$A11)</f>
        <v>2020</v>
      </c>
    </row>
    <row r="12" spans="1:17" x14ac:dyDescent="0.4">
      <c r="A12" s="18">
        <v>44148</v>
      </c>
      <c r="B12" s="9">
        <v>358.1</v>
      </c>
      <c r="C12" t="e">
        <v>#N/A</v>
      </c>
      <c r="D12" t="e">
        <v>#N/A</v>
      </c>
      <c r="E12" s="9"/>
      <c r="F12" s="9"/>
      <c r="G12" s="9">
        <f t="shared" ca="1" si="3"/>
        <v>348.67500000000001</v>
      </c>
      <c r="H12" s="9">
        <f t="shared" ca="1" si="4"/>
        <v>348.67500000000001</v>
      </c>
      <c r="I12" s="12">
        <f ca="1">IF(AND('Data Analysis Addin'!$G12&lt;='Data Analysis Addin'!$H12,G13&gt;H13), 1, 0)</f>
        <v>0</v>
      </c>
      <c r="J12" s="3">
        <f t="shared" ca="1" si="2"/>
        <v>0</v>
      </c>
      <c r="K12" s="19">
        <f>YEAR('Data Analysis Addin'!$A12)</f>
        <v>2020</v>
      </c>
    </row>
    <row r="13" spans="1:17" x14ac:dyDescent="0.4">
      <c r="A13" s="16">
        <v>44151</v>
      </c>
      <c r="B13" s="8">
        <v>362.57</v>
      </c>
      <c r="C13" t="e">
        <v>#N/A</v>
      </c>
      <c r="D13" t="e">
        <v>#N/A</v>
      </c>
      <c r="E13" s="8"/>
      <c r="F13" s="8"/>
      <c r="G13" s="8">
        <f t="shared" ca="1" si="3"/>
        <v>349.93818181818182</v>
      </c>
      <c r="H13" s="8">
        <f t="shared" ca="1" si="4"/>
        <v>349.93818181818182</v>
      </c>
      <c r="I13" s="12">
        <f ca="1">IF(AND('Data Analysis Addin'!$G13&lt;='Data Analysis Addin'!$H13,G14&gt;H14), 1, 0)</f>
        <v>0</v>
      </c>
      <c r="J13" s="2">
        <f t="shared" ca="1" si="2"/>
        <v>0</v>
      </c>
      <c r="K13" s="17">
        <f>YEAR('Data Analysis Addin'!$A13)</f>
        <v>2020</v>
      </c>
    </row>
    <row r="14" spans="1:17" x14ac:dyDescent="0.4">
      <c r="A14" s="18">
        <v>44152</v>
      </c>
      <c r="B14" s="9">
        <v>360.62</v>
      </c>
      <c r="C14" t="e">
        <v>#N/A</v>
      </c>
      <c r="D14" t="e">
        <v>#N/A</v>
      </c>
      <c r="E14" s="9"/>
      <c r="F14" s="9"/>
      <c r="G14" s="9">
        <f t="shared" ca="1" si="3"/>
        <v>350.82833333333338</v>
      </c>
      <c r="H14" s="9">
        <f t="shared" ca="1" si="4"/>
        <v>350.82833333333338</v>
      </c>
      <c r="I14" s="12">
        <f ca="1">IF(AND('Data Analysis Addin'!$G14&lt;='Data Analysis Addin'!$H14,G15&gt;H15), 1, 0)</f>
        <v>0</v>
      </c>
      <c r="J14" s="3">
        <f t="shared" ca="1" si="2"/>
        <v>0</v>
      </c>
      <c r="K14" s="19">
        <f>YEAR('Data Analysis Addin'!$A14)</f>
        <v>2020</v>
      </c>
    </row>
    <row r="15" spans="1:17" x14ac:dyDescent="0.4">
      <c r="A15" s="16">
        <v>44153</v>
      </c>
      <c r="B15" s="8">
        <v>356.28</v>
      </c>
      <c r="C15" t="e">
        <v>#N/A</v>
      </c>
      <c r="D15" t="e">
        <v>#N/A</v>
      </c>
      <c r="E15" s="8"/>
      <c r="F15" s="8"/>
      <c r="G15" s="8">
        <f t="shared" ca="1" si="3"/>
        <v>351.24769230769232</v>
      </c>
      <c r="H15" s="8">
        <f t="shared" ca="1" si="4"/>
        <v>351.24769230769232</v>
      </c>
      <c r="I15" s="12">
        <f ca="1">IF(AND('Data Analysis Addin'!$G15&lt;='Data Analysis Addin'!$H15,G16&gt;H16), 1, 0)</f>
        <v>0</v>
      </c>
      <c r="J15" s="2">
        <f t="shared" ca="1" si="2"/>
        <v>0</v>
      </c>
      <c r="K15" s="17">
        <f>YEAR('Data Analysis Addin'!$A15)</f>
        <v>2020</v>
      </c>
    </row>
    <row r="16" spans="1:17" x14ac:dyDescent="0.4">
      <c r="A16" s="18">
        <v>44154</v>
      </c>
      <c r="B16" s="9">
        <v>357.78</v>
      </c>
      <c r="C16" t="e">
        <v>#N/A</v>
      </c>
      <c r="D16" t="e">
        <v>#N/A</v>
      </c>
      <c r="E16" s="9"/>
      <c r="F16" s="9"/>
      <c r="G16" s="9">
        <f t="shared" ca="1" si="3"/>
        <v>351.71428571428572</v>
      </c>
      <c r="H16" s="9">
        <f t="shared" ca="1" si="4"/>
        <v>351.71428571428572</v>
      </c>
      <c r="I16" s="12">
        <f ca="1">IF(AND('Data Analysis Addin'!$G16&lt;='Data Analysis Addin'!$H16,G17&gt;H17), 1, 0)</f>
        <v>0</v>
      </c>
      <c r="J16" s="3">
        <f t="shared" ca="1" si="2"/>
        <v>0</v>
      </c>
      <c r="K16" s="19">
        <f>YEAR('Data Analysis Addin'!$A16)</f>
        <v>2020</v>
      </c>
    </row>
    <row r="17" spans="1:11" x14ac:dyDescent="0.4">
      <c r="A17" s="16">
        <v>44155</v>
      </c>
      <c r="B17" s="8">
        <v>355.33</v>
      </c>
      <c r="C17" t="e">
        <v>#N/A</v>
      </c>
      <c r="D17" t="e">
        <v>#N/A</v>
      </c>
      <c r="E17" s="8"/>
      <c r="F17" s="8"/>
      <c r="G17" s="8">
        <f t="shared" ca="1" si="3"/>
        <v>351.95533333333333</v>
      </c>
      <c r="H17" s="8">
        <f t="shared" ca="1" si="4"/>
        <v>351.95533333333333</v>
      </c>
      <c r="I17" s="12">
        <f ca="1">IF(AND('Data Analysis Addin'!$G17&lt;='Data Analysis Addin'!$H17,G18&gt;H18), 1, 0)</f>
        <v>0</v>
      </c>
      <c r="J17" s="2">
        <f t="shared" ca="1" si="2"/>
        <v>0</v>
      </c>
      <c r="K17" s="17">
        <f>YEAR('Data Analysis Addin'!$A17)</f>
        <v>2020</v>
      </c>
    </row>
    <row r="18" spans="1:11" x14ac:dyDescent="0.4">
      <c r="A18" s="18">
        <v>44158</v>
      </c>
      <c r="B18" s="9">
        <v>357.46</v>
      </c>
      <c r="C18" t="e">
        <v>#N/A</v>
      </c>
      <c r="D18" t="e">
        <v>#N/A</v>
      </c>
      <c r="E18" s="9"/>
      <c r="F18" s="9"/>
      <c r="G18" s="9">
        <f t="shared" ca="1" si="3"/>
        <v>352.299375</v>
      </c>
      <c r="H18" s="9">
        <f t="shared" ca="1" si="4"/>
        <v>352.299375</v>
      </c>
      <c r="I18" s="12">
        <f ca="1">IF(AND('Data Analysis Addin'!$G18&lt;='Data Analysis Addin'!$H18,G19&gt;H19), 1, 0)</f>
        <v>0</v>
      </c>
      <c r="J18" s="3">
        <f t="shared" ca="1" si="2"/>
        <v>0</v>
      </c>
      <c r="K18" s="19">
        <f>YEAR('Data Analysis Addin'!$A18)</f>
        <v>2020</v>
      </c>
    </row>
    <row r="19" spans="1:11" x14ac:dyDescent="0.4">
      <c r="A19" s="16">
        <v>44159</v>
      </c>
      <c r="B19" s="8">
        <v>363.22</v>
      </c>
      <c r="C19" t="e">
        <v>#N/A</v>
      </c>
      <c r="D19" t="e">
        <v>#N/A</v>
      </c>
      <c r="E19" s="8"/>
      <c r="F19" s="8"/>
      <c r="G19" s="8">
        <f t="shared" ca="1" si="3"/>
        <v>352.94176470588235</v>
      </c>
      <c r="H19" s="8">
        <f t="shared" ca="1" si="4"/>
        <v>352.94176470588235</v>
      </c>
      <c r="I19" s="12">
        <f ca="1">IF(AND('Data Analysis Addin'!$G19&lt;='Data Analysis Addin'!$H19,G20&gt;H20), 1, 0)</f>
        <v>0</v>
      </c>
      <c r="J19" s="2">
        <f t="shared" ca="1" si="2"/>
        <v>0</v>
      </c>
      <c r="K19" s="17">
        <f>YEAR('Data Analysis Addin'!$A19)</f>
        <v>2020</v>
      </c>
    </row>
    <row r="20" spans="1:11" x14ac:dyDescent="0.4">
      <c r="A20" s="18">
        <v>44160</v>
      </c>
      <c r="B20" s="9">
        <v>362.66</v>
      </c>
      <c r="C20" t="e">
        <v>#N/A</v>
      </c>
      <c r="D20" t="e">
        <v>#N/A</v>
      </c>
      <c r="E20" s="9"/>
      <c r="F20" s="9"/>
      <c r="G20" s="9">
        <f t="shared" ca="1" si="3"/>
        <v>353.48166666666668</v>
      </c>
      <c r="H20" s="9">
        <f t="shared" ca="1" si="4"/>
        <v>353.48166666666668</v>
      </c>
      <c r="I20" s="12">
        <f ca="1">IF(AND('Data Analysis Addin'!$G20&lt;='Data Analysis Addin'!$H20,G21&gt;H21), 1, 0)</f>
        <v>0</v>
      </c>
      <c r="J20" s="3">
        <f t="shared" ca="1" si="2"/>
        <v>0</v>
      </c>
      <c r="K20" s="19">
        <f>YEAR('Data Analysis Addin'!$A20)</f>
        <v>2020</v>
      </c>
    </row>
    <row r="21" spans="1:11" x14ac:dyDescent="0.4">
      <c r="A21" s="16">
        <v>44162</v>
      </c>
      <c r="B21" s="8">
        <v>363.67</v>
      </c>
      <c r="C21" t="e">
        <v>#N/A</v>
      </c>
      <c r="D21" t="e">
        <v>#N/A</v>
      </c>
      <c r="E21" s="8"/>
      <c r="F21" s="8"/>
      <c r="G21" s="8">
        <f t="shared" ca="1" si="3"/>
        <v>354.01789473684209</v>
      </c>
      <c r="H21" s="8">
        <f t="shared" ca="1" si="4"/>
        <v>354.01789473684209</v>
      </c>
      <c r="I21" s="12">
        <f ca="1">IF(AND('Data Analysis Addin'!$G21&lt;='Data Analysis Addin'!$H21,G22&gt;H22), 1, 0)</f>
        <v>0</v>
      </c>
      <c r="J21" s="2">
        <f t="shared" ca="1" si="2"/>
        <v>0</v>
      </c>
      <c r="K21" s="17">
        <f>YEAR('Data Analysis Addin'!$A21)</f>
        <v>2020</v>
      </c>
    </row>
    <row r="22" spans="1:11" x14ac:dyDescent="0.4">
      <c r="A22" s="18">
        <v>44165</v>
      </c>
      <c r="B22" s="9">
        <v>362.06</v>
      </c>
      <c r="C22" t="e">
        <v>#N/A</v>
      </c>
      <c r="D22" t="e">
        <v>#N/A</v>
      </c>
      <c r="E22" s="9"/>
      <c r="F22" s="9"/>
      <c r="G22" s="9">
        <f t="shared" ca="1" si="3"/>
        <v>354.42</v>
      </c>
      <c r="H22" s="9">
        <f t="shared" ca="1" si="4"/>
        <v>354.42</v>
      </c>
      <c r="I22" s="12">
        <f ca="1">IF(AND('Data Analysis Addin'!$G22&lt;='Data Analysis Addin'!$H22,G23&gt;H23), 1, 0)</f>
        <v>0</v>
      </c>
      <c r="J22" s="3">
        <f t="shared" ca="1" si="2"/>
        <v>0</v>
      </c>
      <c r="K22" s="19">
        <f>YEAR('Data Analysis Addin'!$A22)</f>
        <v>2020</v>
      </c>
    </row>
    <row r="23" spans="1:11" x14ac:dyDescent="0.4">
      <c r="A23" s="16">
        <v>44166</v>
      </c>
      <c r="B23" s="8">
        <v>366.02</v>
      </c>
      <c r="C23" t="e">
        <v>#N/A</v>
      </c>
      <c r="D23" t="e">
        <v>#N/A</v>
      </c>
      <c r="E23" s="8"/>
      <c r="F23" s="8"/>
      <c r="G23" s="8">
        <f t="shared" ca="1" si="3"/>
        <v>354.97238095238095</v>
      </c>
      <c r="H23" s="8">
        <f t="shared" ca="1" si="4"/>
        <v>354.97238095238095</v>
      </c>
      <c r="I23" s="12">
        <f ca="1">IF(AND('Data Analysis Addin'!$G23&lt;='Data Analysis Addin'!$H23,G24&gt;H24), 1, 0)</f>
        <v>0</v>
      </c>
      <c r="J23" s="2">
        <f t="shared" ca="1" si="2"/>
        <v>0</v>
      </c>
      <c r="K23" s="17">
        <f>YEAR('Data Analysis Addin'!$A23)</f>
        <v>2020</v>
      </c>
    </row>
    <row r="24" spans="1:11" x14ac:dyDescent="0.4">
      <c r="A24" s="18">
        <v>44167</v>
      </c>
      <c r="B24" s="9">
        <v>366.79</v>
      </c>
      <c r="C24" t="e">
        <v>#N/A</v>
      </c>
      <c r="D24" t="e">
        <v>#N/A</v>
      </c>
      <c r="E24" s="9"/>
      <c r="F24" s="9"/>
      <c r="G24" s="9">
        <f t="shared" ca="1" si="3"/>
        <v>355.50954545454545</v>
      </c>
      <c r="H24" s="9">
        <f t="shared" ca="1" si="4"/>
        <v>355.50954545454545</v>
      </c>
      <c r="I24" s="12">
        <f ca="1">IF(AND('Data Analysis Addin'!$G24&lt;='Data Analysis Addin'!$H24,G25&gt;H25), 1, 0)</f>
        <v>0</v>
      </c>
      <c r="J24" s="3">
        <f t="shared" ca="1" si="2"/>
        <v>0</v>
      </c>
      <c r="K24" s="19">
        <f>YEAR('Data Analysis Addin'!$A24)</f>
        <v>2020</v>
      </c>
    </row>
    <row r="25" spans="1:11" x14ac:dyDescent="0.4">
      <c r="A25" s="16">
        <v>44168</v>
      </c>
      <c r="B25" s="8">
        <v>366.69</v>
      </c>
      <c r="C25" t="e">
        <v>#N/A</v>
      </c>
      <c r="D25" t="e">
        <v>#N/A</v>
      </c>
      <c r="E25" s="8"/>
      <c r="F25" s="8"/>
      <c r="G25" s="8">
        <f t="shared" ca="1" si="3"/>
        <v>355.99565217391302</v>
      </c>
      <c r="H25" s="8">
        <f t="shared" ca="1" si="4"/>
        <v>355.99565217391302</v>
      </c>
      <c r="I25" s="12">
        <f ca="1">IF(AND('Data Analysis Addin'!$G25&lt;='Data Analysis Addin'!$H25,G26&gt;H26), 1, 0)</f>
        <v>0</v>
      </c>
      <c r="J25" s="2">
        <f t="shared" ca="1" si="2"/>
        <v>0</v>
      </c>
      <c r="K25" s="17">
        <f>YEAR('Data Analysis Addin'!$A25)</f>
        <v>2020</v>
      </c>
    </row>
    <row r="26" spans="1:11" x14ac:dyDescent="0.4">
      <c r="A26" s="18">
        <v>44169</v>
      </c>
      <c r="B26" s="9">
        <v>369.85</v>
      </c>
      <c r="C26" t="e">
        <v>#N/A</v>
      </c>
      <c r="D26" t="e">
        <v>#N/A</v>
      </c>
      <c r="E26" s="9"/>
      <c r="F26" s="9"/>
      <c r="G26" s="9">
        <f t="shared" ca="1" si="3"/>
        <v>356.57291666666669</v>
      </c>
      <c r="H26" s="9">
        <f t="shared" ca="1" si="4"/>
        <v>356.57291666666669</v>
      </c>
      <c r="I26" s="12">
        <f ca="1">IF(AND('Data Analysis Addin'!$G26&lt;='Data Analysis Addin'!$H26,G27&gt;H27), 1, 0)</f>
        <v>0</v>
      </c>
      <c r="J26" s="3">
        <f t="shared" ca="1" si="2"/>
        <v>0</v>
      </c>
      <c r="K26" s="19">
        <f>YEAR('Data Analysis Addin'!$A26)</f>
        <v>2020</v>
      </c>
    </row>
    <row r="27" spans="1:11" x14ac:dyDescent="0.4">
      <c r="A27" s="16">
        <v>44172</v>
      </c>
      <c r="B27" s="8">
        <v>369.09</v>
      </c>
      <c r="C27" t="e">
        <v>#N/A</v>
      </c>
      <c r="D27" t="e">
        <v>#N/A</v>
      </c>
      <c r="E27" s="8"/>
      <c r="F27" s="8"/>
      <c r="G27" s="8">
        <f t="shared" ca="1" si="3"/>
        <v>357.0736</v>
      </c>
      <c r="H27" s="8">
        <f t="shared" ca="1" si="4"/>
        <v>357.0736</v>
      </c>
      <c r="I27" s="12">
        <f ca="1">IF(AND('Data Analysis Addin'!$G27&lt;='Data Analysis Addin'!$H27,G28&gt;H28), 1, 0)</f>
        <v>0</v>
      </c>
      <c r="J27" s="2">
        <f t="shared" ca="1" si="2"/>
        <v>0</v>
      </c>
      <c r="K27" s="17">
        <f>YEAR('Data Analysis Addin'!$A27)</f>
        <v>2020</v>
      </c>
    </row>
    <row r="28" spans="1:11" x14ac:dyDescent="0.4">
      <c r="A28" s="18">
        <v>44173</v>
      </c>
      <c r="B28" s="9">
        <v>370.17</v>
      </c>
      <c r="C28" t="e">
        <v>#N/A</v>
      </c>
      <c r="D28" t="e">
        <v>#N/A</v>
      </c>
      <c r="E28" s="9"/>
      <c r="F28" s="9"/>
      <c r="G28" s="9">
        <f t="shared" ca="1" si="3"/>
        <v>357.57730769230773</v>
      </c>
      <c r="H28" s="9">
        <f t="shared" ca="1" si="4"/>
        <v>357.57730769230773</v>
      </c>
      <c r="I28" s="12">
        <f ca="1">IF(AND('Data Analysis Addin'!$G28&lt;='Data Analysis Addin'!$H28,G29&gt;H29), 1, 0)</f>
        <v>0</v>
      </c>
      <c r="J28" s="3">
        <f t="shared" ca="1" si="2"/>
        <v>0</v>
      </c>
      <c r="K28" s="19">
        <f>YEAR('Data Analysis Addin'!$A28)</f>
        <v>2020</v>
      </c>
    </row>
    <row r="29" spans="1:11" x14ac:dyDescent="0.4">
      <c r="A29" s="16">
        <v>44174</v>
      </c>
      <c r="B29" s="8">
        <v>366.85</v>
      </c>
      <c r="C29" t="e">
        <v>#N/A</v>
      </c>
      <c r="D29" t="e">
        <v>#N/A</v>
      </c>
      <c r="E29" s="8"/>
      <c r="F29" s="8"/>
      <c r="G29" s="8">
        <f t="shared" ca="1" si="3"/>
        <v>357.92074074074077</v>
      </c>
      <c r="H29" s="8">
        <f t="shared" ca="1" si="4"/>
        <v>357.92074074074077</v>
      </c>
      <c r="I29" s="12">
        <f ca="1">IF(AND('Data Analysis Addin'!$G29&lt;='Data Analysis Addin'!$H29,G30&gt;H30), 1, 0)</f>
        <v>0</v>
      </c>
      <c r="J29" s="2">
        <f t="shared" ca="1" si="2"/>
        <v>0</v>
      </c>
      <c r="K29" s="17">
        <f>YEAR('Data Analysis Addin'!$A29)</f>
        <v>2020</v>
      </c>
    </row>
    <row r="30" spans="1:11" x14ac:dyDescent="0.4">
      <c r="A30" s="18">
        <v>44175</v>
      </c>
      <c r="B30" s="9">
        <v>366.73</v>
      </c>
      <c r="C30" t="e">
        <v>#N/A</v>
      </c>
      <c r="D30" t="e">
        <v>#N/A</v>
      </c>
      <c r="E30" s="9"/>
      <c r="F30" s="9"/>
      <c r="G30" s="9">
        <f t="shared" ca="1" si="3"/>
        <v>358.23535714285714</v>
      </c>
      <c r="H30" s="9">
        <f t="shared" ca="1" si="4"/>
        <v>358.23535714285714</v>
      </c>
      <c r="I30" s="12">
        <f ca="1">IF(AND('Data Analysis Addin'!$G30&lt;='Data Analysis Addin'!$H30,G31&gt;H31), 1, 0)</f>
        <v>0</v>
      </c>
      <c r="J30" s="3">
        <f t="shared" ca="1" si="2"/>
        <v>0</v>
      </c>
      <c r="K30" s="19">
        <f>YEAR('Data Analysis Addin'!$A30)</f>
        <v>2020</v>
      </c>
    </row>
    <row r="31" spans="1:11" x14ac:dyDescent="0.4">
      <c r="A31" s="16">
        <v>44176</v>
      </c>
      <c r="B31" s="8">
        <v>366.3</v>
      </c>
      <c r="C31" t="e">
        <v>#N/A</v>
      </c>
      <c r="D31" t="e">
        <v>#N/A</v>
      </c>
      <c r="E31" s="8"/>
      <c r="F31" s="8"/>
      <c r="G31" s="8">
        <f t="shared" ca="1" si="3"/>
        <v>358.51344827586206</v>
      </c>
      <c r="H31" s="8">
        <f t="shared" ca="1" si="4"/>
        <v>358.51344827586206</v>
      </c>
      <c r="I31" s="12">
        <f ca="1">IF(AND('Data Analysis Addin'!$G31&lt;='Data Analysis Addin'!$H31,G32&gt;H32), 1, 0)</f>
        <v>0</v>
      </c>
      <c r="J31" s="2">
        <f t="shared" ca="1" si="2"/>
        <v>0</v>
      </c>
      <c r="K31" s="17">
        <f>YEAR('Data Analysis Addin'!$A31)</f>
        <v>2020</v>
      </c>
    </row>
    <row r="32" spans="1:11" x14ac:dyDescent="0.4">
      <c r="A32" s="18">
        <v>44179</v>
      </c>
      <c r="B32" s="9">
        <v>364.66</v>
      </c>
      <c r="C32" t="e">
        <v>#N/A</v>
      </c>
      <c r="D32" t="e">
        <v>#N/A</v>
      </c>
      <c r="E32" s="9"/>
      <c r="F32" s="9"/>
      <c r="G32" s="9">
        <f t="shared" ca="1" si="3"/>
        <v>358.71833333333331</v>
      </c>
      <c r="H32" s="9">
        <f t="shared" ca="1" si="4"/>
        <v>358.71833333333331</v>
      </c>
      <c r="I32" s="12">
        <f ca="1">IF(AND('Data Analysis Addin'!$G32&lt;='Data Analysis Addin'!$H32,G33&gt;H33), 1, 0)</f>
        <v>0</v>
      </c>
      <c r="J32" s="3">
        <f t="shared" ca="1" si="2"/>
        <v>0</v>
      </c>
      <c r="K32" s="19">
        <f>YEAR('Data Analysis Addin'!$A32)</f>
        <v>2020</v>
      </c>
    </row>
    <row r="33" spans="1:11" x14ac:dyDescent="0.4">
      <c r="A33" s="16">
        <v>44180</v>
      </c>
      <c r="B33" s="8">
        <v>369.59</v>
      </c>
      <c r="C33" t="e">
        <v>#N/A</v>
      </c>
      <c r="D33" t="e">
        <v>#N/A</v>
      </c>
      <c r="E33" s="8"/>
      <c r="F33" s="8"/>
      <c r="G33" s="8">
        <f t="shared" ca="1" si="3"/>
        <v>359.06903225806451</v>
      </c>
      <c r="H33" s="8">
        <f t="shared" ca="1" si="4"/>
        <v>359.06903225806451</v>
      </c>
      <c r="I33" s="12">
        <f ca="1">IF(AND('Data Analysis Addin'!$G33&lt;='Data Analysis Addin'!$H33,G34&gt;H34), 1, 0)</f>
        <v>0</v>
      </c>
      <c r="J33" s="2">
        <f t="shared" ca="1" si="2"/>
        <v>0</v>
      </c>
      <c r="K33" s="17">
        <f>YEAR('Data Analysis Addin'!$A33)</f>
        <v>2020</v>
      </c>
    </row>
    <row r="34" spans="1:11" x14ac:dyDescent="0.4">
      <c r="A34" s="18">
        <v>44181</v>
      </c>
      <c r="B34" s="9">
        <v>370.17</v>
      </c>
      <c r="C34" t="e">
        <v>#N/A</v>
      </c>
      <c r="D34" t="e">
        <v>#N/A</v>
      </c>
      <c r="E34" s="9"/>
      <c r="F34" s="9"/>
      <c r="G34" s="9">
        <f t="shared" ca="1" si="3"/>
        <v>359.41593749999998</v>
      </c>
      <c r="H34" s="9">
        <f t="shared" ca="1" si="4"/>
        <v>359.41593749999998</v>
      </c>
      <c r="I34" s="12">
        <f ca="1">IF(AND('Data Analysis Addin'!$G34&lt;='Data Analysis Addin'!$H34,G35&gt;H35), 1, 0)</f>
        <v>0</v>
      </c>
      <c r="J34" s="3">
        <f t="shared" ca="1" si="2"/>
        <v>0</v>
      </c>
      <c r="K34" s="19">
        <f>YEAR('Data Analysis Addin'!$A34)</f>
        <v>2020</v>
      </c>
    </row>
    <row r="35" spans="1:11" x14ac:dyDescent="0.4">
      <c r="A35" s="16">
        <v>44182</v>
      </c>
      <c r="B35" s="8">
        <v>372.24</v>
      </c>
      <c r="C35" t="e">
        <v>#N/A</v>
      </c>
      <c r="D35" t="e">
        <v>#N/A</v>
      </c>
      <c r="E35" s="8"/>
      <c r="F35" s="8"/>
      <c r="G35" s="8">
        <f t="shared" ca="1" si="3"/>
        <v>359.8045454545454</v>
      </c>
      <c r="H35" s="8">
        <f t="shared" ca="1" si="4"/>
        <v>359.8045454545454</v>
      </c>
      <c r="I35" s="12">
        <f ca="1">IF(AND('Data Analysis Addin'!$G35&lt;='Data Analysis Addin'!$H35,G36&gt;H36), 1, 0)</f>
        <v>0</v>
      </c>
      <c r="J35" s="2">
        <f t="shared" ca="1" si="2"/>
        <v>0</v>
      </c>
      <c r="K35" s="17">
        <f>YEAR('Data Analysis Addin'!$A35)</f>
        <v>2020</v>
      </c>
    </row>
    <row r="36" spans="1:11" x14ac:dyDescent="0.4">
      <c r="A36" s="18">
        <v>44183</v>
      </c>
      <c r="B36" s="9">
        <v>369.18</v>
      </c>
      <c r="C36" t="e">
        <v>#N/A</v>
      </c>
      <c r="D36" t="e">
        <v>#N/A</v>
      </c>
      <c r="E36" s="9"/>
      <c r="F36" s="9"/>
      <c r="G36" s="9">
        <f t="shared" ca="1" si="3"/>
        <v>360.08029411764704</v>
      </c>
      <c r="H36" s="9">
        <f t="shared" ca="1" si="4"/>
        <v>360.08029411764704</v>
      </c>
      <c r="I36" s="12">
        <f ca="1">IF(AND('Data Analysis Addin'!$G36&lt;='Data Analysis Addin'!$H36,G37&gt;H37), 1, 0)</f>
        <v>0</v>
      </c>
      <c r="J36" s="3">
        <f t="shared" ca="1" si="2"/>
        <v>0</v>
      </c>
      <c r="K36" s="19">
        <f>YEAR('Data Analysis Addin'!$A36)</f>
        <v>2020</v>
      </c>
    </row>
    <row r="37" spans="1:11" x14ac:dyDescent="0.4">
      <c r="A37" s="16">
        <v>44186</v>
      </c>
      <c r="B37" s="8">
        <v>367.86</v>
      </c>
      <c r="C37" t="e">
        <v>#N/A</v>
      </c>
      <c r="D37" t="e">
        <v>#N/A</v>
      </c>
      <c r="E37" s="8"/>
      <c r="F37" s="8"/>
      <c r="G37" s="8">
        <f t="shared" ca="1" si="3"/>
        <v>360.30257142857141</v>
      </c>
      <c r="H37" s="8">
        <f t="shared" ca="1" si="4"/>
        <v>360.30257142857141</v>
      </c>
      <c r="I37" s="12">
        <f ca="1">IF(AND('Data Analysis Addin'!$G37&lt;='Data Analysis Addin'!$H37,G38&gt;H38), 1, 0)</f>
        <v>0</v>
      </c>
      <c r="J37" s="2">
        <f t="shared" ca="1" si="2"/>
        <v>0</v>
      </c>
      <c r="K37" s="17">
        <f>YEAR('Data Analysis Addin'!$A37)</f>
        <v>2020</v>
      </c>
    </row>
    <row r="38" spans="1:11" x14ac:dyDescent="0.4">
      <c r="A38" s="18">
        <v>44187</v>
      </c>
      <c r="B38" s="9">
        <v>367.24</v>
      </c>
      <c r="C38" t="e">
        <v>#N/A</v>
      </c>
      <c r="D38" t="e">
        <v>#N/A</v>
      </c>
      <c r="E38" s="9"/>
      <c r="F38" s="9"/>
      <c r="G38" s="9">
        <f t="shared" ca="1" si="3"/>
        <v>360.4952777777778</v>
      </c>
      <c r="H38" s="9">
        <f t="shared" ca="1" si="4"/>
        <v>360.4952777777778</v>
      </c>
      <c r="I38" s="12">
        <f ca="1">IF(AND('Data Analysis Addin'!$G38&lt;='Data Analysis Addin'!$H38,G39&gt;H39), 1, 0)</f>
        <v>0</v>
      </c>
      <c r="J38" s="3">
        <f t="shared" ca="1" si="2"/>
        <v>0</v>
      </c>
      <c r="K38" s="19">
        <f>YEAR('Data Analysis Addin'!$A38)</f>
        <v>2020</v>
      </c>
    </row>
    <row r="39" spans="1:11" x14ac:dyDescent="0.4">
      <c r="A39" s="16">
        <v>44188</v>
      </c>
      <c r="B39" s="8">
        <v>367.57</v>
      </c>
      <c r="C39" t="e">
        <v>#N/A</v>
      </c>
      <c r="D39" t="e">
        <v>#N/A</v>
      </c>
      <c r="E39" s="8"/>
      <c r="F39" s="8"/>
      <c r="G39" s="8">
        <f t="shared" ca="1" si="3"/>
        <v>360.6864864864865</v>
      </c>
      <c r="H39" s="8">
        <f t="shared" ca="1" si="4"/>
        <v>360.6864864864865</v>
      </c>
      <c r="I39" s="12">
        <f ca="1">IF(AND('Data Analysis Addin'!$G39&lt;='Data Analysis Addin'!$H39,G40&gt;H40), 1, 0)</f>
        <v>0</v>
      </c>
      <c r="J39" s="2">
        <f t="shared" ca="1" si="2"/>
        <v>0</v>
      </c>
      <c r="K39" s="17">
        <f>YEAR('Data Analysis Addin'!$A39)</f>
        <v>2020</v>
      </c>
    </row>
    <row r="40" spans="1:11" x14ac:dyDescent="0.4">
      <c r="A40" s="18">
        <v>44189</v>
      </c>
      <c r="B40" s="9">
        <v>369</v>
      </c>
      <c r="C40" t="e">
        <v>#N/A</v>
      </c>
      <c r="D40" t="e">
        <v>#N/A</v>
      </c>
      <c r="E40" s="9"/>
      <c r="F40" s="9"/>
      <c r="G40" s="9">
        <f t="shared" ca="1" si="3"/>
        <v>360.90526315789475</v>
      </c>
      <c r="H40" s="9">
        <f t="shared" ca="1" si="4"/>
        <v>360.90526315789475</v>
      </c>
      <c r="I40" s="12">
        <f ca="1">IF(AND('Data Analysis Addin'!$G40&lt;='Data Analysis Addin'!$H40,G41&gt;H41), 1, 0)</f>
        <v>0</v>
      </c>
      <c r="J40" s="3">
        <f t="shared" ca="1" si="2"/>
        <v>0</v>
      </c>
      <c r="K40" s="19">
        <f>YEAR('Data Analysis Addin'!$A40)</f>
        <v>2020</v>
      </c>
    </row>
    <row r="41" spans="1:11" x14ac:dyDescent="0.4">
      <c r="A41" s="16">
        <v>44193</v>
      </c>
      <c r="B41" s="8">
        <v>372.17</v>
      </c>
      <c r="C41" t="e">
        <v>#N/A</v>
      </c>
      <c r="D41" t="e">
        <v>#N/A</v>
      </c>
      <c r="E41" s="8"/>
      <c r="F41" s="8"/>
      <c r="G41" s="8">
        <f t="shared" ca="1" si="3"/>
        <v>361.19410256410254</v>
      </c>
      <c r="H41" s="8">
        <f t="shared" ca="1" si="4"/>
        <v>361.19410256410254</v>
      </c>
      <c r="I41" s="12">
        <f ca="1">IF(AND('Data Analysis Addin'!$G41&lt;='Data Analysis Addin'!$H41,G42&gt;H42), 1, 0)</f>
        <v>0</v>
      </c>
      <c r="J41" s="2">
        <f t="shared" ca="1" si="2"/>
        <v>0</v>
      </c>
      <c r="K41" s="17">
        <f>YEAR('Data Analysis Addin'!$A41)</f>
        <v>2020</v>
      </c>
    </row>
    <row r="42" spans="1:11" x14ac:dyDescent="0.4">
      <c r="A42" s="18">
        <v>44194</v>
      </c>
      <c r="B42" s="9">
        <v>371.46</v>
      </c>
      <c r="C42" t="e">
        <v>#N/A</v>
      </c>
      <c r="D42" t="e">
        <v>#N/A</v>
      </c>
      <c r="E42" s="9"/>
      <c r="F42" s="9"/>
      <c r="G42" s="9">
        <f t="shared" ca="1" si="3"/>
        <v>361.45074999999997</v>
      </c>
      <c r="H42" s="9">
        <f t="shared" ca="1" si="4"/>
        <v>361.45074999999997</v>
      </c>
      <c r="I42" s="12">
        <f ca="1">IF(AND('Data Analysis Addin'!$G42&lt;='Data Analysis Addin'!$H42,G43&gt;H43), 1, 0)</f>
        <v>0</v>
      </c>
      <c r="J42" s="3">
        <f t="shared" ca="1" si="2"/>
        <v>0</v>
      </c>
      <c r="K42" s="19">
        <f>YEAR('Data Analysis Addin'!$A42)</f>
        <v>2020</v>
      </c>
    </row>
    <row r="43" spans="1:11" x14ac:dyDescent="0.4">
      <c r="A43" s="16">
        <v>44195</v>
      </c>
      <c r="B43" s="8">
        <v>371.99</v>
      </c>
      <c r="C43" t="e">
        <v>#N/A</v>
      </c>
      <c r="D43" t="e">
        <v>#N/A</v>
      </c>
      <c r="E43" s="8"/>
      <c r="F43" s="8"/>
      <c r="G43" s="8">
        <f t="shared" ca="1" si="3"/>
        <v>361.70780487804876</v>
      </c>
      <c r="H43" s="8">
        <f t="shared" ca="1" si="4"/>
        <v>361.70780487804876</v>
      </c>
      <c r="I43" s="12">
        <f ca="1">IF(AND('Data Analysis Addin'!$G43&lt;='Data Analysis Addin'!$H43,G44&gt;H44), 1, 0)</f>
        <v>0</v>
      </c>
      <c r="J43" s="2">
        <f t="shared" ca="1" si="2"/>
        <v>0</v>
      </c>
      <c r="K43" s="17">
        <f>YEAR('Data Analysis Addin'!$A43)</f>
        <v>2020</v>
      </c>
    </row>
    <row r="44" spans="1:11" x14ac:dyDescent="0.4">
      <c r="A44" s="18">
        <v>44196</v>
      </c>
      <c r="B44" s="9">
        <v>373.88</v>
      </c>
      <c r="C44" t="e">
        <v>#N/A</v>
      </c>
      <c r="D44" t="e">
        <v>#N/A</v>
      </c>
      <c r="E44" s="9"/>
      <c r="F44" s="9"/>
      <c r="G44" s="9">
        <f t="shared" ca="1" si="3"/>
        <v>361.99761904761897</v>
      </c>
      <c r="H44" s="9">
        <f t="shared" ca="1" si="4"/>
        <v>361.99761904761897</v>
      </c>
      <c r="I44" s="12">
        <f ca="1">IF(AND('Data Analysis Addin'!$G44&lt;='Data Analysis Addin'!$H44,G45&gt;H45), 1, 0)</f>
        <v>0</v>
      </c>
      <c r="J44" s="3">
        <f t="shared" ca="1" si="2"/>
        <v>0</v>
      </c>
      <c r="K44" s="19">
        <f>YEAR('Data Analysis Addin'!$A44)</f>
        <v>2020</v>
      </c>
    </row>
    <row r="45" spans="1:11" x14ac:dyDescent="0.4">
      <c r="A45" s="16">
        <v>44200</v>
      </c>
      <c r="B45" s="8">
        <v>368.79</v>
      </c>
      <c r="C45" t="e">
        <v>#N/A</v>
      </c>
      <c r="D45" t="e">
        <v>#N/A</v>
      </c>
      <c r="E45" s="8"/>
      <c r="F45" s="8"/>
      <c r="G45" s="8">
        <f t="shared" ca="1" si="3"/>
        <v>362.1555813953488</v>
      </c>
      <c r="H45" s="8">
        <f t="shared" ca="1" si="4"/>
        <v>362.1555813953488</v>
      </c>
      <c r="I45" s="12">
        <f ca="1">IF(AND('Data Analysis Addin'!$G45&lt;='Data Analysis Addin'!$H45,G46&gt;H46), 1, 0)</f>
        <v>0</v>
      </c>
      <c r="J45" s="2">
        <f t="shared" ca="1" si="2"/>
        <v>0</v>
      </c>
      <c r="K45" s="17">
        <f>YEAR('Data Analysis Addin'!$A45)</f>
        <v>2021</v>
      </c>
    </row>
    <row r="46" spans="1:11" x14ac:dyDescent="0.4">
      <c r="A46" s="18">
        <v>44201</v>
      </c>
      <c r="B46" s="9">
        <v>371.33</v>
      </c>
      <c r="C46" t="e">
        <v>#N/A</v>
      </c>
      <c r="D46" t="e">
        <v>#N/A</v>
      </c>
      <c r="E46" s="9"/>
      <c r="F46" s="9"/>
      <c r="G46" s="9">
        <f t="shared" ca="1" si="3"/>
        <v>362.36409090909086</v>
      </c>
      <c r="H46" s="9">
        <f t="shared" ca="1" si="4"/>
        <v>362.36409090909086</v>
      </c>
      <c r="I46" s="12">
        <f ca="1">IF(AND('Data Analysis Addin'!$G46&lt;='Data Analysis Addin'!$H46,G47&gt;H47), 1, 0)</f>
        <v>0</v>
      </c>
      <c r="J46" s="3">
        <f t="shared" ca="1" si="2"/>
        <v>0</v>
      </c>
      <c r="K46" s="19">
        <f>YEAR('Data Analysis Addin'!$A46)</f>
        <v>2021</v>
      </c>
    </row>
    <row r="47" spans="1:11" x14ac:dyDescent="0.4">
      <c r="A47" s="16">
        <v>44202</v>
      </c>
      <c r="B47" s="8">
        <v>373.55</v>
      </c>
      <c r="C47" t="e">
        <v>#N/A</v>
      </c>
      <c r="D47" t="e">
        <v>#N/A</v>
      </c>
      <c r="E47" s="8"/>
      <c r="F47" s="8"/>
      <c r="G47" s="8">
        <f t="shared" ca="1" si="3"/>
        <v>362.6126666666666</v>
      </c>
      <c r="H47" s="8">
        <f t="shared" ca="1" si="4"/>
        <v>362.6126666666666</v>
      </c>
      <c r="I47" s="12">
        <f ca="1">IF(AND('Data Analysis Addin'!$G47&lt;='Data Analysis Addin'!$H47,G48&gt;H48), 1, 0)</f>
        <v>0</v>
      </c>
      <c r="J47" s="2">
        <f t="shared" ca="1" si="2"/>
        <v>0</v>
      </c>
      <c r="K47" s="17">
        <f>YEAR('Data Analysis Addin'!$A47)</f>
        <v>2021</v>
      </c>
    </row>
    <row r="48" spans="1:11" x14ac:dyDescent="0.4">
      <c r="A48" s="18">
        <v>44203</v>
      </c>
      <c r="B48" s="9">
        <v>379.1</v>
      </c>
      <c r="C48" t="e">
        <v>#N/A</v>
      </c>
      <c r="D48" t="e">
        <v>#N/A</v>
      </c>
      <c r="E48" s="9"/>
      <c r="F48" s="9"/>
      <c r="G48" s="9">
        <f t="shared" ca="1" si="3"/>
        <v>362.97108695652167</v>
      </c>
      <c r="H48" s="9">
        <f t="shared" ca="1" si="4"/>
        <v>362.97108695652167</v>
      </c>
      <c r="I48" s="12">
        <f ca="1">IF(AND('Data Analysis Addin'!$G48&lt;='Data Analysis Addin'!$H48,G49&gt;H49), 1, 0)</f>
        <v>0</v>
      </c>
      <c r="J48" s="3">
        <f t="shared" ca="1" si="2"/>
        <v>0</v>
      </c>
      <c r="K48" s="19">
        <f>YEAR('Data Analysis Addin'!$A48)</f>
        <v>2021</v>
      </c>
    </row>
    <row r="49" spans="1:11" x14ac:dyDescent="0.4">
      <c r="A49" s="16">
        <v>44204</v>
      </c>
      <c r="B49" s="8">
        <v>381.26</v>
      </c>
      <c r="C49" t="e">
        <v>#N/A</v>
      </c>
      <c r="D49" t="e">
        <v>#N/A</v>
      </c>
      <c r="E49" s="8"/>
      <c r="F49" s="8"/>
      <c r="G49" s="8">
        <f t="shared" ca="1" si="3"/>
        <v>363.36021276595739</v>
      </c>
      <c r="H49" s="8">
        <f t="shared" ca="1" si="4"/>
        <v>363.36021276595739</v>
      </c>
      <c r="I49" s="12">
        <f ca="1">IF(AND('Data Analysis Addin'!$G49&lt;='Data Analysis Addin'!$H49,G50&gt;H50), 1, 0)</f>
        <v>0</v>
      </c>
      <c r="J49" s="2">
        <f t="shared" ca="1" si="2"/>
        <v>0</v>
      </c>
      <c r="K49" s="17">
        <f>YEAR('Data Analysis Addin'!$A49)</f>
        <v>2021</v>
      </c>
    </row>
    <row r="50" spans="1:11" x14ac:dyDescent="0.4">
      <c r="A50" s="18">
        <v>44207</v>
      </c>
      <c r="B50" s="9">
        <v>378.69</v>
      </c>
      <c r="C50" t="e">
        <v>#N/A</v>
      </c>
      <c r="D50" t="e">
        <v>#N/A</v>
      </c>
      <c r="E50" s="9"/>
      <c r="F50" s="9"/>
      <c r="G50" s="9">
        <f t="shared" ca="1" si="3"/>
        <v>363.67958333333326</v>
      </c>
      <c r="H50" s="9">
        <f t="shared" ca="1" si="4"/>
        <v>363.67958333333326</v>
      </c>
      <c r="I50" s="12">
        <f ca="1">IF(AND('Data Analysis Addin'!$G50&lt;='Data Analysis Addin'!$H50,G51&gt;H51), 1, 0)</f>
        <v>0</v>
      </c>
      <c r="J50" s="3">
        <f t="shared" ca="1" si="2"/>
        <v>0</v>
      </c>
      <c r="K50" s="19">
        <f>YEAR('Data Analysis Addin'!$A50)</f>
        <v>2021</v>
      </c>
    </row>
    <row r="51" spans="1:11" x14ac:dyDescent="0.4">
      <c r="A51" s="16">
        <v>44208</v>
      </c>
      <c r="B51" s="8">
        <v>378.77</v>
      </c>
      <c r="C51" t="e">
        <v>#N/A</v>
      </c>
      <c r="D51" t="e">
        <v>#N/A</v>
      </c>
      <c r="E51" s="8"/>
      <c r="F51" s="8"/>
      <c r="G51" s="8">
        <f t="shared" ca="1" si="3"/>
        <v>363.98755102040809</v>
      </c>
      <c r="H51" s="8">
        <f t="shared" ca="1" si="4"/>
        <v>363.98755102040809</v>
      </c>
      <c r="I51" s="12">
        <f ca="1">IF(AND('Data Analysis Addin'!$G51&lt;='Data Analysis Addin'!$H51,G52&gt;H52), 1, 0)</f>
        <v>0</v>
      </c>
      <c r="J51" s="2">
        <f t="shared" ca="1" si="2"/>
        <v>0</v>
      </c>
      <c r="K51" s="17">
        <f>YEAR('Data Analysis Addin'!$A51)</f>
        <v>2021</v>
      </c>
    </row>
    <row r="52" spans="1:11" x14ac:dyDescent="0.4">
      <c r="A52" s="18">
        <v>44209</v>
      </c>
      <c r="B52" s="9">
        <v>379.79</v>
      </c>
      <c r="C52" s="11">
        <f t="shared" ref="C52:C115" si="5">AVERAGE(B3:B52)</f>
        <v>364.30359999999996</v>
      </c>
      <c r="D52" t="e">
        <v>#N/A</v>
      </c>
      <c r="E52" s="9"/>
      <c r="F52" s="9"/>
      <c r="G52" s="9">
        <f t="shared" ca="1" si="3"/>
        <v>364.30359999999996</v>
      </c>
      <c r="H52" s="9">
        <f t="shared" ca="1" si="4"/>
        <v>364.30359999999996</v>
      </c>
      <c r="I52" s="12">
        <f ca="1">IF(AND('Data Analysis Addin'!$G52&lt;='Data Analysis Addin'!$H52,G53&gt;H53), 1, 0)</f>
        <v>1</v>
      </c>
      <c r="J52" s="3">
        <f t="shared" ca="1" si="2"/>
        <v>0</v>
      </c>
      <c r="K52" s="19">
        <f>YEAR('Data Analysis Addin'!$A52)</f>
        <v>2021</v>
      </c>
    </row>
    <row r="53" spans="1:11" x14ac:dyDescent="0.4">
      <c r="A53" s="16">
        <v>44210</v>
      </c>
      <c r="B53" s="8">
        <v>378.46</v>
      </c>
      <c r="C53" s="11">
        <f t="shared" si="5"/>
        <v>365.2688</v>
      </c>
      <c r="D53" t="e">
        <v>#N/A</v>
      </c>
      <c r="E53" s="8"/>
      <c r="F53" s="8"/>
      <c r="G53" s="8">
        <f t="shared" ca="1" si="3"/>
        <v>365.2688</v>
      </c>
      <c r="H53" s="8">
        <f t="shared" ca="1" si="4"/>
        <v>364.58117647058816</v>
      </c>
      <c r="I53" s="12">
        <f ca="1">IF(AND('Data Analysis Addin'!$G53&lt;='Data Analysis Addin'!$H53,G54&gt;H54), 1, 0)</f>
        <v>0</v>
      </c>
      <c r="J53" s="2">
        <f t="shared" ca="1" si="2"/>
        <v>0</v>
      </c>
      <c r="K53" s="17">
        <f>YEAR('Data Analysis Addin'!$A53)</f>
        <v>2021</v>
      </c>
    </row>
    <row r="54" spans="1:11" x14ac:dyDescent="0.4">
      <c r="A54" s="18">
        <v>44211</v>
      </c>
      <c r="B54" s="9">
        <v>375.7</v>
      </c>
      <c r="C54" s="11">
        <f t="shared" si="5"/>
        <v>366.06219999999996</v>
      </c>
      <c r="D54" t="e">
        <v>#N/A</v>
      </c>
      <c r="E54" s="9"/>
      <c r="F54" s="9"/>
      <c r="G54" s="9">
        <f t="shared" ca="1" si="3"/>
        <v>366.06219999999996</v>
      </c>
      <c r="H54" s="9">
        <f t="shared" ca="1" si="4"/>
        <v>364.79499999999996</v>
      </c>
      <c r="I54" s="12">
        <f ca="1">IF(AND('Data Analysis Addin'!$G54&lt;='Data Analysis Addin'!$H54,G55&gt;H55), 1, 0)</f>
        <v>0</v>
      </c>
      <c r="J54" s="3">
        <f t="shared" ca="1" si="2"/>
        <v>0</v>
      </c>
      <c r="K54" s="19">
        <f>YEAR('Data Analysis Addin'!$A54)</f>
        <v>2021</v>
      </c>
    </row>
    <row r="55" spans="1:11" x14ac:dyDescent="0.4">
      <c r="A55" s="16">
        <v>44215</v>
      </c>
      <c r="B55" s="8">
        <v>378.65</v>
      </c>
      <c r="C55" s="11">
        <f t="shared" si="5"/>
        <v>366.76440000000002</v>
      </c>
      <c r="D55" t="e">
        <v>#N/A</v>
      </c>
      <c r="E55" s="8"/>
      <c r="F55" s="8"/>
      <c r="G55" s="8">
        <f t="shared" ca="1" si="3"/>
        <v>366.76440000000002</v>
      </c>
      <c r="H55" s="8">
        <f t="shared" ca="1" si="4"/>
        <v>365.05641509433957</v>
      </c>
      <c r="I55" s="12">
        <f ca="1">IF(AND('Data Analysis Addin'!$G55&lt;='Data Analysis Addin'!$H55,G56&gt;H56), 1, 0)</f>
        <v>0</v>
      </c>
      <c r="J55" s="2">
        <f t="shared" ca="1" si="2"/>
        <v>0</v>
      </c>
      <c r="K55" s="17">
        <f>YEAR('Data Analysis Addin'!$A55)</f>
        <v>2021</v>
      </c>
    </row>
    <row r="56" spans="1:11" x14ac:dyDescent="0.4">
      <c r="A56" s="18">
        <v>44216</v>
      </c>
      <c r="B56" s="9">
        <v>383.89</v>
      </c>
      <c r="C56" s="11">
        <f t="shared" si="5"/>
        <v>367.43739999999997</v>
      </c>
      <c r="D56" t="e">
        <v>#N/A</v>
      </c>
      <c r="E56" s="9"/>
      <c r="F56" s="9"/>
      <c r="G56" s="9">
        <f t="shared" ca="1" si="3"/>
        <v>367.43739999999997</v>
      </c>
      <c r="H56" s="9">
        <f t="shared" ca="1" si="4"/>
        <v>365.40518518518513</v>
      </c>
      <c r="I56" s="12">
        <f ca="1">IF(AND('Data Analysis Addin'!$G56&lt;='Data Analysis Addin'!$H56,G57&gt;H57), 1, 0)</f>
        <v>0</v>
      </c>
      <c r="J56" s="3">
        <f t="shared" ca="1" si="2"/>
        <v>0</v>
      </c>
      <c r="K56" s="19">
        <f>YEAR('Data Analysis Addin'!$A56)</f>
        <v>2021</v>
      </c>
    </row>
    <row r="57" spans="1:11" x14ac:dyDescent="0.4">
      <c r="A57" s="16">
        <v>44217</v>
      </c>
      <c r="B57" s="8">
        <v>384.24</v>
      </c>
      <c r="C57" s="11">
        <f t="shared" si="5"/>
        <v>368.11900000000003</v>
      </c>
      <c r="D57" t="e">
        <v>#N/A</v>
      </c>
      <c r="E57" s="8"/>
      <c r="F57" s="8"/>
      <c r="G57" s="8">
        <f t="shared" ca="1" si="3"/>
        <v>368.11900000000003</v>
      </c>
      <c r="H57" s="8">
        <f t="shared" ca="1" si="4"/>
        <v>365.74763636363633</v>
      </c>
      <c r="I57" s="12">
        <f ca="1">IF(AND('Data Analysis Addin'!$G57&lt;='Data Analysis Addin'!$H57,G58&gt;H58), 1, 0)</f>
        <v>0</v>
      </c>
      <c r="J57" s="2">
        <f t="shared" ca="1" si="2"/>
        <v>0</v>
      </c>
      <c r="K57" s="17">
        <f>YEAR('Data Analysis Addin'!$A57)</f>
        <v>2021</v>
      </c>
    </row>
    <row r="58" spans="1:11" x14ac:dyDescent="0.4">
      <c r="A58" s="18">
        <v>44218</v>
      </c>
      <c r="B58" s="9">
        <v>382.88</v>
      </c>
      <c r="C58" s="11">
        <f t="shared" si="5"/>
        <v>368.68540000000007</v>
      </c>
      <c r="D58" t="e">
        <v>#N/A</v>
      </c>
      <c r="E58" s="9"/>
      <c r="F58" s="9"/>
      <c r="G58" s="9">
        <f t="shared" ca="1" si="3"/>
        <v>368.68540000000007</v>
      </c>
      <c r="H58" s="9">
        <f t="shared" ca="1" si="4"/>
        <v>366.05357142857144</v>
      </c>
      <c r="I58" s="12">
        <f ca="1">IF(AND('Data Analysis Addin'!$G58&lt;='Data Analysis Addin'!$H58,G59&gt;H59), 1, 0)</f>
        <v>0</v>
      </c>
      <c r="J58" s="3">
        <f t="shared" ca="1" si="2"/>
        <v>0</v>
      </c>
      <c r="K58" s="19">
        <f>YEAR('Data Analysis Addin'!$A58)</f>
        <v>2021</v>
      </c>
    </row>
    <row r="59" spans="1:11" x14ac:dyDescent="0.4">
      <c r="A59" s="16">
        <v>44221</v>
      </c>
      <c r="B59" s="8">
        <v>384.39</v>
      </c>
      <c r="C59" s="11">
        <f t="shared" si="5"/>
        <v>369.29240000000004</v>
      </c>
      <c r="D59" t="e">
        <v>#N/A</v>
      </c>
      <c r="E59" s="8"/>
      <c r="F59" s="8"/>
      <c r="G59" s="8">
        <f t="shared" ca="1" si="3"/>
        <v>369.29240000000004</v>
      </c>
      <c r="H59" s="8">
        <f t="shared" ca="1" si="4"/>
        <v>366.37526315789472</v>
      </c>
      <c r="I59" s="12">
        <f ca="1">IF(AND('Data Analysis Addin'!$G59&lt;='Data Analysis Addin'!$H59,G60&gt;H60), 1, 0)</f>
        <v>0</v>
      </c>
      <c r="J59" s="2">
        <f t="shared" ca="1" si="2"/>
        <v>0</v>
      </c>
      <c r="K59" s="17">
        <f>YEAR('Data Analysis Addin'!$A59)</f>
        <v>2021</v>
      </c>
    </row>
    <row r="60" spans="1:11" x14ac:dyDescent="0.4">
      <c r="A60" s="18">
        <v>44222</v>
      </c>
      <c r="B60" s="9">
        <v>383.79</v>
      </c>
      <c r="C60" s="11">
        <f t="shared" si="5"/>
        <v>369.83480000000003</v>
      </c>
      <c r="D60" t="e">
        <v>#N/A</v>
      </c>
      <c r="E60" s="9"/>
      <c r="F60" s="9"/>
      <c r="G60" s="9">
        <f t="shared" ca="1" si="3"/>
        <v>369.83480000000003</v>
      </c>
      <c r="H60" s="9">
        <f t="shared" ca="1" si="4"/>
        <v>366.67551724137934</v>
      </c>
      <c r="I60" s="12">
        <f ca="1">IF(AND('Data Analysis Addin'!$G60&lt;='Data Analysis Addin'!$H60,G61&gt;H61), 1, 0)</f>
        <v>0</v>
      </c>
      <c r="J60" s="3">
        <f t="shared" ca="1" si="2"/>
        <v>0</v>
      </c>
      <c r="K60" s="19">
        <f>YEAR('Data Analysis Addin'!$A60)</f>
        <v>2021</v>
      </c>
    </row>
    <row r="61" spans="1:11" x14ac:dyDescent="0.4">
      <c r="A61" s="16">
        <v>44223</v>
      </c>
      <c r="B61" s="8">
        <v>374.41</v>
      </c>
      <c r="C61" s="11">
        <f t="shared" si="5"/>
        <v>370.25880000000006</v>
      </c>
      <c r="D61" t="e">
        <v>#N/A</v>
      </c>
      <c r="E61" s="8"/>
      <c r="F61" s="8"/>
      <c r="G61" s="8">
        <f t="shared" ca="1" si="3"/>
        <v>370.25880000000006</v>
      </c>
      <c r="H61" s="8">
        <f t="shared" ca="1" si="4"/>
        <v>366.80661016949153</v>
      </c>
      <c r="I61" s="12">
        <f ca="1">IF(AND('Data Analysis Addin'!$G61&lt;='Data Analysis Addin'!$H61,G62&gt;H62), 1, 0)</f>
        <v>0</v>
      </c>
      <c r="J61" s="2">
        <f t="shared" ca="1" si="2"/>
        <v>0</v>
      </c>
      <c r="K61" s="17">
        <f>YEAR('Data Analysis Addin'!$A61)</f>
        <v>2021</v>
      </c>
    </row>
    <row r="62" spans="1:11" x14ac:dyDescent="0.4">
      <c r="A62" s="18">
        <v>44224</v>
      </c>
      <c r="B62" s="9">
        <v>377.63</v>
      </c>
      <c r="C62" s="11">
        <f t="shared" si="5"/>
        <v>370.64940000000007</v>
      </c>
      <c r="D62" t="e">
        <v>#N/A</v>
      </c>
      <c r="E62" s="9"/>
      <c r="F62" s="9"/>
      <c r="G62" s="9">
        <f t="shared" ca="1" si="3"/>
        <v>370.64940000000007</v>
      </c>
      <c r="H62" s="9">
        <f t="shared" ca="1" si="4"/>
        <v>366.98700000000002</v>
      </c>
      <c r="I62" s="12">
        <f ca="1">IF(AND('Data Analysis Addin'!$G62&lt;='Data Analysis Addin'!$H62,G63&gt;H63), 1, 0)</f>
        <v>0</v>
      </c>
      <c r="J62" s="3">
        <f t="shared" ca="1" si="2"/>
        <v>0</v>
      </c>
      <c r="K62" s="19">
        <f>YEAR('Data Analysis Addin'!$A62)</f>
        <v>2021</v>
      </c>
    </row>
    <row r="63" spans="1:11" x14ac:dyDescent="0.4">
      <c r="A63" s="16">
        <v>44225</v>
      </c>
      <c r="B63" s="8">
        <v>370.07</v>
      </c>
      <c r="C63" s="11">
        <f t="shared" si="5"/>
        <v>370.79940000000005</v>
      </c>
      <c r="D63" t="e">
        <v>#N/A</v>
      </c>
      <c r="E63" s="8"/>
      <c r="F63" s="8"/>
      <c r="G63" s="8">
        <f t="shared" ca="1" si="3"/>
        <v>370.79940000000005</v>
      </c>
      <c r="H63" s="8">
        <f t="shared" ca="1" si="4"/>
        <v>367.03754098360656</v>
      </c>
      <c r="I63" s="12">
        <f ca="1">IF(AND('Data Analysis Addin'!$G63&lt;='Data Analysis Addin'!$H63,G64&gt;H64), 1, 0)</f>
        <v>0</v>
      </c>
      <c r="J63" s="2">
        <f t="shared" ca="1" si="2"/>
        <v>0</v>
      </c>
      <c r="K63" s="17">
        <f>YEAR('Data Analysis Addin'!$A63)</f>
        <v>2021</v>
      </c>
    </row>
    <row r="64" spans="1:11" x14ac:dyDescent="0.4">
      <c r="A64" s="18">
        <v>44228</v>
      </c>
      <c r="B64" s="9">
        <v>376.23</v>
      </c>
      <c r="C64" s="11">
        <f t="shared" si="5"/>
        <v>371.11160000000001</v>
      </c>
      <c r="D64" t="e">
        <v>#N/A</v>
      </c>
      <c r="E64" s="9"/>
      <c r="F64" s="9"/>
      <c r="G64" s="9">
        <f t="shared" ca="1" si="3"/>
        <v>371.11160000000001</v>
      </c>
      <c r="H64" s="9">
        <f t="shared" ca="1" si="4"/>
        <v>367.1858064516129</v>
      </c>
      <c r="I64" s="12">
        <f ca="1">IF(AND('Data Analysis Addin'!$G64&lt;='Data Analysis Addin'!$H64,G65&gt;H65), 1, 0)</f>
        <v>0</v>
      </c>
      <c r="J64" s="3">
        <f t="shared" ca="1" si="2"/>
        <v>0</v>
      </c>
      <c r="K64" s="19">
        <f>YEAR('Data Analysis Addin'!$A64)</f>
        <v>2021</v>
      </c>
    </row>
    <row r="65" spans="1:11" x14ac:dyDescent="0.4">
      <c r="A65" s="16">
        <v>44229</v>
      </c>
      <c r="B65" s="8">
        <v>381.55</v>
      </c>
      <c r="C65" s="11">
        <f t="shared" si="5"/>
        <v>371.61699999999996</v>
      </c>
      <c r="D65" t="e">
        <v>#N/A</v>
      </c>
      <c r="E65" s="8"/>
      <c r="F65" s="8"/>
      <c r="G65" s="8">
        <f t="shared" ca="1" si="3"/>
        <v>371.61699999999996</v>
      </c>
      <c r="H65" s="8">
        <f t="shared" ca="1" si="4"/>
        <v>367.4138095238095</v>
      </c>
      <c r="I65" s="12">
        <f ca="1">IF(AND('Data Analysis Addin'!$G65&lt;='Data Analysis Addin'!$H65,G66&gt;H66), 1, 0)</f>
        <v>0</v>
      </c>
      <c r="J65" s="2">
        <f t="shared" ca="1" si="2"/>
        <v>0</v>
      </c>
      <c r="K65" s="17">
        <f>YEAR('Data Analysis Addin'!$A65)</f>
        <v>2021</v>
      </c>
    </row>
    <row r="66" spans="1:11" x14ac:dyDescent="0.4">
      <c r="A66" s="18">
        <v>44230</v>
      </c>
      <c r="B66" s="9">
        <v>381.85</v>
      </c>
      <c r="C66" s="11">
        <f t="shared" si="5"/>
        <v>372.09839999999997</v>
      </c>
      <c r="D66" t="e">
        <v>#N/A</v>
      </c>
      <c r="E66" s="9"/>
      <c r="F66" s="9"/>
      <c r="G66" s="9">
        <f t="shared" ca="1" si="3"/>
        <v>372.09839999999997</v>
      </c>
      <c r="H66" s="9">
        <f t="shared" ca="1" si="4"/>
        <v>367.63937499999997</v>
      </c>
      <c r="I66" s="12">
        <f ca="1">IF(AND('Data Analysis Addin'!$G66&lt;='Data Analysis Addin'!$H66,G67&gt;H67), 1, 0)</f>
        <v>0</v>
      </c>
      <c r="J66" s="3">
        <f t="shared" ca="1" si="2"/>
        <v>0</v>
      </c>
      <c r="K66" s="19">
        <f>YEAR('Data Analysis Addin'!$A66)</f>
        <v>2021</v>
      </c>
    </row>
    <row r="67" spans="1:11" x14ac:dyDescent="0.4">
      <c r="A67" s="16">
        <v>44231</v>
      </c>
      <c r="B67" s="8">
        <v>386.19</v>
      </c>
      <c r="C67" s="11">
        <f t="shared" si="5"/>
        <v>372.71559999999988</v>
      </c>
      <c r="D67" t="e">
        <v>#N/A</v>
      </c>
      <c r="E67" s="8"/>
      <c r="F67" s="8"/>
      <c r="G67" s="8">
        <f t="shared" ref="G67:G130" ca="1" si="6">AVERAGE(OFFSET($B67,0,0,-(MIN(ROW()-ROW($B$3)+1,n_50)),1))</f>
        <v>372.71559999999988</v>
      </c>
      <c r="H67" s="8">
        <f t="shared" ref="H67:H130" ca="1" si="7">AVERAGE(OFFSET($B67,0,0,-(MIN(ROW()-ROW($B$3)+1,n_200)),1))</f>
        <v>367.92476923076919</v>
      </c>
      <c r="I67" s="12">
        <f ca="1">IF(AND('Data Analysis Addin'!$G67&lt;='Data Analysis Addin'!$H67,G68&gt;H68), 1, 0)</f>
        <v>0</v>
      </c>
      <c r="J67" s="2">
        <f t="shared" ref="J67:J130" ca="1" si="8">IF($G67&lt;$H67,1,0)</f>
        <v>0</v>
      </c>
      <c r="K67" s="17">
        <f>YEAR('Data Analysis Addin'!$A67)</f>
        <v>2021</v>
      </c>
    </row>
    <row r="68" spans="1:11" x14ac:dyDescent="0.4">
      <c r="A68" s="18">
        <v>44232</v>
      </c>
      <c r="B68" s="9">
        <v>387.71</v>
      </c>
      <c r="C68" s="11">
        <f t="shared" si="5"/>
        <v>373.32059999999984</v>
      </c>
      <c r="D68" t="e">
        <v>#N/A</v>
      </c>
      <c r="E68" s="9"/>
      <c r="F68" s="9"/>
      <c r="G68" s="9">
        <f t="shared" ca="1" si="6"/>
        <v>373.32059999999984</v>
      </c>
      <c r="H68" s="9">
        <f t="shared" ca="1" si="7"/>
        <v>368.22454545454542</v>
      </c>
      <c r="I68" s="12">
        <f ca="1">IF(AND('Data Analysis Addin'!$G68&lt;='Data Analysis Addin'!$H68,G69&gt;H69), 1, 0)</f>
        <v>0</v>
      </c>
      <c r="J68" s="3">
        <f t="shared" ca="1" si="8"/>
        <v>0</v>
      </c>
      <c r="K68" s="19">
        <f>YEAR('Data Analysis Addin'!$A68)</f>
        <v>2021</v>
      </c>
    </row>
    <row r="69" spans="1:11" x14ac:dyDescent="0.4">
      <c r="A69" s="16">
        <v>44235</v>
      </c>
      <c r="B69" s="8">
        <v>390.51</v>
      </c>
      <c r="C69" s="11">
        <f t="shared" si="5"/>
        <v>373.86639999999983</v>
      </c>
      <c r="D69" t="e">
        <v>#N/A</v>
      </c>
      <c r="E69" s="8"/>
      <c r="F69" s="8"/>
      <c r="G69" s="8">
        <f t="shared" ca="1" si="6"/>
        <v>373.86639999999983</v>
      </c>
      <c r="H69" s="8">
        <f t="shared" ca="1" si="7"/>
        <v>368.5571641791044</v>
      </c>
      <c r="I69" s="12">
        <f ca="1">IF(AND('Data Analysis Addin'!$G69&lt;='Data Analysis Addin'!$H69,G70&gt;H70), 1, 0)</f>
        <v>0</v>
      </c>
      <c r="J69" s="2">
        <f t="shared" ca="1" si="8"/>
        <v>0</v>
      </c>
      <c r="K69" s="17">
        <f>YEAR('Data Analysis Addin'!$A69)</f>
        <v>2021</v>
      </c>
    </row>
    <row r="70" spans="1:11" x14ac:dyDescent="0.4">
      <c r="A70" s="18">
        <v>44236</v>
      </c>
      <c r="B70" s="9">
        <v>390.25</v>
      </c>
      <c r="C70" s="11">
        <f t="shared" si="5"/>
        <v>374.41819999999984</v>
      </c>
      <c r="D70" t="e">
        <v>#N/A</v>
      </c>
      <c r="E70" s="9"/>
      <c r="F70" s="9"/>
      <c r="G70" s="9">
        <f t="shared" ca="1" si="6"/>
        <v>374.41819999999984</v>
      </c>
      <c r="H70" s="9">
        <f t="shared" ca="1" si="7"/>
        <v>368.87617647058818</v>
      </c>
      <c r="I70" s="12">
        <f ca="1">IF(AND('Data Analysis Addin'!$G70&lt;='Data Analysis Addin'!$H70,G71&gt;H71), 1, 0)</f>
        <v>0</v>
      </c>
      <c r="J70" s="3">
        <f t="shared" ca="1" si="8"/>
        <v>0</v>
      </c>
      <c r="K70" s="19">
        <f>YEAR('Data Analysis Addin'!$A70)</f>
        <v>2021</v>
      </c>
    </row>
    <row r="71" spans="1:11" x14ac:dyDescent="0.4">
      <c r="A71" s="16">
        <v>44237</v>
      </c>
      <c r="B71" s="8">
        <v>390.08</v>
      </c>
      <c r="C71" s="11">
        <f t="shared" si="5"/>
        <v>374.94639999999993</v>
      </c>
      <c r="D71" t="e">
        <v>#N/A</v>
      </c>
      <c r="E71" s="8"/>
      <c r="F71" s="8"/>
      <c r="G71" s="8">
        <f t="shared" ca="1" si="6"/>
        <v>374.94639999999993</v>
      </c>
      <c r="H71" s="8">
        <f t="shared" ca="1" si="7"/>
        <v>369.18347826086949</v>
      </c>
      <c r="I71" s="12">
        <f ca="1">IF(AND('Data Analysis Addin'!$G71&lt;='Data Analysis Addin'!$H71,G72&gt;H72), 1, 0)</f>
        <v>0</v>
      </c>
      <c r="J71" s="2">
        <f t="shared" ca="1" si="8"/>
        <v>0</v>
      </c>
      <c r="K71" s="17">
        <f>YEAR('Data Analysis Addin'!$A71)</f>
        <v>2021</v>
      </c>
    </row>
    <row r="72" spans="1:11" x14ac:dyDescent="0.4">
      <c r="A72" s="18">
        <v>44238</v>
      </c>
      <c r="B72" s="9">
        <v>390.71</v>
      </c>
      <c r="C72" s="11">
        <f t="shared" si="5"/>
        <v>375.51939999999991</v>
      </c>
      <c r="D72" t="e">
        <v>#N/A</v>
      </c>
      <c r="E72" s="9"/>
      <c r="F72" s="9"/>
      <c r="G72" s="9">
        <f t="shared" ca="1" si="6"/>
        <v>375.51939999999991</v>
      </c>
      <c r="H72" s="9">
        <f t="shared" ca="1" si="7"/>
        <v>369.49099999999993</v>
      </c>
      <c r="I72" s="12">
        <f ca="1">IF(AND('Data Analysis Addin'!$G72&lt;='Data Analysis Addin'!$H72,G73&gt;H73), 1, 0)</f>
        <v>0</v>
      </c>
      <c r="J72" s="3">
        <f t="shared" ca="1" si="8"/>
        <v>0</v>
      </c>
      <c r="K72" s="19">
        <f>YEAR('Data Analysis Addin'!$A72)</f>
        <v>2021</v>
      </c>
    </row>
    <row r="73" spans="1:11" x14ac:dyDescent="0.4">
      <c r="A73" s="16">
        <v>44239</v>
      </c>
      <c r="B73" s="8">
        <v>392.64</v>
      </c>
      <c r="C73" s="11">
        <f t="shared" si="5"/>
        <v>376.05179999999996</v>
      </c>
      <c r="D73" t="e">
        <v>#N/A</v>
      </c>
      <c r="E73" s="8"/>
      <c r="F73" s="8"/>
      <c r="G73" s="8">
        <f t="shared" ca="1" si="6"/>
        <v>376.05179999999996</v>
      </c>
      <c r="H73" s="8">
        <f t="shared" ca="1" si="7"/>
        <v>369.81704225352104</v>
      </c>
      <c r="I73" s="12">
        <f ca="1">IF(AND('Data Analysis Addin'!$G73&lt;='Data Analysis Addin'!$H73,G74&gt;H74), 1, 0)</f>
        <v>0</v>
      </c>
      <c r="J73" s="2">
        <f t="shared" ca="1" si="8"/>
        <v>0</v>
      </c>
      <c r="K73" s="17">
        <f>YEAR('Data Analysis Addin'!$A73)</f>
        <v>2021</v>
      </c>
    </row>
    <row r="74" spans="1:11" x14ac:dyDescent="0.4">
      <c r="A74" s="18">
        <v>44243</v>
      </c>
      <c r="B74" s="9">
        <v>392.3</v>
      </c>
      <c r="C74" s="11">
        <f t="shared" si="5"/>
        <v>376.5619999999999</v>
      </c>
      <c r="D74" t="e">
        <v>#N/A</v>
      </c>
      <c r="E74" s="9"/>
      <c r="F74" s="9"/>
      <c r="G74" s="9">
        <f t="shared" ca="1" si="6"/>
        <v>376.5619999999999</v>
      </c>
      <c r="H74" s="9">
        <f t="shared" ca="1" si="7"/>
        <v>370.12930555555545</v>
      </c>
      <c r="I74" s="12">
        <f ca="1">IF(AND('Data Analysis Addin'!$G74&lt;='Data Analysis Addin'!$H74,G75&gt;H75), 1, 0)</f>
        <v>0</v>
      </c>
      <c r="J74" s="3">
        <f t="shared" ca="1" si="8"/>
        <v>0</v>
      </c>
      <c r="K74" s="19">
        <f>YEAR('Data Analysis Addin'!$A74)</f>
        <v>2021</v>
      </c>
    </row>
    <row r="75" spans="1:11" x14ac:dyDescent="0.4">
      <c r="A75" s="16">
        <v>44244</v>
      </c>
      <c r="B75" s="8">
        <v>392.39</v>
      </c>
      <c r="C75" s="11">
        <f t="shared" si="5"/>
        <v>377.07599999999991</v>
      </c>
      <c r="D75" t="e">
        <v>#N/A</v>
      </c>
      <c r="E75" s="8"/>
      <c r="F75" s="8"/>
      <c r="G75" s="8">
        <f t="shared" ca="1" si="6"/>
        <v>377.07599999999991</v>
      </c>
      <c r="H75" s="8">
        <f t="shared" ca="1" si="7"/>
        <v>370.4342465753424</v>
      </c>
      <c r="I75" s="12">
        <f ca="1">IF(AND('Data Analysis Addin'!$G75&lt;='Data Analysis Addin'!$H75,G76&gt;H76), 1, 0)</f>
        <v>0</v>
      </c>
      <c r="J75" s="2">
        <f t="shared" ca="1" si="8"/>
        <v>0</v>
      </c>
      <c r="K75" s="17">
        <f>YEAR('Data Analysis Addin'!$A75)</f>
        <v>2021</v>
      </c>
    </row>
    <row r="76" spans="1:11" x14ac:dyDescent="0.4">
      <c r="A76" s="18">
        <v>44245</v>
      </c>
      <c r="B76" s="9">
        <v>390.72</v>
      </c>
      <c r="C76" s="11">
        <f t="shared" si="5"/>
        <v>377.49339999999995</v>
      </c>
      <c r="D76" t="e">
        <v>#N/A</v>
      </c>
      <c r="E76" s="9"/>
      <c r="F76" s="9"/>
      <c r="G76" s="9">
        <f t="shared" ca="1" si="6"/>
        <v>377.49339999999995</v>
      </c>
      <c r="H76" s="9">
        <f t="shared" ca="1" si="7"/>
        <v>370.70837837837831</v>
      </c>
      <c r="I76" s="12">
        <f ca="1">IF(AND('Data Analysis Addin'!$G76&lt;='Data Analysis Addin'!$H76,G77&gt;H77), 1, 0)</f>
        <v>0</v>
      </c>
      <c r="J76" s="3">
        <f t="shared" ca="1" si="8"/>
        <v>0</v>
      </c>
      <c r="K76" s="19">
        <f>YEAR('Data Analysis Addin'!$A76)</f>
        <v>2021</v>
      </c>
    </row>
    <row r="77" spans="1:11" x14ac:dyDescent="0.4">
      <c r="A77" s="16">
        <v>44246</v>
      </c>
      <c r="B77" s="8">
        <v>390.03</v>
      </c>
      <c r="C77" s="11">
        <f t="shared" si="5"/>
        <v>377.91219999999993</v>
      </c>
      <c r="D77" t="e">
        <v>#N/A</v>
      </c>
      <c r="E77" s="8"/>
      <c r="F77" s="8"/>
      <c r="G77" s="8">
        <f t="shared" ca="1" si="6"/>
        <v>377.91219999999993</v>
      </c>
      <c r="H77" s="8">
        <f t="shared" ca="1" si="7"/>
        <v>370.96599999999989</v>
      </c>
      <c r="I77" s="12">
        <f ca="1">IF(AND('Data Analysis Addin'!$G77&lt;='Data Analysis Addin'!$H77,G78&gt;H78), 1, 0)</f>
        <v>0</v>
      </c>
      <c r="J77" s="2">
        <f t="shared" ca="1" si="8"/>
        <v>0</v>
      </c>
      <c r="K77" s="17">
        <f>YEAR('Data Analysis Addin'!$A77)</f>
        <v>2021</v>
      </c>
    </row>
    <row r="78" spans="1:11" x14ac:dyDescent="0.4">
      <c r="A78" s="18">
        <v>44249</v>
      </c>
      <c r="B78" s="9">
        <v>387.03</v>
      </c>
      <c r="C78" s="11">
        <f t="shared" si="5"/>
        <v>378.24939999999987</v>
      </c>
      <c r="D78" t="e">
        <v>#N/A</v>
      </c>
      <c r="E78" s="9"/>
      <c r="F78" s="9"/>
      <c r="G78" s="9">
        <f t="shared" ca="1" si="6"/>
        <v>378.24939999999987</v>
      </c>
      <c r="H78" s="9">
        <f t="shared" ca="1" si="7"/>
        <v>371.17736842105251</v>
      </c>
      <c r="I78" s="12">
        <f ca="1">IF(AND('Data Analysis Addin'!$G78&lt;='Data Analysis Addin'!$H78,G79&gt;H79), 1, 0)</f>
        <v>0</v>
      </c>
      <c r="J78" s="3">
        <f t="shared" ca="1" si="8"/>
        <v>0</v>
      </c>
      <c r="K78" s="19">
        <f>YEAR('Data Analysis Addin'!$A78)</f>
        <v>2021</v>
      </c>
    </row>
    <row r="79" spans="1:11" x14ac:dyDescent="0.4">
      <c r="A79" s="16">
        <v>44250</v>
      </c>
      <c r="B79" s="8">
        <v>387.5</v>
      </c>
      <c r="C79" s="11">
        <f t="shared" si="5"/>
        <v>378.66239999999993</v>
      </c>
      <c r="D79" t="e">
        <v>#N/A</v>
      </c>
      <c r="E79" s="8"/>
      <c r="F79" s="8"/>
      <c r="G79" s="8">
        <f t="shared" ca="1" si="6"/>
        <v>378.66239999999993</v>
      </c>
      <c r="H79" s="8">
        <f t="shared" ca="1" si="7"/>
        <v>371.38935064935055</v>
      </c>
      <c r="I79" s="12">
        <f ca="1">IF(AND('Data Analysis Addin'!$G79&lt;='Data Analysis Addin'!$H79,G80&gt;H80), 1, 0)</f>
        <v>0</v>
      </c>
      <c r="J79" s="2">
        <f t="shared" ca="1" si="8"/>
        <v>0</v>
      </c>
      <c r="K79" s="17">
        <f>YEAR('Data Analysis Addin'!$A79)</f>
        <v>2021</v>
      </c>
    </row>
    <row r="80" spans="1:11" x14ac:dyDescent="0.4">
      <c r="A80" s="18">
        <v>44251</v>
      </c>
      <c r="B80" s="9">
        <v>391.77</v>
      </c>
      <c r="C80" s="11">
        <f t="shared" si="5"/>
        <v>379.16319999999985</v>
      </c>
      <c r="D80" t="e">
        <v>#N/A</v>
      </c>
      <c r="E80" s="9"/>
      <c r="F80" s="9"/>
      <c r="G80" s="9">
        <f t="shared" ca="1" si="6"/>
        <v>379.16319999999985</v>
      </c>
      <c r="H80" s="9">
        <f t="shared" ca="1" si="7"/>
        <v>371.65064102564094</v>
      </c>
      <c r="I80" s="12">
        <f ca="1">IF(AND('Data Analysis Addin'!$G80&lt;='Data Analysis Addin'!$H80,G81&gt;H81), 1, 0)</f>
        <v>0</v>
      </c>
      <c r="J80" s="3">
        <f t="shared" ca="1" si="8"/>
        <v>0</v>
      </c>
      <c r="K80" s="19">
        <f>YEAR('Data Analysis Addin'!$A80)</f>
        <v>2021</v>
      </c>
    </row>
    <row r="81" spans="1:11" x14ac:dyDescent="0.4">
      <c r="A81" s="16">
        <v>44252</v>
      </c>
      <c r="B81" s="8">
        <v>382.33</v>
      </c>
      <c r="C81" s="11">
        <f t="shared" si="5"/>
        <v>379.48379999999997</v>
      </c>
      <c r="D81" t="e">
        <v>#N/A</v>
      </c>
      <c r="E81" s="8"/>
      <c r="F81" s="8"/>
      <c r="G81" s="8">
        <f t="shared" ca="1" si="6"/>
        <v>379.48379999999997</v>
      </c>
      <c r="H81" s="8">
        <f t="shared" ca="1" si="7"/>
        <v>371.78582278481008</v>
      </c>
      <c r="I81" s="12">
        <f ca="1">IF(AND('Data Analysis Addin'!$G81&lt;='Data Analysis Addin'!$H81,G82&gt;H82), 1, 0)</f>
        <v>0</v>
      </c>
      <c r="J81" s="2">
        <f t="shared" ca="1" si="8"/>
        <v>0</v>
      </c>
      <c r="K81" s="17">
        <f>YEAR('Data Analysis Addin'!$A81)</f>
        <v>2021</v>
      </c>
    </row>
    <row r="82" spans="1:11" x14ac:dyDescent="0.4">
      <c r="A82" s="18">
        <v>44253</v>
      </c>
      <c r="B82" s="9">
        <v>380.36</v>
      </c>
      <c r="C82" s="11">
        <f t="shared" si="5"/>
        <v>379.79779999999994</v>
      </c>
      <c r="D82" t="e">
        <v>#N/A</v>
      </c>
      <c r="E82" s="9"/>
      <c r="F82" s="9"/>
      <c r="G82" s="9">
        <f t="shared" ca="1" si="6"/>
        <v>379.79779999999994</v>
      </c>
      <c r="H82" s="9">
        <f t="shared" ca="1" si="7"/>
        <v>371.89299999999992</v>
      </c>
      <c r="I82" s="12">
        <f ca="1">IF(AND('Data Analysis Addin'!$G82&lt;='Data Analysis Addin'!$H82,G83&gt;H83), 1, 0)</f>
        <v>0</v>
      </c>
      <c r="J82" s="3">
        <f t="shared" ca="1" si="8"/>
        <v>0</v>
      </c>
      <c r="K82" s="19">
        <f>YEAR('Data Analysis Addin'!$A82)</f>
        <v>2021</v>
      </c>
    </row>
    <row r="83" spans="1:11" x14ac:dyDescent="0.4">
      <c r="A83" s="16">
        <v>44256</v>
      </c>
      <c r="B83" s="8">
        <v>389.58</v>
      </c>
      <c r="C83" s="11">
        <f t="shared" si="5"/>
        <v>380.19759999999997</v>
      </c>
      <c r="D83" t="e">
        <v>#N/A</v>
      </c>
      <c r="E83" s="8"/>
      <c r="F83" s="8"/>
      <c r="G83" s="8">
        <f t="shared" ca="1" si="6"/>
        <v>380.19759999999997</v>
      </c>
      <c r="H83" s="8">
        <f t="shared" ca="1" si="7"/>
        <v>372.1113580246913</v>
      </c>
      <c r="I83" s="12">
        <f ca="1">IF(AND('Data Analysis Addin'!$G83&lt;='Data Analysis Addin'!$H83,G84&gt;H84), 1, 0)</f>
        <v>0</v>
      </c>
      <c r="J83" s="2">
        <f t="shared" ca="1" si="8"/>
        <v>0</v>
      </c>
      <c r="K83" s="17">
        <f>YEAR('Data Analysis Addin'!$A83)</f>
        <v>2021</v>
      </c>
    </row>
    <row r="84" spans="1:11" x14ac:dyDescent="0.4">
      <c r="A84" s="18">
        <v>44257</v>
      </c>
      <c r="B84" s="9">
        <v>386.54</v>
      </c>
      <c r="C84" s="11">
        <f t="shared" si="5"/>
        <v>380.52499999999998</v>
      </c>
      <c r="D84" t="e">
        <v>#N/A</v>
      </c>
      <c r="E84" s="9"/>
      <c r="F84" s="9"/>
      <c r="G84" s="9">
        <f t="shared" ca="1" si="6"/>
        <v>380.52499999999998</v>
      </c>
      <c r="H84" s="9">
        <f t="shared" ca="1" si="7"/>
        <v>372.2873170731707</v>
      </c>
      <c r="I84" s="12">
        <f ca="1">IF(AND('Data Analysis Addin'!$G84&lt;='Data Analysis Addin'!$H84,G85&gt;H85), 1, 0)</f>
        <v>0</v>
      </c>
      <c r="J84" s="3">
        <f t="shared" ca="1" si="8"/>
        <v>0</v>
      </c>
      <c r="K84" s="19">
        <f>YEAR('Data Analysis Addin'!$A84)</f>
        <v>2021</v>
      </c>
    </row>
    <row r="85" spans="1:11" x14ac:dyDescent="0.4">
      <c r="A85" s="16">
        <v>44258</v>
      </c>
      <c r="B85" s="8">
        <v>381.42</v>
      </c>
      <c r="C85" s="11">
        <f t="shared" si="5"/>
        <v>380.70859999999993</v>
      </c>
      <c r="D85" t="e">
        <v>#N/A</v>
      </c>
      <c r="E85" s="8"/>
      <c r="F85" s="8"/>
      <c r="G85" s="8">
        <f t="shared" ca="1" si="6"/>
        <v>380.70859999999993</v>
      </c>
      <c r="H85" s="8">
        <f t="shared" ca="1" si="7"/>
        <v>372.39734939759029</v>
      </c>
      <c r="I85" s="12">
        <f ca="1">IF(AND('Data Analysis Addin'!$G85&lt;='Data Analysis Addin'!$H85,G86&gt;H86), 1, 0)</f>
        <v>0</v>
      </c>
      <c r="J85" s="2">
        <f t="shared" ca="1" si="8"/>
        <v>0</v>
      </c>
      <c r="K85" s="17">
        <f>YEAR('Data Analysis Addin'!$A85)</f>
        <v>2021</v>
      </c>
    </row>
    <row r="86" spans="1:11" x14ac:dyDescent="0.4">
      <c r="A86" s="18">
        <v>44259</v>
      </c>
      <c r="B86" s="9">
        <v>376.7</v>
      </c>
      <c r="C86" s="11">
        <f t="shared" si="5"/>
        <v>380.85899999999992</v>
      </c>
      <c r="D86" t="e">
        <v>#N/A</v>
      </c>
      <c r="E86" s="9"/>
      <c r="F86" s="9"/>
      <c r="G86" s="9">
        <f t="shared" ca="1" si="6"/>
        <v>380.85899999999992</v>
      </c>
      <c r="H86" s="9">
        <f t="shared" ca="1" si="7"/>
        <v>372.44857142857137</v>
      </c>
      <c r="I86" s="12">
        <f ca="1">IF(AND('Data Analysis Addin'!$G86&lt;='Data Analysis Addin'!$H86,G87&gt;H87), 1, 0)</f>
        <v>0</v>
      </c>
      <c r="J86" s="3">
        <f t="shared" ca="1" si="8"/>
        <v>0</v>
      </c>
      <c r="K86" s="19">
        <f>YEAR('Data Analysis Addin'!$A86)</f>
        <v>2021</v>
      </c>
    </row>
    <row r="87" spans="1:11" x14ac:dyDescent="0.4">
      <c r="A87" s="16">
        <v>44260</v>
      </c>
      <c r="B87" s="8">
        <v>383.63</v>
      </c>
      <c r="C87" s="11">
        <f t="shared" si="5"/>
        <v>381.17440000000005</v>
      </c>
      <c r="D87" t="e">
        <v>#N/A</v>
      </c>
      <c r="E87" s="8"/>
      <c r="F87" s="8"/>
      <c r="G87" s="8">
        <f t="shared" ca="1" si="6"/>
        <v>381.17440000000005</v>
      </c>
      <c r="H87" s="8">
        <f t="shared" ca="1" si="7"/>
        <v>372.58011764705878</v>
      </c>
      <c r="I87" s="12">
        <f ca="1">IF(AND('Data Analysis Addin'!$G87&lt;='Data Analysis Addin'!$H87,G88&gt;H88), 1, 0)</f>
        <v>0</v>
      </c>
      <c r="J87" s="2">
        <f t="shared" ca="1" si="8"/>
        <v>0</v>
      </c>
      <c r="K87" s="17">
        <f>YEAR('Data Analysis Addin'!$A87)</f>
        <v>2021</v>
      </c>
    </row>
    <row r="88" spans="1:11" x14ac:dyDescent="0.4">
      <c r="A88" s="18">
        <v>44263</v>
      </c>
      <c r="B88" s="9">
        <v>381.72</v>
      </c>
      <c r="C88" s="11">
        <f t="shared" si="5"/>
        <v>381.464</v>
      </c>
      <c r="D88" t="e">
        <v>#N/A</v>
      </c>
      <c r="E88" s="9"/>
      <c r="F88" s="9"/>
      <c r="G88" s="9">
        <f t="shared" ca="1" si="6"/>
        <v>381.464</v>
      </c>
      <c r="H88" s="9">
        <f t="shared" ca="1" si="7"/>
        <v>372.68639534883721</v>
      </c>
      <c r="I88" s="12">
        <f ca="1">IF(AND('Data Analysis Addin'!$G88&lt;='Data Analysis Addin'!$H88,G89&gt;H89), 1, 0)</f>
        <v>0</v>
      </c>
      <c r="J88" s="3">
        <f t="shared" ca="1" si="8"/>
        <v>0</v>
      </c>
      <c r="K88" s="19">
        <f>YEAR('Data Analysis Addin'!$A88)</f>
        <v>2021</v>
      </c>
    </row>
    <row r="89" spans="1:11" x14ac:dyDescent="0.4">
      <c r="A89" s="16">
        <v>44264</v>
      </c>
      <c r="B89" s="8">
        <v>387.17</v>
      </c>
      <c r="C89" s="11">
        <f t="shared" si="5"/>
        <v>381.85599999999999</v>
      </c>
      <c r="D89" t="e">
        <v>#N/A</v>
      </c>
      <c r="E89" s="8"/>
      <c r="F89" s="8"/>
      <c r="G89" s="8">
        <f t="shared" ca="1" si="6"/>
        <v>381.85599999999999</v>
      </c>
      <c r="H89" s="8">
        <f t="shared" ca="1" si="7"/>
        <v>372.85287356321834</v>
      </c>
      <c r="I89" s="12">
        <f ca="1">IF(AND('Data Analysis Addin'!$G89&lt;='Data Analysis Addin'!$H89,G90&gt;H90), 1, 0)</f>
        <v>0</v>
      </c>
      <c r="J89" s="2">
        <f t="shared" ca="1" si="8"/>
        <v>0</v>
      </c>
      <c r="K89" s="17">
        <f>YEAR('Data Analysis Addin'!$A89)</f>
        <v>2021</v>
      </c>
    </row>
    <row r="90" spans="1:11" x14ac:dyDescent="0.4">
      <c r="A90" s="18">
        <v>44265</v>
      </c>
      <c r="B90" s="9">
        <v>389.58</v>
      </c>
      <c r="C90" s="11">
        <f t="shared" si="5"/>
        <v>382.26760000000002</v>
      </c>
      <c r="D90" t="e">
        <v>#N/A</v>
      </c>
      <c r="E90" s="9"/>
      <c r="F90" s="9"/>
      <c r="G90" s="9">
        <f t="shared" ca="1" si="6"/>
        <v>382.26760000000002</v>
      </c>
      <c r="H90" s="9">
        <f t="shared" ca="1" si="7"/>
        <v>373.04295454545451</v>
      </c>
      <c r="I90" s="12">
        <f ca="1">IF(AND('Data Analysis Addin'!$G90&lt;='Data Analysis Addin'!$H90,G91&gt;H91), 1, 0)</f>
        <v>0</v>
      </c>
      <c r="J90" s="3">
        <f t="shared" ca="1" si="8"/>
        <v>0</v>
      </c>
      <c r="K90" s="19">
        <f>YEAR('Data Analysis Addin'!$A90)</f>
        <v>2021</v>
      </c>
    </row>
    <row r="91" spans="1:11" x14ac:dyDescent="0.4">
      <c r="A91" s="16">
        <v>44266</v>
      </c>
      <c r="B91" s="8">
        <v>393.53</v>
      </c>
      <c r="C91" s="11">
        <f t="shared" si="5"/>
        <v>382.69479999999999</v>
      </c>
      <c r="D91" t="e">
        <v>#N/A</v>
      </c>
      <c r="E91" s="8"/>
      <c r="F91" s="8"/>
      <c r="G91" s="8">
        <f t="shared" ca="1" si="6"/>
        <v>382.69479999999999</v>
      </c>
      <c r="H91" s="8">
        <f t="shared" ca="1" si="7"/>
        <v>373.27314606741572</v>
      </c>
      <c r="I91" s="12">
        <f ca="1">IF(AND('Data Analysis Addin'!$G91&lt;='Data Analysis Addin'!$H91,G92&gt;H92), 1, 0)</f>
        <v>0</v>
      </c>
      <c r="J91" s="2">
        <f t="shared" ca="1" si="8"/>
        <v>0</v>
      </c>
      <c r="K91" s="17">
        <f>YEAR('Data Analysis Addin'!$A91)</f>
        <v>2021</v>
      </c>
    </row>
    <row r="92" spans="1:11" x14ac:dyDescent="0.4">
      <c r="A92" s="18">
        <v>44267</v>
      </c>
      <c r="B92" s="9">
        <v>394.06</v>
      </c>
      <c r="C92" s="11">
        <f t="shared" si="5"/>
        <v>383.14679999999998</v>
      </c>
      <c r="D92" t="e">
        <v>#N/A</v>
      </c>
      <c r="E92" s="9"/>
      <c r="F92" s="9"/>
      <c r="G92" s="9">
        <f t="shared" ca="1" si="6"/>
        <v>383.14679999999998</v>
      </c>
      <c r="H92" s="9">
        <f t="shared" ca="1" si="7"/>
        <v>373.50411111111106</v>
      </c>
      <c r="I92" s="12">
        <f ca="1">IF(AND('Data Analysis Addin'!$G92&lt;='Data Analysis Addin'!$H92,G93&gt;H93), 1, 0)</f>
        <v>0</v>
      </c>
      <c r="J92" s="3">
        <f t="shared" ca="1" si="8"/>
        <v>0</v>
      </c>
      <c r="K92" s="19">
        <f>YEAR('Data Analysis Addin'!$A92)</f>
        <v>2021</v>
      </c>
    </row>
    <row r="93" spans="1:11" x14ac:dyDescent="0.4">
      <c r="A93" s="16">
        <v>44270</v>
      </c>
      <c r="B93" s="8">
        <v>396.41</v>
      </c>
      <c r="C93" s="11">
        <f t="shared" si="5"/>
        <v>383.63520000000005</v>
      </c>
      <c r="D93" t="e">
        <v>#N/A</v>
      </c>
      <c r="E93" s="8"/>
      <c r="F93" s="8"/>
      <c r="G93" s="8">
        <f t="shared" ca="1" si="6"/>
        <v>383.63520000000005</v>
      </c>
      <c r="H93" s="8">
        <f t="shared" ca="1" si="7"/>
        <v>373.75582417582416</v>
      </c>
      <c r="I93" s="12">
        <f ca="1">IF(AND('Data Analysis Addin'!$G93&lt;='Data Analysis Addin'!$H93,G94&gt;H94), 1, 0)</f>
        <v>0</v>
      </c>
      <c r="J93" s="2">
        <f t="shared" ca="1" si="8"/>
        <v>0</v>
      </c>
      <c r="K93" s="17">
        <f>YEAR('Data Analysis Addin'!$A93)</f>
        <v>2021</v>
      </c>
    </row>
    <row r="94" spans="1:11" x14ac:dyDescent="0.4">
      <c r="A94" s="18">
        <v>44271</v>
      </c>
      <c r="B94" s="9">
        <v>395.91</v>
      </c>
      <c r="C94" s="11">
        <f t="shared" si="5"/>
        <v>384.07580000000002</v>
      </c>
      <c r="D94" t="e">
        <v>#N/A</v>
      </c>
      <c r="E94" s="9"/>
      <c r="F94" s="9"/>
      <c r="G94" s="9">
        <f t="shared" ca="1" si="6"/>
        <v>384.07580000000002</v>
      </c>
      <c r="H94" s="9">
        <f t="shared" ca="1" si="7"/>
        <v>373.99663043478262</v>
      </c>
      <c r="I94" s="12">
        <f ca="1">IF(AND('Data Analysis Addin'!$G94&lt;='Data Analysis Addin'!$H94,G95&gt;H95), 1, 0)</f>
        <v>0</v>
      </c>
      <c r="J94" s="3">
        <f t="shared" ca="1" si="8"/>
        <v>0</v>
      </c>
      <c r="K94" s="19">
        <f>YEAR('Data Analysis Addin'!$A94)</f>
        <v>2021</v>
      </c>
    </row>
    <row r="95" spans="1:11" x14ac:dyDescent="0.4">
      <c r="A95" s="16">
        <v>44272</v>
      </c>
      <c r="B95" s="8">
        <v>397.26</v>
      </c>
      <c r="C95" s="11">
        <f t="shared" si="5"/>
        <v>384.64519999999999</v>
      </c>
      <c r="D95" t="e">
        <v>#N/A</v>
      </c>
      <c r="E95" s="8"/>
      <c r="F95" s="8"/>
      <c r="G95" s="8">
        <f t="shared" ca="1" si="6"/>
        <v>384.64519999999999</v>
      </c>
      <c r="H95" s="8">
        <f t="shared" ca="1" si="7"/>
        <v>374.24677419354845</v>
      </c>
      <c r="I95" s="12">
        <f ca="1">IF(AND('Data Analysis Addin'!$G95&lt;='Data Analysis Addin'!$H95,G96&gt;H96), 1, 0)</f>
        <v>0</v>
      </c>
      <c r="J95" s="2">
        <f t="shared" ca="1" si="8"/>
        <v>0</v>
      </c>
      <c r="K95" s="17">
        <f>YEAR('Data Analysis Addin'!$A95)</f>
        <v>2021</v>
      </c>
    </row>
    <row r="96" spans="1:11" x14ac:dyDescent="0.4">
      <c r="A96" s="18">
        <v>44273</v>
      </c>
      <c r="B96" s="9">
        <v>391.48</v>
      </c>
      <c r="C96" s="11">
        <f t="shared" si="5"/>
        <v>385.04819999999995</v>
      </c>
      <c r="D96" t="e">
        <v>#N/A</v>
      </c>
      <c r="E96" s="9"/>
      <c r="F96" s="9"/>
      <c r="G96" s="9">
        <f t="shared" ca="1" si="6"/>
        <v>385.04819999999995</v>
      </c>
      <c r="H96" s="9">
        <f t="shared" ca="1" si="7"/>
        <v>374.43010638297881</v>
      </c>
      <c r="I96" s="12">
        <f ca="1">IF(AND('Data Analysis Addin'!$G96&lt;='Data Analysis Addin'!$H96,G97&gt;H97), 1, 0)</f>
        <v>0</v>
      </c>
      <c r="J96" s="3">
        <f t="shared" ca="1" si="8"/>
        <v>0</v>
      </c>
      <c r="K96" s="19">
        <f>YEAR('Data Analysis Addin'!$A96)</f>
        <v>2021</v>
      </c>
    </row>
    <row r="97" spans="1:11" x14ac:dyDescent="0.4">
      <c r="A97" s="16">
        <v>44274</v>
      </c>
      <c r="B97" s="8">
        <v>389.48</v>
      </c>
      <c r="C97" s="11">
        <f t="shared" si="5"/>
        <v>385.36679999999996</v>
      </c>
      <c r="D97" t="e">
        <v>#N/A</v>
      </c>
      <c r="E97" s="8"/>
      <c r="F97" s="8"/>
      <c r="G97" s="8">
        <f t="shared" ca="1" si="6"/>
        <v>385.36679999999996</v>
      </c>
      <c r="H97" s="8">
        <f t="shared" ca="1" si="7"/>
        <v>374.58852631578958</v>
      </c>
      <c r="I97" s="12">
        <f ca="1">IF(AND('Data Analysis Addin'!$G97&lt;='Data Analysis Addin'!$H97,G98&gt;H98), 1, 0)</f>
        <v>0</v>
      </c>
      <c r="J97" s="2">
        <f t="shared" ca="1" si="8"/>
        <v>0</v>
      </c>
      <c r="K97" s="17">
        <f>YEAR('Data Analysis Addin'!$A97)</f>
        <v>2021</v>
      </c>
    </row>
    <row r="98" spans="1:11" x14ac:dyDescent="0.4">
      <c r="A98" s="18">
        <v>44277</v>
      </c>
      <c r="B98" s="9">
        <v>392.59</v>
      </c>
      <c r="C98" s="11">
        <f t="shared" si="5"/>
        <v>385.63659999999999</v>
      </c>
      <c r="D98" t="e">
        <v>#N/A</v>
      </c>
      <c r="E98" s="9"/>
      <c r="F98" s="9"/>
      <c r="G98" s="9">
        <f t="shared" ca="1" si="6"/>
        <v>385.63659999999999</v>
      </c>
      <c r="H98" s="9">
        <f t="shared" ca="1" si="7"/>
        <v>374.77604166666674</v>
      </c>
      <c r="I98" s="12">
        <f ca="1">IF(AND('Data Analysis Addin'!$G98&lt;='Data Analysis Addin'!$H98,G99&gt;H99), 1, 0)</f>
        <v>0</v>
      </c>
      <c r="J98" s="3">
        <f t="shared" ca="1" si="8"/>
        <v>0</v>
      </c>
      <c r="K98" s="19">
        <f>YEAR('Data Analysis Addin'!$A98)</f>
        <v>2021</v>
      </c>
    </row>
    <row r="99" spans="1:11" x14ac:dyDescent="0.4">
      <c r="A99" s="16">
        <v>44278</v>
      </c>
      <c r="B99" s="8">
        <v>389.5</v>
      </c>
      <c r="C99" s="11">
        <f t="shared" si="5"/>
        <v>385.8014</v>
      </c>
      <c r="D99" t="e">
        <v>#N/A</v>
      </c>
      <c r="E99" s="8"/>
      <c r="F99" s="8"/>
      <c r="G99" s="8">
        <f t="shared" ca="1" si="6"/>
        <v>385.8014</v>
      </c>
      <c r="H99" s="8">
        <f t="shared" ca="1" si="7"/>
        <v>374.92783505154648</v>
      </c>
      <c r="I99" s="12">
        <f ca="1">IF(AND('Data Analysis Addin'!$G99&lt;='Data Analysis Addin'!$H99,G100&gt;H100), 1, 0)</f>
        <v>0</v>
      </c>
      <c r="J99" s="2">
        <f t="shared" ca="1" si="8"/>
        <v>0</v>
      </c>
      <c r="K99" s="17">
        <f>YEAR('Data Analysis Addin'!$A99)</f>
        <v>2021</v>
      </c>
    </row>
    <row r="100" spans="1:11" x14ac:dyDescent="0.4">
      <c r="A100" s="18">
        <v>44279</v>
      </c>
      <c r="B100" s="9">
        <v>387.52</v>
      </c>
      <c r="C100" s="11">
        <f t="shared" si="5"/>
        <v>385.97799999999995</v>
      </c>
      <c r="D100" t="e">
        <v>#N/A</v>
      </c>
      <c r="E100" s="9"/>
      <c r="F100" s="9"/>
      <c r="G100" s="9">
        <f t="shared" ca="1" si="6"/>
        <v>385.97799999999995</v>
      </c>
      <c r="H100" s="9">
        <f t="shared" ca="1" si="7"/>
        <v>375.0563265306123</v>
      </c>
      <c r="I100" s="12">
        <f ca="1">IF(AND('Data Analysis Addin'!$G100&lt;='Data Analysis Addin'!$H100,G101&gt;H101), 1, 0)</f>
        <v>0</v>
      </c>
      <c r="J100" s="3">
        <f t="shared" ca="1" si="8"/>
        <v>0</v>
      </c>
      <c r="K100" s="19">
        <f>YEAR('Data Analysis Addin'!$A100)</f>
        <v>2021</v>
      </c>
    </row>
    <row r="101" spans="1:11" x14ac:dyDescent="0.4">
      <c r="A101" s="16">
        <v>44280</v>
      </c>
      <c r="B101" s="8">
        <v>389.7</v>
      </c>
      <c r="C101" s="11">
        <f t="shared" si="5"/>
        <v>386.19659999999999</v>
      </c>
      <c r="D101" t="e">
        <v>#N/A</v>
      </c>
      <c r="E101" s="8"/>
      <c r="F101" s="8"/>
      <c r="G101" s="8">
        <f t="shared" ca="1" si="6"/>
        <v>386.19659999999999</v>
      </c>
      <c r="H101" s="8">
        <f t="shared" ca="1" si="7"/>
        <v>375.20424242424241</v>
      </c>
      <c r="I101" s="12">
        <f ca="1">IF(AND('Data Analysis Addin'!$G101&lt;='Data Analysis Addin'!$H101,G102&gt;H102), 1, 0)</f>
        <v>0</v>
      </c>
      <c r="J101" s="2">
        <f t="shared" ca="1" si="8"/>
        <v>0</v>
      </c>
      <c r="K101" s="17">
        <f>YEAR('Data Analysis Addin'!$A101)</f>
        <v>2021</v>
      </c>
    </row>
    <row r="102" spans="1:11" x14ac:dyDescent="0.4">
      <c r="A102" s="18">
        <v>44281</v>
      </c>
      <c r="B102" s="9">
        <v>395.98</v>
      </c>
      <c r="C102" s="11">
        <f t="shared" si="5"/>
        <v>386.5204</v>
      </c>
      <c r="D102" t="e">
        <v>#N/A</v>
      </c>
      <c r="E102" s="9"/>
      <c r="F102" s="9"/>
      <c r="G102" s="9">
        <f t="shared" ca="1" si="6"/>
        <v>386.5204</v>
      </c>
      <c r="H102" s="9">
        <f t="shared" ca="1" si="7"/>
        <v>375.41200000000003</v>
      </c>
      <c r="I102" s="12">
        <f ca="1">IF(AND('Data Analysis Addin'!$G102&lt;='Data Analysis Addin'!$H102,G103&gt;H103), 1, 0)</f>
        <v>0</v>
      </c>
      <c r="J102" s="3">
        <f t="shared" ca="1" si="8"/>
        <v>0</v>
      </c>
      <c r="K102" s="19">
        <f>YEAR('Data Analysis Addin'!$A102)</f>
        <v>2021</v>
      </c>
    </row>
    <row r="103" spans="1:11" x14ac:dyDescent="0.4">
      <c r="A103" s="16">
        <v>44284</v>
      </c>
      <c r="B103" s="8">
        <v>395.78</v>
      </c>
      <c r="C103" s="11">
        <f t="shared" si="5"/>
        <v>386.86680000000001</v>
      </c>
      <c r="D103" t="e">
        <v>#N/A</v>
      </c>
      <c r="E103" s="8"/>
      <c r="F103" s="8"/>
      <c r="G103" s="8">
        <f t="shared" ca="1" si="6"/>
        <v>386.86680000000001</v>
      </c>
      <c r="H103" s="8">
        <f t="shared" ca="1" si="7"/>
        <v>375.61366336633665</v>
      </c>
      <c r="I103" s="12">
        <f ca="1">IF(AND('Data Analysis Addin'!$G103&lt;='Data Analysis Addin'!$H103,G104&gt;H104), 1, 0)</f>
        <v>0</v>
      </c>
      <c r="J103" s="2">
        <f t="shared" ca="1" si="8"/>
        <v>0</v>
      </c>
      <c r="K103" s="17">
        <f>YEAR('Data Analysis Addin'!$A103)</f>
        <v>2021</v>
      </c>
    </row>
    <row r="104" spans="1:11" x14ac:dyDescent="0.4">
      <c r="A104" s="18">
        <v>44285</v>
      </c>
      <c r="B104" s="9">
        <v>394.73</v>
      </c>
      <c r="C104" s="11">
        <f t="shared" si="5"/>
        <v>387.24740000000003</v>
      </c>
      <c r="D104" t="e">
        <v>#N/A</v>
      </c>
      <c r="E104" s="9"/>
      <c r="F104" s="9"/>
      <c r="G104" s="9">
        <f t="shared" ca="1" si="6"/>
        <v>387.24740000000003</v>
      </c>
      <c r="H104" s="9">
        <f t="shared" ca="1" si="7"/>
        <v>375.80107843137262</v>
      </c>
      <c r="I104" s="12">
        <f ca="1">IF(AND('Data Analysis Addin'!$G104&lt;='Data Analysis Addin'!$H104,G105&gt;H105), 1, 0)</f>
        <v>0</v>
      </c>
      <c r="J104" s="3">
        <f t="shared" ca="1" si="8"/>
        <v>0</v>
      </c>
      <c r="K104" s="19">
        <f>YEAR('Data Analysis Addin'!$A104)</f>
        <v>2021</v>
      </c>
    </row>
    <row r="105" spans="1:11" x14ac:dyDescent="0.4">
      <c r="A105" s="16">
        <v>44286</v>
      </c>
      <c r="B105" s="8">
        <v>396.33</v>
      </c>
      <c r="C105" s="11">
        <f t="shared" si="5"/>
        <v>387.60100000000006</v>
      </c>
      <c r="D105" t="e">
        <v>#N/A</v>
      </c>
      <c r="E105" s="8"/>
      <c r="F105" s="8"/>
      <c r="G105" s="8">
        <f t="shared" ca="1" si="6"/>
        <v>387.60100000000006</v>
      </c>
      <c r="H105" s="8">
        <f t="shared" ca="1" si="7"/>
        <v>376.00038834951465</v>
      </c>
      <c r="I105" s="12">
        <f ca="1">IF(AND('Data Analysis Addin'!$G105&lt;='Data Analysis Addin'!$H105,G106&gt;H106), 1, 0)</f>
        <v>0</v>
      </c>
      <c r="J105" s="2">
        <f t="shared" ca="1" si="8"/>
        <v>0</v>
      </c>
      <c r="K105" s="17">
        <f>YEAR('Data Analysis Addin'!$A105)</f>
        <v>2021</v>
      </c>
    </row>
    <row r="106" spans="1:11" x14ac:dyDescent="0.4">
      <c r="A106" s="18">
        <v>44287</v>
      </c>
      <c r="B106" s="9">
        <v>400.61</v>
      </c>
      <c r="C106" s="11">
        <f t="shared" si="5"/>
        <v>387.93540000000007</v>
      </c>
      <c r="D106" t="e">
        <v>#N/A</v>
      </c>
      <c r="E106" s="9"/>
      <c r="F106" s="9"/>
      <c r="G106" s="9">
        <f t="shared" ca="1" si="6"/>
        <v>387.93540000000007</v>
      </c>
      <c r="H106" s="9">
        <f t="shared" ca="1" si="7"/>
        <v>376.23701923076931</v>
      </c>
      <c r="I106" s="12">
        <f ca="1">IF(AND('Data Analysis Addin'!$G106&lt;='Data Analysis Addin'!$H106,G107&gt;H107), 1, 0)</f>
        <v>0</v>
      </c>
      <c r="J106" s="3">
        <f t="shared" ca="1" si="8"/>
        <v>0</v>
      </c>
      <c r="K106" s="19">
        <f>YEAR('Data Analysis Addin'!$A106)</f>
        <v>2021</v>
      </c>
    </row>
    <row r="107" spans="1:11" x14ac:dyDescent="0.4">
      <c r="A107" s="16">
        <v>44291</v>
      </c>
      <c r="B107" s="8">
        <v>406.36</v>
      </c>
      <c r="C107" s="11">
        <f t="shared" si="5"/>
        <v>388.37780000000004</v>
      </c>
      <c r="D107" t="e">
        <v>#N/A</v>
      </c>
      <c r="E107" s="8"/>
      <c r="F107" s="8"/>
      <c r="G107" s="8">
        <f t="shared" ca="1" si="6"/>
        <v>388.37780000000004</v>
      </c>
      <c r="H107" s="8">
        <f t="shared" ca="1" si="7"/>
        <v>376.52390476190487</v>
      </c>
      <c r="I107" s="12">
        <f ca="1">IF(AND('Data Analysis Addin'!$G107&lt;='Data Analysis Addin'!$H107,G108&gt;H108), 1, 0)</f>
        <v>0</v>
      </c>
      <c r="J107" s="2">
        <f t="shared" ca="1" si="8"/>
        <v>0</v>
      </c>
      <c r="K107" s="17">
        <f>YEAR('Data Analysis Addin'!$A107)</f>
        <v>2021</v>
      </c>
    </row>
    <row r="108" spans="1:11" x14ac:dyDescent="0.4">
      <c r="A108" s="18">
        <v>44292</v>
      </c>
      <c r="B108" s="9">
        <v>406.12</v>
      </c>
      <c r="C108" s="11">
        <f t="shared" si="5"/>
        <v>388.8426</v>
      </c>
      <c r="D108" t="e">
        <v>#N/A</v>
      </c>
      <c r="E108" s="9"/>
      <c r="F108" s="9"/>
      <c r="G108" s="9">
        <f t="shared" ca="1" si="6"/>
        <v>388.8426</v>
      </c>
      <c r="H108" s="9">
        <f t="shared" ca="1" si="7"/>
        <v>376.80311320754726</v>
      </c>
      <c r="I108" s="12">
        <f ca="1">IF(AND('Data Analysis Addin'!$G108&lt;='Data Analysis Addin'!$H108,G109&gt;H109), 1, 0)</f>
        <v>0</v>
      </c>
      <c r="J108" s="3">
        <f t="shared" ca="1" si="8"/>
        <v>0</v>
      </c>
      <c r="K108" s="19">
        <f>YEAR('Data Analysis Addin'!$A108)</f>
        <v>2021</v>
      </c>
    </row>
    <row r="109" spans="1:11" x14ac:dyDescent="0.4">
      <c r="A109" s="16">
        <v>44293</v>
      </c>
      <c r="B109" s="8">
        <v>406.59</v>
      </c>
      <c r="C109" s="11">
        <f t="shared" si="5"/>
        <v>389.28660000000002</v>
      </c>
      <c r="D109" t="e">
        <v>#N/A</v>
      </c>
      <c r="E109" s="8"/>
      <c r="F109" s="8"/>
      <c r="G109" s="8">
        <f t="shared" ca="1" si="6"/>
        <v>389.28660000000002</v>
      </c>
      <c r="H109" s="8">
        <f t="shared" ca="1" si="7"/>
        <v>377.08149532710286</v>
      </c>
      <c r="I109" s="12">
        <f ca="1">IF(AND('Data Analysis Addin'!$G109&lt;='Data Analysis Addin'!$H109,G110&gt;H110), 1, 0)</f>
        <v>0</v>
      </c>
      <c r="J109" s="2">
        <f t="shared" ca="1" si="8"/>
        <v>0</v>
      </c>
      <c r="K109" s="17">
        <f>YEAR('Data Analysis Addin'!$A109)</f>
        <v>2021</v>
      </c>
    </row>
    <row r="110" spans="1:11" x14ac:dyDescent="0.4">
      <c r="A110" s="18">
        <v>44294</v>
      </c>
      <c r="B110" s="9">
        <v>408.52</v>
      </c>
      <c r="C110" s="11">
        <f t="shared" si="5"/>
        <v>389.78120000000001</v>
      </c>
      <c r="D110" t="e">
        <v>#N/A</v>
      </c>
      <c r="E110" s="9"/>
      <c r="F110" s="9"/>
      <c r="G110" s="9">
        <f t="shared" ca="1" si="6"/>
        <v>389.78120000000001</v>
      </c>
      <c r="H110" s="9">
        <f t="shared" ca="1" si="7"/>
        <v>377.37259259259264</v>
      </c>
      <c r="I110" s="12">
        <f ca="1">IF(AND('Data Analysis Addin'!$G110&lt;='Data Analysis Addin'!$H110,G111&gt;H111), 1, 0)</f>
        <v>0</v>
      </c>
      <c r="J110" s="3">
        <f t="shared" ca="1" si="8"/>
        <v>0</v>
      </c>
      <c r="K110" s="19">
        <f>YEAR('Data Analysis Addin'!$A110)</f>
        <v>2021</v>
      </c>
    </row>
    <row r="111" spans="1:11" x14ac:dyDescent="0.4">
      <c r="A111" s="16">
        <v>44295</v>
      </c>
      <c r="B111" s="8">
        <v>411.49</v>
      </c>
      <c r="C111" s="11">
        <f t="shared" si="5"/>
        <v>390.52280000000013</v>
      </c>
      <c r="D111" t="e">
        <v>#N/A</v>
      </c>
      <c r="E111" s="8"/>
      <c r="F111" s="8"/>
      <c r="G111" s="8">
        <f t="shared" ca="1" si="6"/>
        <v>390.52280000000013</v>
      </c>
      <c r="H111" s="8">
        <f t="shared" ca="1" si="7"/>
        <v>377.68559633027525</v>
      </c>
      <c r="I111" s="12">
        <f ca="1">IF(AND('Data Analysis Addin'!$G111&lt;='Data Analysis Addin'!$H111,G112&gt;H112), 1, 0)</f>
        <v>0</v>
      </c>
      <c r="J111" s="2">
        <f t="shared" ca="1" si="8"/>
        <v>0</v>
      </c>
      <c r="K111" s="17">
        <f>YEAR('Data Analysis Addin'!$A111)</f>
        <v>2021</v>
      </c>
    </row>
    <row r="112" spans="1:11" x14ac:dyDescent="0.4">
      <c r="A112" s="18">
        <v>44298</v>
      </c>
      <c r="B112" s="9">
        <v>411.64</v>
      </c>
      <c r="C112" s="11">
        <f t="shared" si="5"/>
        <v>391.20300000000003</v>
      </c>
      <c r="D112" t="e">
        <v>#N/A</v>
      </c>
      <c r="E112" s="9"/>
      <c r="F112" s="9"/>
      <c r="G112" s="9">
        <f t="shared" ca="1" si="6"/>
        <v>391.20300000000003</v>
      </c>
      <c r="H112" s="9">
        <f t="shared" ca="1" si="7"/>
        <v>377.99427272727274</v>
      </c>
      <c r="I112" s="12">
        <f ca="1">IF(AND('Data Analysis Addin'!$G112&lt;='Data Analysis Addin'!$H112,G113&gt;H113), 1, 0)</f>
        <v>0</v>
      </c>
      <c r="J112" s="3">
        <f t="shared" ca="1" si="8"/>
        <v>0</v>
      </c>
      <c r="K112" s="19">
        <f>YEAR('Data Analysis Addin'!$A112)</f>
        <v>2021</v>
      </c>
    </row>
    <row r="113" spans="1:11" x14ac:dyDescent="0.4">
      <c r="A113" s="16">
        <v>44299</v>
      </c>
      <c r="B113" s="8">
        <v>412.86</v>
      </c>
      <c r="C113" s="11">
        <f t="shared" si="5"/>
        <v>392.05879999999996</v>
      </c>
      <c r="D113" t="e">
        <v>#N/A</v>
      </c>
      <c r="E113" s="8"/>
      <c r="F113" s="8"/>
      <c r="G113" s="8">
        <f t="shared" ca="1" si="6"/>
        <v>392.05879999999996</v>
      </c>
      <c r="H113" s="8">
        <f t="shared" ca="1" si="7"/>
        <v>378.30837837837839</v>
      </c>
      <c r="I113" s="12">
        <f ca="1">IF(AND('Data Analysis Addin'!$G113&lt;='Data Analysis Addin'!$H113,G114&gt;H114), 1, 0)</f>
        <v>0</v>
      </c>
      <c r="J113" s="2">
        <f t="shared" ca="1" si="8"/>
        <v>0</v>
      </c>
      <c r="K113" s="17">
        <f>YEAR('Data Analysis Addin'!$A113)</f>
        <v>2021</v>
      </c>
    </row>
    <row r="114" spans="1:11" x14ac:dyDescent="0.4">
      <c r="A114" s="18">
        <v>44300</v>
      </c>
      <c r="B114" s="9">
        <v>411.45</v>
      </c>
      <c r="C114" s="11">
        <f t="shared" si="5"/>
        <v>392.76319999999998</v>
      </c>
      <c r="D114" t="e">
        <v>#N/A</v>
      </c>
      <c r="E114" s="9"/>
      <c r="F114" s="9"/>
      <c r="G114" s="9">
        <f t="shared" ca="1" si="6"/>
        <v>392.76319999999998</v>
      </c>
      <c r="H114" s="9">
        <f t="shared" ca="1" si="7"/>
        <v>378.60428571428571</v>
      </c>
      <c r="I114" s="12">
        <f ca="1">IF(AND('Data Analysis Addin'!$G114&lt;='Data Analysis Addin'!$H114,G115&gt;H115), 1, 0)</f>
        <v>0</v>
      </c>
      <c r="J114" s="3">
        <f t="shared" ca="1" si="8"/>
        <v>0</v>
      </c>
      <c r="K114" s="19">
        <f>YEAR('Data Analysis Addin'!$A114)</f>
        <v>2021</v>
      </c>
    </row>
    <row r="115" spans="1:11" x14ac:dyDescent="0.4">
      <c r="A115" s="16">
        <v>44301</v>
      </c>
      <c r="B115" s="8">
        <v>415.87</v>
      </c>
      <c r="C115" s="11">
        <f t="shared" si="5"/>
        <v>393.44959999999998</v>
      </c>
      <c r="D115" t="e">
        <v>#N/A</v>
      </c>
      <c r="E115" s="8"/>
      <c r="F115" s="8"/>
      <c r="G115" s="8">
        <f t="shared" ca="1" si="6"/>
        <v>393.44959999999998</v>
      </c>
      <c r="H115" s="8">
        <f t="shared" ca="1" si="7"/>
        <v>378.93407079646022</v>
      </c>
      <c r="I115" s="12">
        <f ca="1">IF(AND('Data Analysis Addin'!$G115&lt;='Data Analysis Addin'!$H115,G116&gt;H116), 1, 0)</f>
        <v>0</v>
      </c>
      <c r="J115" s="2">
        <f t="shared" ca="1" si="8"/>
        <v>0</v>
      </c>
      <c r="K115" s="17">
        <f>YEAR('Data Analysis Addin'!$A115)</f>
        <v>2021</v>
      </c>
    </row>
    <row r="116" spans="1:11" x14ac:dyDescent="0.4">
      <c r="A116" s="18">
        <v>44302</v>
      </c>
      <c r="B116" s="9">
        <v>417.26</v>
      </c>
      <c r="C116" s="11">
        <f t="shared" ref="C116:C179" si="9">AVERAGE(B67:B116)</f>
        <v>394.15780000000001</v>
      </c>
      <c r="D116" t="e">
        <v>#N/A</v>
      </c>
      <c r="E116" s="9"/>
      <c r="F116" s="9"/>
      <c r="G116" s="9">
        <f t="shared" ca="1" si="6"/>
        <v>394.15780000000001</v>
      </c>
      <c r="H116" s="9">
        <f t="shared" ca="1" si="7"/>
        <v>379.27026315789476</v>
      </c>
      <c r="I116" s="12">
        <f ca="1">IF(AND('Data Analysis Addin'!$G116&lt;='Data Analysis Addin'!$H116,G117&gt;H117), 1, 0)</f>
        <v>0</v>
      </c>
      <c r="J116" s="3">
        <f t="shared" ca="1" si="8"/>
        <v>0</v>
      </c>
      <c r="K116" s="19">
        <f>YEAR('Data Analysis Addin'!$A116)</f>
        <v>2021</v>
      </c>
    </row>
    <row r="117" spans="1:11" x14ac:dyDescent="0.4">
      <c r="A117" s="16">
        <v>44305</v>
      </c>
      <c r="B117" s="8">
        <v>415.21</v>
      </c>
      <c r="C117" s="11">
        <f t="shared" si="9"/>
        <v>394.73820000000001</v>
      </c>
      <c r="D117" t="e">
        <v>#N/A</v>
      </c>
      <c r="E117" s="8"/>
      <c r="F117" s="8"/>
      <c r="G117" s="8">
        <f t="shared" ca="1" si="6"/>
        <v>394.73820000000001</v>
      </c>
      <c r="H117" s="8">
        <f t="shared" ca="1" si="7"/>
        <v>379.58278260869571</v>
      </c>
      <c r="I117" s="12">
        <f ca="1">IF(AND('Data Analysis Addin'!$G117&lt;='Data Analysis Addin'!$H117,G118&gt;H118), 1, 0)</f>
        <v>0</v>
      </c>
      <c r="J117" s="2">
        <f t="shared" ca="1" si="8"/>
        <v>0</v>
      </c>
      <c r="K117" s="17">
        <f>YEAR('Data Analysis Addin'!$A117)</f>
        <v>2021</v>
      </c>
    </row>
    <row r="118" spans="1:11" x14ac:dyDescent="0.4">
      <c r="A118" s="18">
        <v>44306</v>
      </c>
      <c r="B118" s="9">
        <v>412.17</v>
      </c>
      <c r="C118" s="11">
        <f t="shared" si="9"/>
        <v>395.22739999999999</v>
      </c>
      <c r="D118" t="e">
        <v>#N/A</v>
      </c>
      <c r="E118" s="9"/>
      <c r="F118" s="9"/>
      <c r="G118" s="9">
        <f t="shared" ca="1" si="6"/>
        <v>395.22739999999999</v>
      </c>
      <c r="H118" s="9">
        <f t="shared" ca="1" si="7"/>
        <v>379.86370689655172</v>
      </c>
      <c r="I118" s="12">
        <f ca="1">IF(AND('Data Analysis Addin'!$G118&lt;='Data Analysis Addin'!$H118,G119&gt;H119), 1, 0)</f>
        <v>0</v>
      </c>
      <c r="J118" s="3">
        <f t="shared" ca="1" si="8"/>
        <v>0</v>
      </c>
      <c r="K118" s="19">
        <f>YEAR('Data Analysis Addin'!$A118)</f>
        <v>2021</v>
      </c>
    </row>
    <row r="119" spans="1:11" x14ac:dyDescent="0.4">
      <c r="A119" s="16">
        <v>44307</v>
      </c>
      <c r="B119" s="8">
        <v>416.07</v>
      </c>
      <c r="C119" s="11">
        <f t="shared" si="9"/>
        <v>395.73859999999991</v>
      </c>
      <c r="D119" t="e">
        <v>#N/A</v>
      </c>
      <c r="E119" s="8"/>
      <c r="F119" s="8"/>
      <c r="G119" s="8">
        <f t="shared" ca="1" si="6"/>
        <v>395.73859999999991</v>
      </c>
      <c r="H119" s="8">
        <f t="shared" ca="1" si="7"/>
        <v>380.17316239316239</v>
      </c>
      <c r="I119" s="12">
        <f ca="1">IF(AND('Data Analysis Addin'!$G119&lt;='Data Analysis Addin'!$H119,G120&gt;H120), 1, 0)</f>
        <v>0</v>
      </c>
      <c r="J119" s="2">
        <f t="shared" ca="1" si="8"/>
        <v>0</v>
      </c>
      <c r="K119" s="17">
        <f>YEAR('Data Analysis Addin'!$A119)</f>
        <v>2021</v>
      </c>
    </row>
    <row r="120" spans="1:11" x14ac:dyDescent="0.4">
      <c r="A120" s="18">
        <v>44308</v>
      </c>
      <c r="B120" s="9">
        <v>412.27</v>
      </c>
      <c r="C120" s="11">
        <f t="shared" si="9"/>
        <v>396.17899999999992</v>
      </c>
      <c r="D120" t="e">
        <v>#N/A</v>
      </c>
      <c r="E120" s="9"/>
      <c r="F120" s="9"/>
      <c r="G120" s="9">
        <f t="shared" ca="1" si="6"/>
        <v>396.17899999999992</v>
      </c>
      <c r="H120" s="9">
        <f t="shared" ca="1" si="7"/>
        <v>380.44516949152541</v>
      </c>
      <c r="I120" s="12">
        <f ca="1">IF(AND('Data Analysis Addin'!$G120&lt;='Data Analysis Addin'!$H120,G121&gt;H121), 1, 0)</f>
        <v>0</v>
      </c>
      <c r="J120" s="3">
        <f t="shared" ca="1" si="8"/>
        <v>0</v>
      </c>
      <c r="K120" s="19">
        <f>YEAR('Data Analysis Addin'!$A120)</f>
        <v>2021</v>
      </c>
    </row>
    <row r="121" spans="1:11" x14ac:dyDescent="0.4">
      <c r="A121" s="16">
        <v>44309</v>
      </c>
      <c r="B121" s="8">
        <v>416.74</v>
      </c>
      <c r="C121" s="11">
        <f t="shared" si="9"/>
        <v>396.7122</v>
      </c>
      <c r="D121" t="e">
        <v>#N/A</v>
      </c>
      <c r="E121" s="8"/>
      <c r="F121" s="8"/>
      <c r="G121" s="8">
        <f t="shared" ca="1" si="6"/>
        <v>396.7122</v>
      </c>
      <c r="H121" s="8">
        <f t="shared" ca="1" si="7"/>
        <v>380.75016806722687</v>
      </c>
      <c r="I121" s="12">
        <f ca="1">IF(AND('Data Analysis Addin'!$G121&lt;='Data Analysis Addin'!$H121,G122&gt;H122), 1, 0)</f>
        <v>0</v>
      </c>
      <c r="J121" s="2">
        <f t="shared" ca="1" si="8"/>
        <v>0</v>
      </c>
      <c r="K121" s="17">
        <f>YEAR('Data Analysis Addin'!$A121)</f>
        <v>2021</v>
      </c>
    </row>
    <row r="122" spans="1:11" x14ac:dyDescent="0.4">
      <c r="A122" s="18">
        <v>44312</v>
      </c>
      <c r="B122" s="9">
        <v>417.61</v>
      </c>
      <c r="C122" s="11">
        <f t="shared" si="9"/>
        <v>397.25019999999995</v>
      </c>
      <c r="D122" t="e">
        <v>#N/A</v>
      </c>
      <c r="E122" s="9"/>
      <c r="F122" s="9"/>
      <c r="G122" s="9">
        <f t="shared" ca="1" si="6"/>
        <v>397.25019999999995</v>
      </c>
      <c r="H122" s="9">
        <f t="shared" ca="1" si="7"/>
        <v>381.0573333333333</v>
      </c>
      <c r="I122" s="12">
        <f ca="1">IF(AND('Data Analysis Addin'!$G122&lt;='Data Analysis Addin'!$H122,G123&gt;H123), 1, 0)</f>
        <v>0</v>
      </c>
      <c r="J122" s="3">
        <f t="shared" ca="1" si="8"/>
        <v>0</v>
      </c>
      <c r="K122" s="19">
        <f>YEAR('Data Analysis Addin'!$A122)</f>
        <v>2021</v>
      </c>
    </row>
    <row r="123" spans="1:11" x14ac:dyDescent="0.4">
      <c r="A123" s="16">
        <v>44313</v>
      </c>
      <c r="B123" s="8">
        <v>417.52</v>
      </c>
      <c r="C123" s="11">
        <f t="shared" si="9"/>
        <v>397.74780000000004</v>
      </c>
      <c r="D123" t="e">
        <v>#N/A</v>
      </c>
      <c r="E123" s="8"/>
      <c r="F123" s="8"/>
      <c r="G123" s="8">
        <f t="shared" ca="1" si="6"/>
        <v>397.74780000000004</v>
      </c>
      <c r="H123" s="8">
        <f t="shared" ca="1" si="7"/>
        <v>381.35867768595034</v>
      </c>
      <c r="I123" s="12">
        <f ca="1">IF(AND('Data Analysis Addin'!$G123&lt;='Data Analysis Addin'!$H123,G124&gt;H124), 1, 0)</f>
        <v>0</v>
      </c>
      <c r="J123" s="2">
        <f t="shared" ca="1" si="8"/>
        <v>0</v>
      </c>
      <c r="K123" s="17">
        <f>YEAR('Data Analysis Addin'!$A123)</f>
        <v>2021</v>
      </c>
    </row>
    <row r="124" spans="1:11" x14ac:dyDescent="0.4">
      <c r="A124" s="18">
        <v>44314</v>
      </c>
      <c r="B124" s="9">
        <v>417.4</v>
      </c>
      <c r="C124" s="11">
        <f t="shared" si="9"/>
        <v>398.24980000000011</v>
      </c>
      <c r="D124" t="e">
        <v>#N/A</v>
      </c>
      <c r="E124" s="9"/>
      <c r="F124" s="9"/>
      <c r="G124" s="9">
        <f t="shared" ca="1" si="6"/>
        <v>398.24980000000011</v>
      </c>
      <c r="H124" s="9">
        <f t="shared" ca="1" si="7"/>
        <v>381.65409836065572</v>
      </c>
      <c r="I124" s="12">
        <f ca="1">IF(AND('Data Analysis Addin'!$G124&lt;='Data Analysis Addin'!$H124,G125&gt;H125), 1, 0)</f>
        <v>0</v>
      </c>
      <c r="J124" s="3">
        <f t="shared" ca="1" si="8"/>
        <v>0</v>
      </c>
      <c r="K124" s="19">
        <f>YEAR('Data Analysis Addin'!$A124)</f>
        <v>2021</v>
      </c>
    </row>
    <row r="125" spans="1:11" x14ac:dyDescent="0.4">
      <c r="A125" s="16">
        <v>44315</v>
      </c>
      <c r="B125" s="8">
        <v>420.06</v>
      </c>
      <c r="C125" s="11">
        <f t="shared" si="9"/>
        <v>398.80320000000023</v>
      </c>
      <c r="D125" t="e">
        <v>#N/A</v>
      </c>
      <c r="E125" s="8"/>
      <c r="F125" s="8"/>
      <c r="G125" s="8">
        <f t="shared" ca="1" si="6"/>
        <v>398.80320000000023</v>
      </c>
      <c r="H125" s="8">
        <f t="shared" ca="1" si="7"/>
        <v>381.96634146341461</v>
      </c>
      <c r="I125" s="12">
        <f ca="1">IF(AND('Data Analysis Addin'!$G125&lt;='Data Analysis Addin'!$H125,G126&gt;H126), 1, 0)</f>
        <v>0</v>
      </c>
      <c r="J125" s="2">
        <f t="shared" ca="1" si="8"/>
        <v>0</v>
      </c>
      <c r="K125" s="17">
        <f>YEAR('Data Analysis Addin'!$A125)</f>
        <v>2021</v>
      </c>
    </row>
    <row r="126" spans="1:11" x14ac:dyDescent="0.4">
      <c r="A126" s="18">
        <v>44316</v>
      </c>
      <c r="B126" s="9">
        <v>417.3</v>
      </c>
      <c r="C126" s="11">
        <f t="shared" si="9"/>
        <v>399.3348000000002</v>
      </c>
      <c r="D126" t="e">
        <v>#N/A</v>
      </c>
      <c r="E126" s="9"/>
      <c r="F126" s="9"/>
      <c r="G126" s="9">
        <f t="shared" ca="1" si="6"/>
        <v>399.3348000000002</v>
      </c>
      <c r="H126" s="9">
        <f t="shared" ca="1" si="7"/>
        <v>382.25129032258059</v>
      </c>
      <c r="I126" s="12">
        <f ca="1">IF(AND('Data Analysis Addin'!$G126&lt;='Data Analysis Addin'!$H126,G127&gt;H127), 1, 0)</f>
        <v>0</v>
      </c>
      <c r="J126" s="3">
        <f t="shared" ca="1" si="8"/>
        <v>0</v>
      </c>
      <c r="K126" s="19">
        <f>YEAR('Data Analysis Addin'!$A126)</f>
        <v>2021</v>
      </c>
    </row>
    <row r="127" spans="1:11" x14ac:dyDescent="0.4">
      <c r="A127" s="16">
        <v>44319</v>
      </c>
      <c r="B127" s="8">
        <v>418.2</v>
      </c>
      <c r="C127" s="11">
        <f t="shared" si="9"/>
        <v>399.8982000000002</v>
      </c>
      <c r="D127" t="e">
        <v>#N/A</v>
      </c>
      <c r="E127" s="8"/>
      <c r="F127" s="8"/>
      <c r="G127" s="8">
        <f t="shared" ca="1" si="6"/>
        <v>399.8982000000002</v>
      </c>
      <c r="H127" s="8">
        <f t="shared" ca="1" si="7"/>
        <v>382.53887999999995</v>
      </c>
      <c r="I127" s="12">
        <f ca="1">IF(AND('Data Analysis Addin'!$G127&lt;='Data Analysis Addin'!$H127,G128&gt;H128), 1, 0)</f>
        <v>0</v>
      </c>
      <c r="J127" s="2">
        <f t="shared" ca="1" si="8"/>
        <v>0</v>
      </c>
      <c r="K127" s="17">
        <f>YEAR('Data Analysis Addin'!$A127)</f>
        <v>2021</v>
      </c>
    </row>
    <row r="128" spans="1:11" x14ac:dyDescent="0.4">
      <c r="A128" s="18">
        <v>44320</v>
      </c>
      <c r="B128" s="9">
        <v>415.62</v>
      </c>
      <c r="C128" s="11">
        <f t="shared" si="9"/>
        <v>400.47000000000014</v>
      </c>
      <c r="D128" t="e">
        <v>#N/A</v>
      </c>
      <c r="E128" s="9"/>
      <c r="F128" s="9"/>
      <c r="G128" s="9">
        <f t="shared" ca="1" si="6"/>
        <v>400.47000000000014</v>
      </c>
      <c r="H128" s="9">
        <f t="shared" ca="1" si="7"/>
        <v>382.80142857142852</v>
      </c>
      <c r="I128" s="12">
        <f ca="1">IF(AND('Data Analysis Addin'!$G128&lt;='Data Analysis Addin'!$H128,G129&gt;H129), 1, 0)</f>
        <v>0</v>
      </c>
      <c r="J128" s="3">
        <f t="shared" ca="1" si="8"/>
        <v>0</v>
      </c>
      <c r="K128" s="19">
        <f>YEAR('Data Analysis Addin'!$A128)</f>
        <v>2021</v>
      </c>
    </row>
    <row r="129" spans="1:11" x14ac:dyDescent="0.4">
      <c r="A129" s="16">
        <v>44321</v>
      </c>
      <c r="B129" s="8">
        <v>415.75</v>
      </c>
      <c r="C129" s="11">
        <f t="shared" si="9"/>
        <v>401.03500000000014</v>
      </c>
      <c r="D129" t="e">
        <v>#N/A</v>
      </c>
      <c r="E129" s="8"/>
      <c r="F129" s="8"/>
      <c r="G129" s="8">
        <f t="shared" ca="1" si="6"/>
        <v>401.03500000000014</v>
      </c>
      <c r="H129" s="8">
        <f t="shared" ca="1" si="7"/>
        <v>383.06086614173228</v>
      </c>
      <c r="I129" s="12">
        <f ca="1">IF(AND('Data Analysis Addin'!$G129&lt;='Data Analysis Addin'!$H129,G130&gt;H130), 1, 0)</f>
        <v>0</v>
      </c>
      <c r="J129" s="2">
        <f t="shared" ca="1" si="8"/>
        <v>0</v>
      </c>
      <c r="K129" s="17">
        <f>YEAR('Data Analysis Addin'!$A129)</f>
        <v>2021</v>
      </c>
    </row>
    <row r="130" spans="1:11" x14ac:dyDescent="0.4">
      <c r="A130" s="18">
        <v>44322</v>
      </c>
      <c r="B130" s="9">
        <v>419.07</v>
      </c>
      <c r="C130" s="11">
        <f t="shared" si="9"/>
        <v>401.58100000000013</v>
      </c>
      <c r="D130" t="e">
        <v>#N/A</v>
      </c>
      <c r="E130" s="9"/>
      <c r="F130" s="9"/>
      <c r="G130" s="9">
        <f t="shared" ca="1" si="6"/>
        <v>401.58100000000013</v>
      </c>
      <c r="H130" s="9">
        <f t="shared" ca="1" si="7"/>
        <v>383.34218749999997</v>
      </c>
      <c r="I130" s="12">
        <f ca="1">IF(AND('Data Analysis Addin'!$G130&lt;='Data Analysis Addin'!$H130,G131&gt;H131), 1, 0)</f>
        <v>0</v>
      </c>
      <c r="J130" s="3">
        <f t="shared" ca="1" si="8"/>
        <v>0</v>
      </c>
      <c r="K130" s="19">
        <f>YEAR('Data Analysis Addin'!$A130)</f>
        <v>2021</v>
      </c>
    </row>
    <row r="131" spans="1:11" x14ac:dyDescent="0.4">
      <c r="A131" s="16">
        <v>44323</v>
      </c>
      <c r="B131" s="8">
        <v>422.12</v>
      </c>
      <c r="C131" s="11">
        <f t="shared" si="9"/>
        <v>402.37680000000006</v>
      </c>
      <c r="D131" t="e">
        <v>#N/A</v>
      </c>
      <c r="E131" s="8"/>
      <c r="F131" s="8"/>
      <c r="G131" s="8">
        <f t="shared" ref="G131:G194" ca="1" si="10">AVERAGE(OFFSET($B131,0,0,-(MIN(ROW()-ROW($B$3)+1,n_50)),1))</f>
        <v>402.37680000000006</v>
      </c>
      <c r="H131" s="8">
        <f t="shared" ref="H131:H194" ca="1" si="11">AVERAGE(OFFSET($B131,0,0,-(MIN(ROW()-ROW($B$3)+1,n_200)),1))</f>
        <v>383.6427906976744</v>
      </c>
      <c r="I131" s="12">
        <f ca="1">IF(AND('Data Analysis Addin'!$G131&lt;='Data Analysis Addin'!$H131,G132&gt;H132), 1, 0)</f>
        <v>0</v>
      </c>
      <c r="J131" s="2">
        <f t="shared" ref="J131:J194" ca="1" si="12">IF($G131&lt;$H131,1,0)</f>
        <v>0</v>
      </c>
      <c r="K131" s="17">
        <f>YEAR('Data Analysis Addin'!$A131)</f>
        <v>2021</v>
      </c>
    </row>
    <row r="132" spans="1:11" x14ac:dyDescent="0.4">
      <c r="A132" s="18">
        <v>44326</v>
      </c>
      <c r="B132" s="9">
        <v>417.94</v>
      </c>
      <c r="C132" s="11">
        <f t="shared" si="9"/>
        <v>403.12840000000006</v>
      </c>
      <c r="D132" t="e">
        <v>#N/A</v>
      </c>
      <c r="E132" s="9"/>
      <c r="F132" s="9"/>
      <c r="G132" s="9">
        <f t="shared" ca="1" si="10"/>
        <v>403.12840000000006</v>
      </c>
      <c r="H132" s="9">
        <f t="shared" ca="1" si="11"/>
        <v>383.90661538461541</v>
      </c>
      <c r="I132" s="12">
        <f ca="1">IF(AND('Data Analysis Addin'!$G132&lt;='Data Analysis Addin'!$H132,G133&gt;H133), 1, 0)</f>
        <v>0</v>
      </c>
      <c r="J132" s="3">
        <f t="shared" ca="1" si="12"/>
        <v>0</v>
      </c>
      <c r="K132" s="19">
        <f>YEAR('Data Analysis Addin'!$A132)</f>
        <v>2021</v>
      </c>
    </row>
    <row r="133" spans="1:11" x14ac:dyDescent="0.4">
      <c r="A133" s="16">
        <v>44327</v>
      </c>
      <c r="B133" s="8">
        <v>414.21</v>
      </c>
      <c r="C133" s="11">
        <f t="shared" si="9"/>
        <v>403.62100000000004</v>
      </c>
      <c r="D133" t="e">
        <v>#N/A</v>
      </c>
      <c r="E133" s="8"/>
      <c r="F133" s="8"/>
      <c r="G133" s="8">
        <f t="shared" ca="1" si="10"/>
        <v>403.62100000000004</v>
      </c>
      <c r="H133" s="8">
        <f t="shared" ca="1" si="11"/>
        <v>384.1379389312977</v>
      </c>
      <c r="I133" s="12">
        <f ca="1">IF(AND('Data Analysis Addin'!$G133&lt;='Data Analysis Addin'!$H133,G134&gt;H134), 1, 0)</f>
        <v>0</v>
      </c>
      <c r="J133" s="2">
        <f t="shared" ca="1" si="12"/>
        <v>0</v>
      </c>
      <c r="K133" s="17">
        <f>YEAR('Data Analysis Addin'!$A133)</f>
        <v>2021</v>
      </c>
    </row>
    <row r="134" spans="1:11" x14ac:dyDescent="0.4">
      <c r="A134" s="18">
        <v>44328</v>
      </c>
      <c r="B134" s="9">
        <v>405.41</v>
      </c>
      <c r="C134" s="11">
        <f t="shared" si="9"/>
        <v>403.99839999999995</v>
      </c>
      <c r="D134" t="e">
        <v>#N/A</v>
      </c>
      <c r="E134" s="9"/>
      <c r="F134" s="9"/>
      <c r="G134" s="9">
        <f t="shared" ca="1" si="10"/>
        <v>403.99839999999995</v>
      </c>
      <c r="H134" s="9">
        <f t="shared" ca="1" si="11"/>
        <v>384.29909090909092</v>
      </c>
      <c r="I134" s="12">
        <f ca="1">IF(AND('Data Analysis Addin'!$G134&lt;='Data Analysis Addin'!$H134,G135&gt;H135), 1, 0)</f>
        <v>0</v>
      </c>
      <c r="J134" s="3">
        <f t="shared" ca="1" si="12"/>
        <v>0</v>
      </c>
      <c r="K134" s="19">
        <f>YEAR('Data Analysis Addin'!$A134)</f>
        <v>2021</v>
      </c>
    </row>
    <row r="135" spans="1:11" x14ac:dyDescent="0.4">
      <c r="A135" s="16">
        <v>44329</v>
      </c>
      <c r="B135" s="8">
        <v>410.28</v>
      </c>
      <c r="C135" s="11">
        <f t="shared" si="9"/>
        <v>404.57559999999995</v>
      </c>
      <c r="D135" t="e">
        <v>#N/A</v>
      </c>
      <c r="E135" s="8"/>
      <c r="F135" s="8"/>
      <c r="G135" s="8">
        <f t="shared" ca="1" si="10"/>
        <v>404.57559999999995</v>
      </c>
      <c r="H135" s="8">
        <f t="shared" ca="1" si="11"/>
        <v>384.49443609022558</v>
      </c>
      <c r="I135" s="12">
        <f ca="1">IF(AND('Data Analysis Addin'!$G135&lt;='Data Analysis Addin'!$H135,G136&gt;H136), 1, 0)</f>
        <v>0</v>
      </c>
      <c r="J135" s="2">
        <f t="shared" ca="1" si="12"/>
        <v>0</v>
      </c>
      <c r="K135" s="17">
        <f>YEAR('Data Analysis Addin'!$A135)</f>
        <v>2021</v>
      </c>
    </row>
    <row r="136" spans="1:11" x14ac:dyDescent="0.4">
      <c r="A136" s="18">
        <v>44330</v>
      </c>
      <c r="B136" s="9">
        <v>416.58</v>
      </c>
      <c r="C136" s="11">
        <f t="shared" si="9"/>
        <v>405.37319999999994</v>
      </c>
      <c r="D136" t="e">
        <v>#N/A</v>
      </c>
      <c r="E136" s="9"/>
      <c r="F136" s="9"/>
      <c r="G136" s="9">
        <f t="shared" ca="1" si="10"/>
        <v>405.37319999999994</v>
      </c>
      <c r="H136" s="9">
        <f t="shared" ca="1" si="11"/>
        <v>384.73388059701495</v>
      </c>
      <c r="I136" s="12">
        <f ca="1">IF(AND('Data Analysis Addin'!$G136&lt;='Data Analysis Addin'!$H136,G137&gt;H137), 1, 0)</f>
        <v>0</v>
      </c>
      <c r="J136" s="3">
        <f t="shared" ca="1" si="12"/>
        <v>0</v>
      </c>
      <c r="K136" s="19">
        <f>YEAR('Data Analysis Addin'!$A136)</f>
        <v>2021</v>
      </c>
    </row>
    <row r="137" spans="1:11" x14ac:dyDescent="0.4">
      <c r="A137" s="16">
        <v>44333</v>
      </c>
      <c r="B137" s="8">
        <v>415.52</v>
      </c>
      <c r="C137" s="11">
        <f t="shared" si="9"/>
        <v>406.01099999999997</v>
      </c>
      <c r="D137" t="e">
        <v>#N/A</v>
      </c>
      <c r="E137" s="8"/>
      <c r="F137" s="8"/>
      <c r="G137" s="8">
        <f t="shared" ca="1" si="10"/>
        <v>406.01099999999997</v>
      </c>
      <c r="H137" s="8">
        <f t="shared" ca="1" si="11"/>
        <v>384.96192592592593</v>
      </c>
      <c r="I137" s="12">
        <f ca="1">IF(AND('Data Analysis Addin'!$G137&lt;='Data Analysis Addin'!$H137,G138&gt;H138), 1, 0)</f>
        <v>0</v>
      </c>
      <c r="J137" s="2">
        <f t="shared" ca="1" si="12"/>
        <v>0</v>
      </c>
      <c r="K137" s="17">
        <f>YEAR('Data Analysis Addin'!$A137)</f>
        <v>2021</v>
      </c>
    </row>
    <row r="138" spans="1:11" x14ac:dyDescent="0.4">
      <c r="A138" s="18">
        <v>44334</v>
      </c>
      <c r="B138" s="9">
        <v>411.94</v>
      </c>
      <c r="C138" s="11">
        <f t="shared" si="9"/>
        <v>406.61539999999991</v>
      </c>
      <c r="D138" t="e">
        <v>#N/A</v>
      </c>
      <c r="E138" s="9"/>
      <c r="F138" s="9"/>
      <c r="G138" s="9">
        <f t="shared" ca="1" si="10"/>
        <v>406.61539999999991</v>
      </c>
      <c r="H138" s="9">
        <f t="shared" ca="1" si="11"/>
        <v>385.16029411764708</v>
      </c>
      <c r="I138" s="12">
        <f ca="1">IF(AND('Data Analysis Addin'!$G138&lt;='Data Analysis Addin'!$H138,G139&gt;H139), 1, 0)</f>
        <v>0</v>
      </c>
      <c r="J138" s="3">
        <f t="shared" ca="1" si="12"/>
        <v>0</v>
      </c>
      <c r="K138" s="19">
        <f>YEAR('Data Analysis Addin'!$A138)</f>
        <v>2021</v>
      </c>
    </row>
    <row r="139" spans="1:11" x14ac:dyDescent="0.4">
      <c r="A139" s="16">
        <v>44335</v>
      </c>
      <c r="B139" s="8">
        <v>410.86</v>
      </c>
      <c r="C139" s="11">
        <f t="shared" si="9"/>
        <v>407.08920000000001</v>
      </c>
      <c r="D139" t="e">
        <v>#N/A</v>
      </c>
      <c r="E139" s="8"/>
      <c r="F139" s="8"/>
      <c r="G139" s="8">
        <f t="shared" ca="1" si="10"/>
        <v>407.08920000000001</v>
      </c>
      <c r="H139" s="8">
        <f t="shared" ca="1" si="11"/>
        <v>385.34788321167883</v>
      </c>
      <c r="I139" s="12">
        <f ca="1">IF(AND('Data Analysis Addin'!$G139&lt;='Data Analysis Addin'!$H139,G140&gt;H140), 1, 0)</f>
        <v>0</v>
      </c>
      <c r="J139" s="2">
        <f t="shared" ca="1" si="12"/>
        <v>0</v>
      </c>
      <c r="K139" s="17">
        <f>YEAR('Data Analysis Addin'!$A139)</f>
        <v>2021</v>
      </c>
    </row>
    <row r="140" spans="1:11" x14ac:dyDescent="0.4">
      <c r="A140" s="18">
        <v>44336</v>
      </c>
      <c r="B140" s="9">
        <v>415.28</v>
      </c>
      <c r="C140" s="11">
        <f t="shared" si="9"/>
        <v>407.6031999999999</v>
      </c>
      <c r="D140" t="e">
        <v>#N/A</v>
      </c>
      <c r="E140" s="9"/>
      <c r="F140" s="9"/>
      <c r="G140" s="9">
        <f t="shared" ca="1" si="10"/>
        <v>407.6031999999999</v>
      </c>
      <c r="H140" s="9">
        <f t="shared" ca="1" si="11"/>
        <v>385.56478260869568</v>
      </c>
      <c r="I140" s="12">
        <f ca="1">IF(AND('Data Analysis Addin'!$G140&lt;='Data Analysis Addin'!$H140,G141&gt;H141), 1, 0)</f>
        <v>0</v>
      </c>
      <c r="J140" s="3">
        <f t="shared" ca="1" si="12"/>
        <v>0</v>
      </c>
      <c r="K140" s="19">
        <f>YEAR('Data Analysis Addin'!$A140)</f>
        <v>2021</v>
      </c>
    </row>
    <row r="141" spans="1:11" x14ac:dyDescent="0.4">
      <c r="A141" s="16">
        <v>44337</v>
      </c>
      <c r="B141" s="8">
        <v>414.94</v>
      </c>
      <c r="C141" s="11">
        <f t="shared" si="9"/>
        <v>408.03139999999991</v>
      </c>
      <c r="D141" t="e">
        <v>#N/A</v>
      </c>
      <c r="E141" s="8"/>
      <c r="F141" s="8"/>
      <c r="G141" s="8">
        <f t="shared" ca="1" si="10"/>
        <v>408.03139999999991</v>
      </c>
      <c r="H141" s="8">
        <f t="shared" ca="1" si="11"/>
        <v>385.77611510791371</v>
      </c>
      <c r="I141" s="12">
        <f ca="1">IF(AND('Data Analysis Addin'!$G141&lt;='Data Analysis Addin'!$H141,G142&gt;H142), 1, 0)</f>
        <v>0</v>
      </c>
      <c r="J141" s="2">
        <f t="shared" ca="1" si="12"/>
        <v>0</v>
      </c>
      <c r="K141" s="17">
        <f>YEAR('Data Analysis Addin'!$A141)</f>
        <v>2021</v>
      </c>
    </row>
    <row r="142" spans="1:11" x14ac:dyDescent="0.4">
      <c r="A142" s="18">
        <v>44340</v>
      </c>
      <c r="B142" s="9">
        <v>419.17</v>
      </c>
      <c r="C142" s="11">
        <f t="shared" si="9"/>
        <v>408.53359999999992</v>
      </c>
      <c r="D142" t="e">
        <v>#N/A</v>
      </c>
      <c r="E142" s="9"/>
      <c r="F142" s="9"/>
      <c r="G142" s="9">
        <f t="shared" ca="1" si="10"/>
        <v>408.53359999999992</v>
      </c>
      <c r="H142" s="9">
        <f t="shared" ca="1" si="11"/>
        <v>386.01464285714286</v>
      </c>
      <c r="I142" s="12">
        <f ca="1">IF(AND('Data Analysis Addin'!$G142&lt;='Data Analysis Addin'!$H142,G143&gt;H143), 1, 0)</f>
        <v>0</v>
      </c>
      <c r="J142" s="3">
        <f t="shared" ca="1" si="12"/>
        <v>0</v>
      </c>
      <c r="K142" s="19">
        <f>YEAR('Data Analysis Addin'!$A142)</f>
        <v>2021</v>
      </c>
    </row>
    <row r="143" spans="1:11" x14ac:dyDescent="0.4">
      <c r="A143" s="16">
        <v>44341</v>
      </c>
      <c r="B143" s="8">
        <v>418.24</v>
      </c>
      <c r="C143" s="11">
        <f t="shared" si="9"/>
        <v>408.97019999999998</v>
      </c>
      <c r="D143" t="e">
        <v>#N/A</v>
      </c>
      <c r="E143" s="8"/>
      <c r="F143" s="8"/>
      <c r="G143" s="8">
        <f t="shared" ca="1" si="10"/>
        <v>408.97019999999998</v>
      </c>
      <c r="H143" s="8">
        <f t="shared" ca="1" si="11"/>
        <v>386.24319148936172</v>
      </c>
      <c r="I143" s="12">
        <f ca="1">IF(AND('Data Analysis Addin'!$G143&lt;='Data Analysis Addin'!$H143,G144&gt;H144), 1, 0)</f>
        <v>0</v>
      </c>
      <c r="J143" s="2">
        <f t="shared" ca="1" si="12"/>
        <v>0</v>
      </c>
      <c r="K143" s="17">
        <f>YEAR('Data Analysis Addin'!$A143)</f>
        <v>2021</v>
      </c>
    </row>
    <row r="144" spans="1:11" x14ac:dyDescent="0.4">
      <c r="A144" s="18">
        <v>44342</v>
      </c>
      <c r="B144" s="9">
        <v>419.07</v>
      </c>
      <c r="C144" s="11">
        <f t="shared" si="9"/>
        <v>409.43339999999995</v>
      </c>
      <c r="D144" t="e">
        <v>#N/A</v>
      </c>
      <c r="E144" s="9"/>
      <c r="F144" s="9"/>
      <c r="G144" s="9">
        <f t="shared" ca="1" si="10"/>
        <v>409.43339999999995</v>
      </c>
      <c r="H144" s="9">
        <f t="shared" ca="1" si="11"/>
        <v>386.47436619718309</v>
      </c>
      <c r="I144" s="12">
        <f ca="1">IF(AND('Data Analysis Addin'!$G144&lt;='Data Analysis Addin'!$H144,G145&gt;H145), 1, 0)</f>
        <v>0</v>
      </c>
      <c r="J144" s="3">
        <f t="shared" ca="1" si="12"/>
        <v>0</v>
      </c>
      <c r="K144" s="19">
        <f>YEAR('Data Analysis Addin'!$A144)</f>
        <v>2021</v>
      </c>
    </row>
    <row r="145" spans="1:11" x14ac:dyDescent="0.4">
      <c r="A145" s="16">
        <v>44343</v>
      </c>
      <c r="B145" s="8">
        <v>419.29</v>
      </c>
      <c r="C145" s="11">
        <f t="shared" si="9"/>
        <v>409.87399999999997</v>
      </c>
      <c r="D145" t="e">
        <v>#N/A</v>
      </c>
      <c r="E145" s="8"/>
      <c r="F145" s="8"/>
      <c r="G145" s="8">
        <f t="shared" ca="1" si="10"/>
        <v>409.87399999999997</v>
      </c>
      <c r="H145" s="8">
        <f t="shared" ca="1" si="11"/>
        <v>386.70384615384614</v>
      </c>
      <c r="I145" s="12">
        <f ca="1">IF(AND('Data Analysis Addin'!$G145&lt;='Data Analysis Addin'!$H145,G146&gt;H146), 1, 0)</f>
        <v>0</v>
      </c>
      <c r="J145" s="2">
        <f t="shared" ca="1" si="12"/>
        <v>0</v>
      </c>
      <c r="K145" s="17">
        <f>YEAR('Data Analysis Addin'!$A145)</f>
        <v>2021</v>
      </c>
    </row>
    <row r="146" spans="1:11" x14ac:dyDescent="0.4">
      <c r="A146" s="18">
        <v>44344</v>
      </c>
      <c r="B146" s="9">
        <v>420.04</v>
      </c>
      <c r="C146" s="11">
        <f t="shared" si="9"/>
        <v>410.44519999999994</v>
      </c>
      <c r="D146" t="e">
        <v>#N/A</v>
      </c>
      <c r="E146" s="9"/>
      <c r="F146" s="9"/>
      <c r="G146" s="9">
        <f t="shared" ca="1" si="10"/>
        <v>410.44519999999994</v>
      </c>
      <c r="H146" s="9">
        <f t="shared" ca="1" si="11"/>
        <v>386.93534722222222</v>
      </c>
      <c r="I146" s="12">
        <f ca="1">IF(AND('Data Analysis Addin'!$G146&lt;='Data Analysis Addin'!$H146,G147&gt;H147), 1, 0)</f>
        <v>0</v>
      </c>
      <c r="J146" s="3">
        <f t="shared" ca="1" si="12"/>
        <v>0</v>
      </c>
      <c r="K146" s="19">
        <f>YEAR('Data Analysis Addin'!$A146)</f>
        <v>2021</v>
      </c>
    </row>
    <row r="147" spans="1:11" x14ac:dyDescent="0.4">
      <c r="A147" s="16">
        <v>44348</v>
      </c>
      <c r="B147" s="8">
        <v>419.67</v>
      </c>
      <c r="C147" s="11">
        <f t="shared" si="9"/>
        <v>411.04899999999992</v>
      </c>
      <c r="D147" t="e">
        <v>#N/A</v>
      </c>
      <c r="E147" s="8"/>
      <c r="F147" s="8"/>
      <c r="G147" s="8">
        <f t="shared" ca="1" si="10"/>
        <v>411.04899999999992</v>
      </c>
      <c r="H147" s="8">
        <f t="shared" ca="1" si="11"/>
        <v>387.16110344827587</v>
      </c>
      <c r="I147" s="12">
        <f ca="1">IF(AND('Data Analysis Addin'!$G147&lt;='Data Analysis Addin'!$H147,G148&gt;H148), 1, 0)</f>
        <v>0</v>
      </c>
      <c r="J147" s="2">
        <f t="shared" ca="1" si="12"/>
        <v>0</v>
      </c>
      <c r="K147" s="17">
        <f>YEAR('Data Analysis Addin'!$A147)</f>
        <v>2021</v>
      </c>
    </row>
    <row r="148" spans="1:11" x14ac:dyDescent="0.4">
      <c r="A148" s="18">
        <v>44349</v>
      </c>
      <c r="B148" s="9">
        <v>420.33</v>
      </c>
      <c r="C148" s="11">
        <f t="shared" si="9"/>
        <v>411.60380000000004</v>
      </c>
      <c r="D148" t="e">
        <v>#N/A</v>
      </c>
      <c r="E148" s="9"/>
      <c r="F148" s="9"/>
      <c r="G148" s="9">
        <f t="shared" ca="1" si="10"/>
        <v>411.60380000000004</v>
      </c>
      <c r="H148" s="9">
        <f t="shared" ca="1" si="11"/>
        <v>387.38828767123289</v>
      </c>
      <c r="I148" s="12">
        <f ca="1">IF(AND('Data Analysis Addin'!$G148&lt;='Data Analysis Addin'!$H148,G149&gt;H149), 1, 0)</f>
        <v>0</v>
      </c>
      <c r="J148" s="3">
        <f t="shared" ca="1" si="12"/>
        <v>0</v>
      </c>
      <c r="K148" s="19">
        <f>YEAR('Data Analysis Addin'!$A148)</f>
        <v>2021</v>
      </c>
    </row>
    <row r="149" spans="1:11" x14ac:dyDescent="0.4">
      <c r="A149" s="16">
        <v>44350</v>
      </c>
      <c r="B149" s="8">
        <v>418.77</v>
      </c>
      <c r="C149" s="11">
        <f t="shared" si="9"/>
        <v>412.18919999999997</v>
      </c>
      <c r="D149" t="e">
        <v>#N/A</v>
      </c>
      <c r="E149" s="8"/>
      <c r="F149" s="8"/>
      <c r="G149" s="8">
        <f t="shared" ca="1" si="10"/>
        <v>412.18919999999997</v>
      </c>
      <c r="H149" s="8">
        <f t="shared" ca="1" si="11"/>
        <v>387.60176870748296</v>
      </c>
      <c r="I149" s="12">
        <f ca="1">IF(AND('Data Analysis Addin'!$G149&lt;='Data Analysis Addin'!$H149,G150&gt;H150), 1, 0)</f>
        <v>0</v>
      </c>
      <c r="J149" s="2">
        <f t="shared" ca="1" si="12"/>
        <v>0</v>
      </c>
      <c r="K149" s="17">
        <f>YEAR('Data Analysis Addin'!$A149)</f>
        <v>2021</v>
      </c>
    </row>
    <row r="150" spans="1:11" x14ac:dyDescent="0.4">
      <c r="A150" s="18">
        <v>44351</v>
      </c>
      <c r="B150" s="9">
        <v>422.6</v>
      </c>
      <c r="C150" s="11">
        <f t="shared" si="9"/>
        <v>412.89080000000001</v>
      </c>
      <c r="D150" t="e">
        <v>#N/A</v>
      </c>
      <c r="E150" s="9"/>
      <c r="F150" s="9"/>
      <c r="G150" s="9">
        <f t="shared" ca="1" si="10"/>
        <v>412.89080000000001</v>
      </c>
      <c r="H150" s="9">
        <f t="shared" ca="1" si="11"/>
        <v>387.83824324324326</v>
      </c>
      <c r="I150" s="12">
        <f ca="1">IF(AND('Data Analysis Addin'!$G150&lt;='Data Analysis Addin'!$H150,G151&gt;H151), 1, 0)</f>
        <v>0</v>
      </c>
      <c r="J150" s="3">
        <f t="shared" ca="1" si="12"/>
        <v>0</v>
      </c>
      <c r="K150" s="19">
        <f>YEAR('Data Analysis Addin'!$A150)</f>
        <v>2021</v>
      </c>
    </row>
    <row r="151" spans="1:11" x14ac:dyDescent="0.4">
      <c r="A151" s="16">
        <v>44354</v>
      </c>
      <c r="B151" s="8">
        <v>422.19</v>
      </c>
      <c r="C151" s="11">
        <f t="shared" si="9"/>
        <v>413.54060000000004</v>
      </c>
      <c r="D151" t="e">
        <v>#N/A</v>
      </c>
      <c r="E151" s="8"/>
      <c r="F151" s="8"/>
      <c r="G151" s="8">
        <f t="shared" ca="1" si="10"/>
        <v>413.54060000000004</v>
      </c>
      <c r="H151" s="8">
        <f t="shared" ca="1" si="11"/>
        <v>388.06879194630875</v>
      </c>
      <c r="I151" s="12">
        <f ca="1">IF(AND('Data Analysis Addin'!$G151&lt;='Data Analysis Addin'!$H151,G152&gt;H152), 1, 0)</f>
        <v>0</v>
      </c>
      <c r="J151" s="2">
        <f t="shared" ca="1" si="12"/>
        <v>0</v>
      </c>
      <c r="K151" s="17">
        <f>YEAR('Data Analysis Addin'!$A151)</f>
        <v>2021</v>
      </c>
    </row>
    <row r="152" spans="1:11" x14ac:dyDescent="0.4">
      <c r="A152" s="18">
        <v>44355</v>
      </c>
      <c r="B152" s="9">
        <v>422.28</v>
      </c>
      <c r="C152" s="11">
        <f t="shared" si="9"/>
        <v>414.06660000000005</v>
      </c>
      <c r="D152" t="e">
        <v>#N/A</v>
      </c>
      <c r="E152" s="9"/>
      <c r="F152" s="9"/>
      <c r="G152" s="9">
        <f t="shared" ca="1" si="10"/>
        <v>414.06660000000005</v>
      </c>
      <c r="H152" s="9">
        <f t="shared" ca="1" si="11"/>
        <v>388.29686666666663</v>
      </c>
      <c r="I152" s="12">
        <f ca="1">IF(AND('Data Analysis Addin'!$G152&lt;='Data Analysis Addin'!$H152,G153&gt;H153), 1, 0)</f>
        <v>0</v>
      </c>
      <c r="J152" s="3">
        <f t="shared" ca="1" si="12"/>
        <v>0</v>
      </c>
      <c r="K152" s="19">
        <f>YEAR('Data Analysis Addin'!$A152)</f>
        <v>2021</v>
      </c>
    </row>
    <row r="153" spans="1:11" x14ac:dyDescent="0.4">
      <c r="A153" s="16">
        <v>44356</v>
      </c>
      <c r="B153" s="8">
        <v>421.65</v>
      </c>
      <c r="C153" s="11">
        <f t="shared" si="9"/>
        <v>414.584</v>
      </c>
      <c r="D153" t="e">
        <v>#N/A</v>
      </c>
      <c r="E153" s="8"/>
      <c r="F153" s="8"/>
      <c r="G153" s="8">
        <f t="shared" ca="1" si="10"/>
        <v>414.584</v>
      </c>
      <c r="H153" s="8">
        <f t="shared" ca="1" si="11"/>
        <v>388.51774834437089</v>
      </c>
      <c r="I153" s="12">
        <f ca="1">IF(AND('Data Analysis Addin'!$G153&lt;='Data Analysis Addin'!$H153,G154&gt;H154), 1, 0)</f>
        <v>0</v>
      </c>
      <c r="J153" s="2">
        <f t="shared" ca="1" si="12"/>
        <v>0</v>
      </c>
      <c r="K153" s="17">
        <f>YEAR('Data Analysis Addin'!$A153)</f>
        <v>2021</v>
      </c>
    </row>
    <row r="154" spans="1:11" x14ac:dyDescent="0.4">
      <c r="A154" s="18">
        <v>44357</v>
      </c>
      <c r="B154" s="9">
        <v>423.61</v>
      </c>
      <c r="C154" s="11">
        <f t="shared" si="9"/>
        <v>415.16160000000002</v>
      </c>
      <c r="D154" t="e">
        <v>#N/A</v>
      </c>
      <c r="E154" s="9"/>
      <c r="F154" s="9"/>
      <c r="G154" s="9">
        <f t="shared" ca="1" si="10"/>
        <v>415.16160000000002</v>
      </c>
      <c r="H154" s="9">
        <f t="shared" ca="1" si="11"/>
        <v>388.74861842105264</v>
      </c>
      <c r="I154" s="12">
        <f ca="1">IF(AND('Data Analysis Addin'!$G154&lt;='Data Analysis Addin'!$H154,G155&gt;H155), 1, 0)</f>
        <v>0</v>
      </c>
      <c r="J154" s="3">
        <f t="shared" ca="1" si="12"/>
        <v>0</v>
      </c>
      <c r="K154" s="19">
        <f>YEAR('Data Analysis Addin'!$A154)</f>
        <v>2021</v>
      </c>
    </row>
    <row r="155" spans="1:11" x14ac:dyDescent="0.4">
      <c r="A155" s="16">
        <v>44358</v>
      </c>
      <c r="B155" s="8">
        <v>424.31</v>
      </c>
      <c r="C155" s="11">
        <f t="shared" si="9"/>
        <v>415.72120000000001</v>
      </c>
      <c r="D155" t="e">
        <v>#N/A</v>
      </c>
      <c r="E155" s="8"/>
      <c r="F155" s="8"/>
      <c r="G155" s="8">
        <f t="shared" ca="1" si="10"/>
        <v>415.72120000000001</v>
      </c>
      <c r="H155" s="8">
        <f t="shared" ca="1" si="11"/>
        <v>388.98104575163399</v>
      </c>
      <c r="I155" s="12">
        <f ca="1">IF(AND('Data Analysis Addin'!$G155&lt;='Data Analysis Addin'!$H155,G156&gt;H156), 1, 0)</f>
        <v>0</v>
      </c>
      <c r="J155" s="2">
        <f t="shared" ca="1" si="12"/>
        <v>0</v>
      </c>
      <c r="K155" s="17">
        <f>YEAR('Data Analysis Addin'!$A155)</f>
        <v>2021</v>
      </c>
    </row>
    <row r="156" spans="1:11" x14ac:dyDescent="0.4">
      <c r="A156" s="18">
        <v>44361</v>
      </c>
      <c r="B156" s="9">
        <v>425.26</v>
      </c>
      <c r="C156" s="11">
        <f t="shared" si="9"/>
        <v>416.21420000000006</v>
      </c>
      <c r="D156" t="e">
        <v>#N/A</v>
      </c>
      <c r="E156" s="9"/>
      <c r="F156" s="9"/>
      <c r="G156" s="9">
        <f t="shared" ca="1" si="10"/>
        <v>416.21420000000006</v>
      </c>
      <c r="H156" s="9">
        <f t="shared" ca="1" si="11"/>
        <v>389.21662337662337</v>
      </c>
      <c r="I156" s="12">
        <f ca="1">IF(AND('Data Analysis Addin'!$G156&lt;='Data Analysis Addin'!$H156,G157&gt;H157), 1, 0)</f>
        <v>0</v>
      </c>
      <c r="J156" s="3">
        <f t="shared" ca="1" si="12"/>
        <v>0</v>
      </c>
      <c r="K156" s="19">
        <f>YEAR('Data Analysis Addin'!$A156)</f>
        <v>2021</v>
      </c>
    </row>
    <row r="157" spans="1:11" x14ac:dyDescent="0.4">
      <c r="A157" s="16">
        <v>44362</v>
      </c>
      <c r="B157" s="8">
        <v>424.48</v>
      </c>
      <c r="C157" s="11">
        <f t="shared" si="9"/>
        <v>416.5766000000001</v>
      </c>
      <c r="D157" t="e">
        <v>#N/A</v>
      </c>
      <c r="E157" s="8"/>
      <c r="F157" s="8"/>
      <c r="G157" s="8">
        <f t="shared" ca="1" si="10"/>
        <v>416.5766000000001</v>
      </c>
      <c r="H157" s="8">
        <f t="shared" ca="1" si="11"/>
        <v>389.4441290322581</v>
      </c>
      <c r="I157" s="12">
        <f ca="1">IF(AND('Data Analysis Addin'!$G157&lt;='Data Analysis Addin'!$H157,G158&gt;H158), 1, 0)</f>
        <v>0</v>
      </c>
      <c r="J157" s="2">
        <f t="shared" ca="1" si="12"/>
        <v>0</v>
      </c>
      <c r="K157" s="17">
        <f>YEAR('Data Analysis Addin'!$A157)</f>
        <v>2021</v>
      </c>
    </row>
    <row r="158" spans="1:11" x14ac:dyDescent="0.4">
      <c r="A158" s="18">
        <v>44363</v>
      </c>
      <c r="B158" s="9">
        <v>422.11</v>
      </c>
      <c r="C158" s="11">
        <f t="shared" si="9"/>
        <v>416.89640000000009</v>
      </c>
      <c r="D158" t="e">
        <v>#N/A</v>
      </c>
      <c r="E158" s="9"/>
      <c r="F158" s="9"/>
      <c r="G158" s="9">
        <f t="shared" ca="1" si="10"/>
        <v>416.89640000000009</v>
      </c>
      <c r="H158" s="9">
        <f t="shared" ca="1" si="11"/>
        <v>389.65352564102568</v>
      </c>
      <c r="I158" s="12">
        <f ca="1">IF(AND('Data Analysis Addin'!$G158&lt;='Data Analysis Addin'!$H158,G159&gt;H159), 1, 0)</f>
        <v>0</v>
      </c>
      <c r="J158" s="3">
        <f t="shared" ca="1" si="12"/>
        <v>0</v>
      </c>
      <c r="K158" s="19">
        <f>YEAR('Data Analysis Addin'!$A158)</f>
        <v>2021</v>
      </c>
    </row>
    <row r="159" spans="1:11" x14ac:dyDescent="0.4">
      <c r="A159" s="16">
        <v>44364</v>
      </c>
      <c r="B159" s="8">
        <v>421.97</v>
      </c>
      <c r="C159" s="11">
        <f t="shared" si="9"/>
        <v>417.20400000000001</v>
      </c>
      <c r="D159" t="e">
        <v>#N/A</v>
      </c>
      <c r="E159" s="8"/>
      <c r="F159" s="8"/>
      <c r="G159" s="8">
        <f t="shared" ca="1" si="10"/>
        <v>417.20400000000001</v>
      </c>
      <c r="H159" s="8">
        <f t="shared" ca="1" si="11"/>
        <v>389.85936305732486</v>
      </c>
      <c r="I159" s="12">
        <f ca="1">IF(AND('Data Analysis Addin'!$G159&lt;='Data Analysis Addin'!$H159,G160&gt;H160), 1, 0)</f>
        <v>0</v>
      </c>
      <c r="J159" s="2">
        <f t="shared" ca="1" si="12"/>
        <v>0</v>
      </c>
      <c r="K159" s="17">
        <f>YEAR('Data Analysis Addin'!$A159)</f>
        <v>2021</v>
      </c>
    </row>
    <row r="160" spans="1:11" x14ac:dyDescent="0.4">
      <c r="A160" s="18">
        <v>44365</v>
      </c>
      <c r="B160" s="9">
        <v>414.92</v>
      </c>
      <c r="C160" s="11">
        <f t="shared" si="9"/>
        <v>417.33200000000005</v>
      </c>
      <c r="D160" t="e">
        <v>#N/A</v>
      </c>
      <c r="E160" s="9"/>
      <c r="F160" s="9"/>
      <c r="G160" s="9">
        <f t="shared" ca="1" si="10"/>
        <v>417.33200000000005</v>
      </c>
      <c r="H160" s="9">
        <f t="shared" ca="1" si="11"/>
        <v>390.01797468354431</v>
      </c>
      <c r="I160" s="12">
        <f ca="1">IF(AND('Data Analysis Addin'!$G160&lt;='Data Analysis Addin'!$H160,G161&gt;H161), 1, 0)</f>
        <v>0</v>
      </c>
      <c r="J160" s="3">
        <f t="shared" ca="1" si="12"/>
        <v>0</v>
      </c>
      <c r="K160" s="19">
        <f>YEAR('Data Analysis Addin'!$A160)</f>
        <v>2021</v>
      </c>
    </row>
    <row r="161" spans="1:11" x14ac:dyDescent="0.4">
      <c r="A161" s="16">
        <v>44368</v>
      </c>
      <c r="B161" s="8">
        <v>420.86</v>
      </c>
      <c r="C161" s="11">
        <f t="shared" si="9"/>
        <v>417.51940000000008</v>
      </c>
      <c r="D161" t="e">
        <v>#N/A</v>
      </c>
      <c r="E161" s="8"/>
      <c r="F161" s="8"/>
      <c r="G161" s="8">
        <f t="shared" ca="1" si="10"/>
        <v>417.51940000000008</v>
      </c>
      <c r="H161" s="8">
        <f t="shared" ca="1" si="11"/>
        <v>390.21194968553459</v>
      </c>
      <c r="I161" s="12">
        <f ca="1">IF(AND('Data Analysis Addin'!$G161&lt;='Data Analysis Addin'!$H161,G162&gt;H162), 1, 0)</f>
        <v>0</v>
      </c>
      <c r="J161" s="2">
        <f t="shared" ca="1" si="12"/>
        <v>0</v>
      </c>
      <c r="K161" s="17">
        <f>YEAR('Data Analysis Addin'!$A161)</f>
        <v>2021</v>
      </c>
    </row>
    <row r="162" spans="1:11" x14ac:dyDescent="0.4">
      <c r="A162" s="18">
        <v>44369</v>
      </c>
      <c r="B162" s="9">
        <v>423.11</v>
      </c>
      <c r="C162" s="11">
        <f t="shared" si="9"/>
        <v>417.74880000000013</v>
      </c>
      <c r="D162" t="e">
        <v>#N/A</v>
      </c>
      <c r="E162" s="9"/>
      <c r="F162" s="9"/>
      <c r="G162" s="9">
        <f t="shared" ca="1" si="10"/>
        <v>417.74880000000013</v>
      </c>
      <c r="H162" s="9">
        <f t="shared" ca="1" si="11"/>
        <v>390.41756250000003</v>
      </c>
      <c r="I162" s="12">
        <f ca="1">IF(AND('Data Analysis Addin'!$G162&lt;='Data Analysis Addin'!$H162,G163&gt;H163), 1, 0)</f>
        <v>0</v>
      </c>
      <c r="J162" s="3">
        <f t="shared" ca="1" si="12"/>
        <v>0</v>
      </c>
      <c r="K162" s="19">
        <f>YEAR('Data Analysis Addin'!$A162)</f>
        <v>2021</v>
      </c>
    </row>
    <row r="163" spans="1:11" x14ac:dyDescent="0.4">
      <c r="A163" s="16">
        <v>44370</v>
      </c>
      <c r="B163" s="8">
        <v>422.6</v>
      </c>
      <c r="C163" s="11">
        <f t="shared" si="9"/>
        <v>417.94360000000006</v>
      </c>
      <c r="D163" t="e">
        <v>#N/A</v>
      </c>
      <c r="E163" s="8"/>
      <c r="F163" s="8"/>
      <c r="G163" s="8">
        <f t="shared" ca="1" si="10"/>
        <v>417.94360000000006</v>
      </c>
      <c r="H163" s="8">
        <f t="shared" ca="1" si="11"/>
        <v>390.61745341614909</v>
      </c>
      <c r="I163" s="12">
        <f ca="1">IF(AND('Data Analysis Addin'!$G163&lt;='Data Analysis Addin'!$H163,G164&gt;H164), 1, 0)</f>
        <v>0</v>
      </c>
      <c r="J163" s="2">
        <f t="shared" ca="1" si="12"/>
        <v>0</v>
      </c>
      <c r="K163" s="17">
        <f>YEAR('Data Analysis Addin'!$A163)</f>
        <v>2021</v>
      </c>
    </row>
    <row r="164" spans="1:11" x14ac:dyDescent="0.4">
      <c r="A164" s="18">
        <v>44371</v>
      </c>
      <c r="B164" s="9">
        <v>425.1</v>
      </c>
      <c r="C164" s="11">
        <f t="shared" si="9"/>
        <v>418.21660000000003</v>
      </c>
      <c r="D164" t="e">
        <v>#N/A</v>
      </c>
      <c r="E164" s="9"/>
      <c r="F164" s="9"/>
      <c r="G164" s="9">
        <f t="shared" ca="1" si="10"/>
        <v>418.21660000000003</v>
      </c>
      <c r="H164" s="9">
        <f t="shared" ca="1" si="11"/>
        <v>390.83030864197531</v>
      </c>
      <c r="I164" s="12">
        <f ca="1">IF(AND('Data Analysis Addin'!$G164&lt;='Data Analysis Addin'!$H164,G165&gt;H165), 1, 0)</f>
        <v>0</v>
      </c>
      <c r="J164" s="3">
        <f t="shared" ca="1" si="12"/>
        <v>0</v>
      </c>
      <c r="K164" s="19">
        <f>YEAR('Data Analysis Addin'!$A164)</f>
        <v>2021</v>
      </c>
    </row>
    <row r="165" spans="1:11" x14ac:dyDescent="0.4">
      <c r="A165" s="16">
        <v>44372</v>
      </c>
      <c r="B165" s="8">
        <v>426.61</v>
      </c>
      <c r="C165" s="11">
        <f t="shared" si="9"/>
        <v>418.43140000000005</v>
      </c>
      <c r="D165" t="e">
        <v>#N/A</v>
      </c>
      <c r="E165" s="8"/>
      <c r="F165" s="8"/>
      <c r="G165" s="8">
        <f t="shared" ca="1" si="10"/>
        <v>418.43140000000005</v>
      </c>
      <c r="H165" s="8">
        <f t="shared" ca="1" si="11"/>
        <v>391.04981595092028</v>
      </c>
      <c r="I165" s="12">
        <f ca="1">IF(AND('Data Analysis Addin'!$G165&lt;='Data Analysis Addin'!$H165,G166&gt;H166), 1, 0)</f>
        <v>0</v>
      </c>
      <c r="J165" s="2">
        <f t="shared" ca="1" si="12"/>
        <v>0</v>
      </c>
      <c r="K165" s="17">
        <f>YEAR('Data Analysis Addin'!$A165)</f>
        <v>2021</v>
      </c>
    </row>
    <row r="166" spans="1:11" x14ac:dyDescent="0.4">
      <c r="A166" s="18">
        <v>44375</v>
      </c>
      <c r="B166" s="9">
        <v>427.47</v>
      </c>
      <c r="C166" s="11">
        <f t="shared" si="9"/>
        <v>418.63560000000007</v>
      </c>
      <c r="D166" t="e">
        <v>#N/A</v>
      </c>
      <c r="E166" s="9"/>
      <c r="F166" s="9"/>
      <c r="G166" s="9">
        <f t="shared" ca="1" si="10"/>
        <v>418.63560000000007</v>
      </c>
      <c r="H166" s="9">
        <f t="shared" ca="1" si="11"/>
        <v>391.27189024390248</v>
      </c>
      <c r="I166" s="12">
        <f ca="1">IF(AND('Data Analysis Addin'!$G166&lt;='Data Analysis Addin'!$H166,G167&gt;H167), 1, 0)</f>
        <v>0</v>
      </c>
      <c r="J166" s="3">
        <f t="shared" ca="1" si="12"/>
        <v>0</v>
      </c>
      <c r="K166" s="19">
        <f>YEAR('Data Analysis Addin'!$A166)</f>
        <v>2021</v>
      </c>
    </row>
    <row r="167" spans="1:11" x14ac:dyDescent="0.4">
      <c r="A167" s="16">
        <v>44376</v>
      </c>
      <c r="B167" s="8">
        <v>427.7</v>
      </c>
      <c r="C167" s="11">
        <f t="shared" si="9"/>
        <v>418.88540000000006</v>
      </c>
      <c r="D167" t="e">
        <v>#N/A</v>
      </c>
      <c r="E167" s="8"/>
      <c r="F167" s="8"/>
      <c r="G167" s="8">
        <f t="shared" ca="1" si="10"/>
        <v>418.88540000000006</v>
      </c>
      <c r="H167" s="8">
        <f t="shared" ca="1" si="11"/>
        <v>391.49266666666665</v>
      </c>
      <c r="I167" s="12">
        <f ca="1">IF(AND('Data Analysis Addin'!$G167&lt;='Data Analysis Addin'!$H167,G168&gt;H168), 1, 0)</f>
        <v>0</v>
      </c>
      <c r="J167" s="2">
        <f t="shared" ca="1" si="12"/>
        <v>0</v>
      </c>
      <c r="K167" s="17">
        <f>YEAR('Data Analysis Addin'!$A167)</f>
        <v>2021</v>
      </c>
    </row>
    <row r="168" spans="1:11" x14ac:dyDescent="0.4">
      <c r="A168" s="18">
        <v>44377</v>
      </c>
      <c r="B168" s="9">
        <v>428.06</v>
      </c>
      <c r="C168" s="11">
        <f t="shared" si="9"/>
        <v>419.20320000000009</v>
      </c>
      <c r="D168" t="e">
        <v>#N/A</v>
      </c>
      <c r="E168" s="9"/>
      <c r="F168" s="9"/>
      <c r="G168" s="9">
        <f t="shared" ca="1" si="10"/>
        <v>419.20320000000009</v>
      </c>
      <c r="H168" s="9">
        <f t="shared" ca="1" si="11"/>
        <v>391.71295180722893</v>
      </c>
      <c r="I168" s="12">
        <f ca="1">IF(AND('Data Analysis Addin'!$G168&lt;='Data Analysis Addin'!$H168,G169&gt;H169), 1, 0)</f>
        <v>0</v>
      </c>
      <c r="J168" s="3">
        <f t="shared" ca="1" si="12"/>
        <v>0</v>
      </c>
      <c r="K168" s="19">
        <f>YEAR('Data Analysis Addin'!$A168)</f>
        <v>2021</v>
      </c>
    </row>
    <row r="169" spans="1:11" x14ac:dyDescent="0.4">
      <c r="A169" s="16">
        <v>44378</v>
      </c>
      <c r="B169" s="8">
        <v>430.43</v>
      </c>
      <c r="C169" s="11">
        <f t="shared" si="9"/>
        <v>419.49040000000008</v>
      </c>
      <c r="D169" t="e">
        <v>#N/A</v>
      </c>
      <c r="E169" s="8"/>
      <c r="F169" s="8"/>
      <c r="G169" s="8">
        <f t="shared" ca="1" si="10"/>
        <v>419.49040000000008</v>
      </c>
      <c r="H169" s="8">
        <f t="shared" ca="1" si="11"/>
        <v>391.94479041916168</v>
      </c>
      <c r="I169" s="12">
        <f ca="1">IF(AND('Data Analysis Addin'!$G169&lt;='Data Analysis Addin'!$H169,G170&gt;H170), 1, 0)</f>
        <v>0</v>
      </c>
      <c r="J169" s="2">
        <f t="shared" ca="1" si="12"/>
        <v>0</v>
      </c>
      <c r="K169" s="17">
        <f>YEAR('Data Analysis Addin'!$A169)</f>
        <v>2021</v>
      </c>
    </row>
    <row r="170" spans="1:11" x14ac:dyDescent="0.4">
      <c r="A170" s="18">
        <v>44379</v>
      </c>
      <c r="B170" s="9">
        <v>433.72</v>
      </c>
      <c r="C170" s="11">
        <f t="shared" si="9"/>
        <v>419.91940000000011</v>
      </c>
      <c r="D170" t="e">
        <v>#N/A</v>
      </c>
      <c r="E170" s="9"/>
      <c r="F170" s="9"/>
      <c r="G170" s="9">
        <f t="shared" ca="1" si="10"/>
        <v>419.91940000000011</v>
      </c>
      <c r="H170" s="9">
        <f t="shared" ca="1" si="11"/>
        <v>392.19345238095241</v>
      </c>
      <c r="I170" s="12">
        <f ca="1">IF(AND('Data Analysis Addin'!$G170&lt;='Data Analysis Addin'!$H170,G171&gt;H171), 1, 0)</f>
        <v>0</v>
      </c>
      <c r="J170" s="3">
        <f t="shared" ca="1" si="12"/>
        <v>0</v>
      </c>
      <c r="K170" s="19">
        <f>YEAR('Data Analysis Addin'!$A170)</f>
        <v>2021</v>
      </c>
    </row>
    <row r="171" spans="1:11" x14ac:dyDescent="0.4">
      <c r="A171" s="16">
        <v>44383</v>
      </c>
      <c r="B171" s="8">
        <v>432.93</v>
      </c>
      <c r="C171" s="11">
        <f t="shared" si="9"/>
        <v>420.24320000000006</v>
      </c>
      <c r="D171" t="e">
        <v>#N/A</v>
      </c>
      <c r="E171" s="8"/>
      <c r="F171" s="8"/>
      <c r="G171" s="8">
        <f t="shared" ca="1" si="10"/>
        <v>420.24320000000006</v>
      </c>
      <c r="H171" s="8">
        <f t="shared" ca="1" si="11"/>
        <v>392.43449704142006</v>
      </c>
      <c r="I171" s="12">
        <f ca="1">IF(AND('Data Analysis Addin'!$G171&lt;='Data Analysis Addin'!$H171,G172&gt;H172), 1, 0)</f>
        <v>0</v>
      </c>
      <c r="J171" s="2">
        <f t="shared" ca="1" si="12"/>
        <v>0</v>
      </c>
      <c r="K171" s="17">
        <f>YEAR('Data Analysis Addin'!$A171)</f>
        <v>2021</v>
      </c>
    </row>
    <row r="172" spans="1:11" x14ac:dyDescent="0.4">
      <c r="A172" s="18">
        <v>44384</v>
      </c>
      <c r="B172" s="9">
        <v>434.46</v>
      </c>
      <c r="C172" s="11">
        <f t="shared" si="9"/>
        <v>420.58020000000005</v>
      </c>
      <c r="D172" t="e">
        <v>#N/A</v>
      </c>
      <c r="E172" s="9"/>
      <c r="F172" s="9"/>
      <c r="G172" s="9">
        <f t="shared" ca="1" si="10"/>
        <v>420.58020000000005</v>
      </c>
      <c r="H172" s="9">
        <f t="shared" ca="1" si="11"/>
        <v>392.68170588235296</v>
      </c>
      <c r="I172" s="12">
        <f ca="1">IF(AND('Data Analysis Addin'!$G172&lt;='Data Analysis Addin'!$H172,G173&gt;H173), 1, 0)</f>
        <v>0</v>
      </c>
      <c r="J172" s="3">
        <f t="shared" ca="1" si="12"/>
        <v>0</v>
      </c>
      <c r="K172" s="19">
        <f>YEAR('Data Analysis Addin'!$A172)</f>
        <v>2021</v>
      </c>
    </row>
    <row r="173" spans="1:11" x14ac:dyDescent="0.4">
      <c r="A173" s="16">
        <v>44385</v>
      </c>
      <c r="B173" s="8">
        <v>430.92</v>
      </c>
      <c r="C173" s="11">
        <f t="shared" si="9"/>
        <v>420.84820000000008</v>
      </c>
      <c r="D173" t="e">
        <v>#N/A</v>
      </c>
      <c r="E173" s="8"/>
      <c r="F173" s="8"/>
      <c r="G173" s="8">
        <f t="shared" ca="1" si="10"/>
        <v>420.84820000000008</v>
      </c>
      <c r="H173" s="8">
        <f t="shared" ca="1" si="11"/>
        <v>392.90532163742688</v>
      </c>
      <c r="I173" s="12">
        <f ca="1">IF(AND('Data Analysis Addin'!$G173&lt;='Data Analysis Addin'!$H173,G174&gt;H174), 1, 0)</f>
        <v>0</v>
      </c>
      <c r="J173" s="2">
        <f t="shared" ca="1" si="12"/>
        <v>0</v>
      </c>
      <c r="K173" s="17">
        <f>YEAR('Data Analysis Addin'!$A173)</f>
        <v>2021</v>
      </c>
    </row>
    <row r="174" spans="1:11" x14ac:dyDescent="0.4">
      <c r="A174" s="18">
        <v>44386</v>
      </c>
      <c r="B174" s="9">
        <v>435.52</v>
      </c>
      <c r="C174" s="11">
        <f t="shared" si="9"/>
        <v>421.21060000000011</v>
      </c>
      <c r="D174" t="e">
        <v>#N/A</v>
      </c>
      <c r="E174" s="9"/>
      <c r="F174" s="9"/>
      <c r="G174" s="9">
        <f t="shared" ca="1" si="10"/>
        <v>421.21060000000011</v>
      </c>
      <c r="H174" s="9">
        <f t="shared" ca="1" si="11"/>
        <v>393.15308139534886</v>
      </c>
      <c r="I174" s="12">
        <f ca="1">IF(AND('Data Analysis Addin'!$G174&lt;='Data Analysis Addin'!$H174,G175&gt;H175), 1, 0)</f>
        <v>0</v>
      </c>
      <c r="J174" s="3">
        <f t="shared" ca="1" si="12"/>
        <v>0</v>
      </c>
      <c r="K174" s="19">
        <f>YEAR('Data Analysis Addin'!$A174)</f>
        <v>2021</v>
      </c>
    </row>
    <row r="175" spans="1:11" x14ac:dyDescent="0.4">
      <c r="A175" s="16">
        <v>44389</v>
      </c>
      <c r="B175" s="8">
        <v>437.08</v>
      </c>
      <c r="C175" s="11">
        <f t="shared" si="9"/>
        <v>421.55100000000016</v>
      </c>
      <c r="D175" t="e">
        <v>#N/A</v>
      </c>
      <c r="E175" s="8"/>
      <c r="F175" s="8"/>
      <c r="G175" s="8">
        <f t="shared" ca="1" si="10"/>
        <v>421.55100000000016</v>
      </c>
      <c r="H175" s="8">
        <f t="shared" ca="1" si="11"/>
        <v>393.4069942196532</v>
      </c>
      <c r="I175" s="12">
        <f ca="1">IF(AND('Data Analysis Addin'!$G175&lt;='Data Analysis Addin'!$H175,G176&gt;H176), 1, 0)</f>
        <v>0</v>
      </c>
      <c r="J175" s="2">
        <f t="shared" ca="1" si="12"/>
        <v>0</v>
      </c>
      <c r="K175" s="17">
        <f>YEAR('Data Analysis Addin'!$A175)</f>
        <v>2021</v>
      </c>
    </row>
    <row r="176" spans="1:11" x14ac:dyDescent="0.4">
      <c r="A176" s="18">
        <v>44390</v>
      </c>
      <c r="B176" s="9">
        <v>435.59</v>
      </c>
      <c r="C176" s="11">
        <f t="shared" si="9"/>
        <v>421.91680000000008</v>
      </c>
      <c r="D176" t="e">
        <v>#N/A</v>
      </c>
      <c r="E176" s="9"/>
      <c r="F176" s="9"/>
      <c r="G176" s="9">
        <f t="shared" ca="1" si="10"/>
        <v>421.91680000000008</v>
      </c>
      <c r="H176" s="9">
        <f t="shared" ca="1" si="11"/>
        <v>393.64942528735634</v>
      </c>
      <c r="I176" s="12">
        <f ca="1">IF(AND('Data Analysis Addin'!$G176&lt;='Data Analysis Addin'!$H176,G177&gt;H177), 1, 0)</f>
        <v>0</v>
      </c>
      <c r="J176" s="3">
        <f t="shared" ca="1" si="12"/>
        <v>0</v>
      </c>
      <c r="K176" s="19">
        <f>YEAR('Data Analysis Addin'!$A176)</f>
        <v>2021</v>
      </c>
    </row>
    <row r="177" spans="1:11" x14ac:dyDescent="0.4">
      <c r="A177" s="16">
        <v>44391</v>
      </c>
      <c r="B177" s="8">
        <v>436.24</v>
      </c>
      <c r="C177" s="11">
        <f t="shared" si="9"/>
        <v>422.27760000000012</v>
      </c>
      <c r="D177" t="e">
        <v>#N/A</v>
      </c>
      <c r="E177" s="8"/>
      <c r="F177" s="8"/>
      <c r="G177" s="8">
        <f t="shared" ca="1" si="10"/>
        <v>422.27760000000012</v>
      </c>
      <c r="H177" s="8">
        <f t="shared" ca="1" si="11"/>
        <v>393.89280000000002</v>
      </c>
      <c r="I177" s="12">
        <f ca="1">IF(AND('Data Analysis Addin'!$G177&lt;='Data Analysis Addin'!$H177,G178&gt;H178), 1, 0)</f>
        <v>0</v>
      </c>
      <c r="J177" s="2">
        <f t="shared" ca="1" si="12"/>
        <v>0</v>
      </c>
      <c r="K177" s="17">
        <f>YEAR('Data Analysis Addin'!$A177)</f>
        <v>2021</v>
      </c>
    </row>
    <row r="178" spans="1:11" x14ac:dyDescent="0.4">
      <c r="A178" s="18">
        <v>44392</v>
      </c>
      <c r="B178" s="9">
        <v>434.75</v>
      </c>
      <c r="C178" s="11">
        <f t="shared" si="9"/>
        <v>422.66020000000009</v>
      </c>
      <c r="D178" t="e">
        <v>#N/A</v>
      </c>
      <c r="E178" s="9"/>
      <c r="F178" s="9"/>
      <c r="G178" s="9">
        <f t="shared" ca="1" si="10"/>
        <v>422.66020000000009</v>
      </c>
      <c r="H178" s="9">
        <f t="shared" ca="1" si="11"/>
        <v>394.1249431818182</v>
      </c>
      <c r="I178" s="12">
        <f ca="1">IF(AND('Data Analysis Addin'!$G178&lt;='Data Analysis Addin'!$H178,G179&gt;H179), 1, 0)</f>
        <v>0</v>
      </c>
      <c r="J178" s="3">
        <f t="shared" ca="1" si="12"/>
        <v>0</v>
      </c>
      <c r="K178" s="19">
        <f>YEAR('Data Analysis Addin'!$A178)</f>
        <v>2021</v>
      </c>
    </row>
    <row r="179" spans="1:11" x14ac:dyDescent="0.4">
      <c r="A179" s="16">
        <v>44393</v>
      </c>
      <c r="B179" s="8">
        <v>431.34</v>
      </c>
      <c r="C179" s="11">
        <f t="shared" si="9"/>
        <v>422.97200000000004</v>
      </c>
      <c r="D179" t="e">
        <v>#N/A</v>
      </c>
      <c r="E179" s="8"/>
      <c r="F179" s="8"/>
      <c r="G179" s="8">
        <f t="shared" ca="1" si="10"/>
        <v>422.97200000000004</v>
      </c>
      <c r="H179" s="8">
        <f t="shared" ca="1" si="11"/>
        <v>394.33519774011302</v>
      </c>
      <c r="I179" s="12">
        <f ca="1">IF(AND('Data Analysis Addin'!$G179&lt;='Data Analysis Addin'!$H179,G180&gt;H180), 1, 0)</f>
        <v>0</v>
      </c>
      <c r="J179" s="2">
        <f t="shared" ca="1" si="12"/>
        <v>0</v>
      </c>
      <c r="K179" s="17">
        <f>YEAR('Data Analysis Addin'!$A179)</f>
        <v>2021</v>
      </c>
    </row>
    <row r="180" spans="1:11" x14ac:dyDescent="0.4">
      <c r="A180" s="18">
        <v>44396</v>
      </c>
      <c r="B180" s="9">
        <v>424.97</v>
      </c>
      <c r="C180" s="11">
        <f t="shared" ref="C180:C243" si="13">AVERAGE(B131:B180)</f>
        <v>423.09000000000015</v>
      </c>
      <c r="D180" t="e">
        <v>#N/A</v>
      </c>
      <c r="E180" s="9"/>
      <c r="F180" s="9"/>
      <c r="G180" s="9">
        <f t="shared" ca="1" si="10"/>
        <v>423.09000000000015</v>
      </c>
      <c r="H180" s="9">
        <f t="shared" ca="1" si="11"/>
        <v>394.50730337078653</v>
      </c>
      <c r="I180" s="12">
        <f ca="1">IF(AND('Data Analysis Addin'!$G180&lt;='Data Analysis Addin'!$H180,G181&gt;H181), 1, 0)</f>
        <v>0</v>
      </c>
      <c r="J180" s="3">
        <f t="shared" ca="1" si="12"/>
        <v>0</v>
      </c>
      <c r="K180" s="19">
        <f>YEAR('Data Analysis Addin'!$A180)</f>
        <v>2021</v>
      </c>
    </row>
    <row r="181" spans="1:11" x14ac:dyDescent="0.4">
      <c r="A181" s="16">
        <v>44397</v>
      </c>
      <c r="B181" s="8">
        <v>431.06</v>
      </c>
      <c r="C181" s="11">
        <f t="shared" si="13"/>
        <v>423.26880000000011</v>
      </c>
      <c r="D181" t="e">
        <v>#N/A</v>
      </c>
      <c r="E181" s="8"/>
      <c r="F181" s="8"/>
      <c r="G181" s="8">
        <f t="shared" ca="1" si="10"/>
        <v>423.26880000000011</v>
      </c>
      <c r="H181" s="8">
        <f t="shared" ca="1" si="11"/>
        <v>394.71150837988824</v>
      </c>
      <c r="I181" s="12">
        <f ca="1">IF(AND('Data Analysis Addin'!$G181&lt;='Data Analysis Addin'!$H181,G182&gt;H182), 1, 0)</f>
        <v>0</v>
      </c>
      <c r="J181" s="2">
        <f t="shared" ca="1" si="12"/>
        <v>0</v>
      </c>
      <c r="K181" s="17">
        <f>YEAR('Data Analysis Addin'!$A181)</f>
        <v>2021</v>
      </c>
    </row>
    <row r="182" spans="1:11" x14ac:dyDescent="0.4">
      <c r="A182" s="18">
        <v>44398</v>
      </c>
      <c r="B182" s="9">
        <v>434.55</v>
      </c>
      <c r="C182" s="11">
        <f t="shared" si="13"/>
        <v>423.60100000000006</v>
      </c>
      <c r="D182" t="e">
        <v>#N/A</v>
      </c>
      <c r="E182" s="9"/>
      <c r="F182" s="9"/>
      <c r="G182" s="9">
        <f t="shared" ca="1" si="10"/>
        <v>423.60100000000006</v>
      </c>
      <c r="H182" s="9">
        <f t="shared" ca="1" si="11"/>
        <v>394.93283333333335</v>
      </c>
      <c r="I182" s="12">
        <f ca="1">IF(AND('Data Analysis Addin'!$G182&lt;='Data Analysis Addin'!$H182,G183&gt;H183), 1, 0)</f>
        <v>0</v>
      </c>
      <c r="J182" s="3">
        <f t="shared" ca="1" si="12"/>
        <v>0</v>
      </c>
      <c r="K182" s="19">
        <f>YEAR('Data Analysis Addin'!$A182)</f>
        <v>2021</v>
      </c>
    </row>
    <row r="183" spans="1:11" x14ac:dyDescent="0.4">
      <c r="A183" s="16">
        <v>44399</v>
      </c>
      <c r="B183" s="8">
        <v>435.46</v>
      </c>
      <c r="C183" s="11">
        <f t="shared" si="13"/>
        <v>424.02600000000007</v>
      </c>
      <c r="D183" t="e">
        <v>#N/A</v>
      </c>
      <c r="E183" s="8"/>
      <c r="F183" s="8"/>
      <c r="G183" s="8">
        <f t="shared" ca="1" si="10"/>
        <v>424.02600000000007</v>
      </c>
      <c r="H183" s="8">
        <f t="shared" ca="1" si="11"/>
        <v>395.15674033149179</v>
      </c>
      <c r="I183" s="12">
        <f ca="1">IF(AND('Data Analysis Addin'!$G183&lt;='Data Analysis Addin'!$H183,G184&gt;H184), 1, 0)</f>
        <v>0</v>
      </c>
      <c r="J183" s="2">
        <f t="shared" ca="1" si="12"/>
        <v>0</v>
      </c>
      <c r="K183" s="17">
        <f>YEAR('Data Analysis Addin'!$A183)</f>
        <v>2021</v>
      </c>
    </row>
    <row r="184" spans="1:11" x14ac:dyDescent="0.4">
      <c r="A184" s="18">
        <v>44400</v>
      </c>
      <c r="B184" s="9">
        <v>439.94</v>
      </c>
      <c r="C184" s="11">
        <f t="shared" si="13"/>
        <v>424.71660000000003</v>
      </c>
      <c r="D184" t="e">
        <v>#N/A</v>
      </c>
      <c r="E184" s="9"/>
      <c r="F184" s="9"/>
      <c r="G184" s="9">
        <f t="shared" ca="1" si="10"/>
        <v>424.71660000000003</v>
      </c>
      <c r="H184" s="9">
        <f t="shared" ca="1" si="11"/>
        <v>395.40280219780226</v>
      </c>
      <c r="I184" s="12">
        <f ca="1">IF(AND('Data Analysis Addin'!$G184&lt;='Data Analysis Addin'!$H184,G185&gt;H185), 1, 0)</f>
        <v>0</v>
      </c>
      <c r="J184" s="3">
        <f t="shared" ca="1" si="12"/>
        <v>0</v>
      </c>
      <c r="K184" s="19">
        <f>YEAR('Data Analysis Addin'!$A184)</f>
        <v>2021</v>
      </c>
    </row>
    <row r="185" spans="1:11" x14ac:dyDescent="0.4">
      <c r="A185" s="16">
        <v>44403</v>
      </c>
      <c r="B185" s="8">
        <v>441.02</v>
      </c>
      <c r="C185" s="11">
        <f t="shared" si="13"/>
        <v>425.33140000000009</v>
      </c>
      <c r="D185" t="e">
        <v>#N/A</v>
      </c>
      <c r="E185" s="8"/>
      <c r="F185" s="8"/>
      <c r="G185" s="8">
        <f t="shared" ca="1" si="10"/>
        <v>425.33140000000009</v>
      </c>
      <c r="H185" s="8">
        <f t="shared" ca="1" si="11"/>
        <v>395.65207650273231</v>
      </c>
      <c r="I185" s="12">
        <f ca="1">IF(AND('Data Analysis Addin'!$G185&lt;='Data Analysis Addin'!$H185,G186&gt;H186), 1, 0)</f>
        <v>0</v>
      </c>
      <c r="J185" s="2">
        <f t="shared" ca="1" si="12"/>
        <v>0</v>
      </c>
      <c r="K185" s="17">
        <f>YEAR('Data Analysis Addin'!$A185)</f>
        <v>2021</v>
      </c>
    </row>
    <row r="186" spans="1:11" x14ac:dyDescent="0.4">
      <c r="A186" s="18">
        <v>44404</v>
      </c>
      <c r="B186" s="9">
        <v>439.01</v>
      </c>
      <c r="C186" s="11">
        <f t="shared" si="13"/>
        <v>425.78000000000009</v>
      </c>
      <c r="D186" t="e">
        <v>#N/A</v>
      </c>
      <c r="E186" s="9"/>
      <c r="F186" s="9"/>
      <c r="G186" s="9">
        <f t="shared" ca="1" si="10"/>
        <v>425.78000000000009</v>
      </c>
      <c r="H186" s="9">
        <f t="shared" ca="1" si="11"/>
        <v>395.88771739130442</v>
      </c>
      <c r="I186" s="12">
        <f ca="1">IF(AND('Data Analysis Addin'!$G186&lt;='Data Analysis Addin'!$H186,G187&gt;H187), 1, 0)</f>
        <v>0</v>
      </c>
      <c r="J186" s="3">
        <f t="shared" ca="1" si="12"/>
        <v>0</v>
      </c>
      <c r="K186" s="19">
        <f>YEAR('Data Analysis Addin'!$A186)</f>
        <v>2021</v>
      </c>
    </row>
    <row r="187" spans="1:11" x14ac:dyDescent="0.4">
      <c r="A187" s="16">
        <v>44405</v>
      </c>
      <c r="B187" s="8">
        <v>438.83</v>
      </c>
      <c r="C187" s="11">
        <f t="shared" si="13"/>
        <v>426.24620000000004</v>
      </c>
      <c r="D187" t="e">
        <v>#N/A</v>
      </c>
      <c r="E187" s="8"/>
      <c r="F187" s="8"/>
      <c r="G187" s="8">
        <f t="shared" ca="1" si="10"/>
        <v>426.24620000000004</v>
      </c>
      <c r="H187" s="8">
        <f t="shared" ca="1" si="11"/>
        <v>396.11983783783791</v>
      </c>
      <c r="I187" s="12">
        <f ca="1">IF(AND('Data Analysis Addin'!$G187&lt;='Data Analysis Addin'!$H187,G188&gt;H188), 1, 0)</f>
        <v>0</v>
      </c>
      <c r="J187" s="2">
        <f t="shared" ca="1" si="12"/>
        <v>0</v>
      </c>
      <c r="K187" s="17">
        <f>YEAR('Data Analysis Addin'!$A187)</f>
        <v>2021</v>
      </c>
    </row>
    <row r="188" spans="1:11" x14ac:dyDescent="0.4">
      <c r="A188" s="18">
        <v>44406</v>
      </c>
      <c r="B188" s="9">
        <v>440.65</v>
      </c>
      <c r="C188" s="11">
        <f t="shared" si="13"/>
        <v>426.82040000000006</v>
      </c>
      <c r="D188" t="e">
        <v>#N/A</v>
      </c>
      <c r="E188" s="9"/>
      <c r="F188" s="9"/>
      <c r="G188" s="9">
        <f t="shared" ca="1" si="10"/>
        <v>426.82040000000006</v>
      </c>
      <c r="H188" s="9">
        <f t="shared" ca="1" si="11"/>
        <v>396.35924731182797</v>
      </c>
      <c r="I188" s="12">
        <f ca="1">IF(AND('Data Analysis Addin'!$G188&lt;='Data Analysis Addin'!$H188,G189&gt;H189), 1, 0)</f>
        <v>0</v>
      </c>
      <c r="J188" s="3">
        <f t="shared" ca="1" si="12"/>
        <v>0</v>
      </c>
      <c r="K188" s="19">
        <f>YEAR('Data Analysis Addin'!$A188)</f>
        <v>2021</v>
      </c>
    </row>
    <row r="189" spans="1:11" x14ac:dyDescent="0.4">
      <c r="A189" s="16">
        <v>44407</v>
      </c>
      <c r="B189" s="8">
        <v>438.51</v>
      </c>
      <c r="C189" s="11">
        <f t="shared" si="13"/>
        <v>427.37340000000006</v>
      </c>
      <c r="D189" t="e">
        <v>#N/A</v>
      </c>
      <c r="E189" s="8"/>
      <c r="F189" s="8"/>
      <c r="G189" s="8">
        <f t="shared" ca="1" si="10"/>
        <v>427.37340000000006</v>
      </c>
      <c r="H189" s="8">
        <f t="shared" ca="1" si="11"/>
        <v>396.58465240641715</v>
      </c>
      <c r="I189" s="12">
        <f ca="1">IF(AND('Data Analysis Addin'!$G189&lt;='Data Analysis Addin'!$H189,G190&gt;H190), 1, 0)</f>
        <v>0</v>
      </c>
      <c r="J189" s="2">
        <f t="shared" ca="1" si="12"/>
        <v>0</v>
      </c>
      <c r="K189" s="17">
        <f>YEAR('Data Analysis Addin'!$A189)</f>
        <v>2021</v>
      </c>
    </row>
    <row r="190" spans="1:11" x14ac:dyDescent="0.4">
      <c r="A190" s="18">
        <v>44410</v>
      </c>
      <c r="B190" s="9">
        <v>437.59</v>
      </c>
      <c r="C190" s="11">
        <f t="shared" si="13"/>
        <v>427.81959999999998</v>
      </c>
      <c r="D190" t="e">
        <v>#N/A</v>
      </c>
      <c r="E190" s="9"/>
      <c r="F190" s="9"/>
      <c r="G190" s="9">
        <f t="shared" ca="1" si="10"/>
        <v>427.81959999999998</v>
      </c>
      <c r="H190" s="9">
        <f t="shared" ca="1" si="11"/>
        <v>396.80276595744681</v>
      </c>
      <c r="I190" s="12">
        <f ca="1">IF(AND('Data Analysis Addin'!$G190&lt;='Data Analysis Addin'!$H190,G191&gt;H191), 1, 0)</f>
        <v>0</v>
      </c>
      <c r="J190" s="3">
        <f t="shared" ca="1" si="12"/>
        <v>0</v>
      </c>
      <c r="K190" s="19">
        <f>YEAR('Data Analysis Addin'!$A190)</f>
        <v>2021</v>
      </c>
    </row>
    <row r="191" spans="1:11" x14ac:dyDescent="0.4">
      <c r="A191" s="16">
        <v>44411</v>
      </c>
      <c r="B191" s="8">
        <v>441.15</v>
      </c>
      <c r="C191" s="11">
        <f t="shared" si="13"/>
        <v>428.34380000000004</v>
      </c>
      <c r="D191" t="e">
        <v>#N/A</v>
      </c>
      <c r="E191" s="8"/>
      <c r="F191" s="8"/>
      <c r="G191" s="8">
        <f t="shared" ca="1" si="10"/>
        <v>428.34380000000004</v>
      </c>
      <c r="H191" s="8">
        <f t="shared" ca="1" si="11"/>
        <v>397.03740740740739</v>
      </c>
      <c r="I191" s="12">
        <f ca="1">IF(AND('Data Analysis Addin'!$G191&lt;='Data Analysis Addin'!$H191,G192&gt;H192), 1, 0)</f>
        <v>0</v>
      </c>
      <c r="J191" s="2">
        <f t="shared" ca="1" si="12"/>
        <v>0</v>
      </c>
      <c r="K191" s="17">
        <f>YEAR('Data Analysis Addin'!$A191)</f>
        <v>2021</v>
      </c>
    </row>
    <row r="192" spans="1:11" x14ac:dyDescent="0.4">
      <c r="A192" s="18">
        <v>44412</v>
      </c>
      <c r="B192" s="9">
        <v>438.98</v>
      </c>
      <c r="C192" s="11">
        <f t="shared" si="13"/>
        <v>428.73999999999995</v>
      </c>
      <c r="D192" t="e">
        <v>#N/A</v>
      </c>
      <c r="E192" s="9"/>
      <c r="F192" s="9"/>
      <c r="G192" s="9">
        <f t="shared" ca="1" si="10"/>
        <v>428.73999999999995</v>
      </c>
      <c r="H192" s="9">
        <f t="shared" ca="1" si="11"/>
        <v>397.25815789473677</v>
      </c>
      <c r="I192" s="12">
        <f ca="1">IF(AND('Data Analysis Addin'!$G192&lt;='Data Analysis Addin'!$H192,G193&gt;H193), 1, 0)</f>
        <v>0</v>
      </c>
      <c r="J192" s="3">
        <f t="shared" ca="1" si="12"/>
        <v>0</v>
      </c>
      <c r="K192" s="19">
        <f>YEAR('Data Analysis Addin'!$A192)</f>
        <v>2021</v>
      </c>
    </row>
    <row r="193" spans="1:11" x14ac:dyDescent="0.4">
      <c r="A193" s="16">
        <v>44413</v>
      </c>
      <c r="B193" s="8">
        <v>441.76</v>
      </c>
      <c r="C193" s="11">
        <f t="shared" si="13"/>
        <v>429.21039999999994</v>
      </c>
      <c r="D193" t="e">
        <v>#N/A</v>
      </c>
      <c r="E193" s="8"/>
      <c r="F193" s="8"/>
      <c r="G193" s="8">
        <f t="shared" ca="1" si="10"/>
        <v>429.21039999999994</v>
      </c>
      <c r="H193" s="8">
        <f t="shared" ca="1" si="11"/>
        <v>397.49115183246062</v>
      </c>
      <c r="I193" s="12">
        <f ca="1">IF(AND('Data Analysis Addin'!$G193&lt;='Data Analysis Addin'!$H193,G194&gt;H194), 1, 0)</f>
        <v>0</v>
      </c>
      <c r="J193" s="2">
        <f t="shared" ca="1" si="12"/>
        <v>0</v>
      </c>
      <c r="K193" s="17">
        <f>YEAR('Data Analysis Addin'!$A193)</f>
        <v>2021</v>
      </c>
    </row>
    <row r="194" spans="1:11" x14ac:dyDescent="0.4">
      <c r="A194" s="18">
        <v>44414</v>
      </c>
      <c r="B194" s="9">
        <v>442.49</v>
      </c>
      <c r="C194" s="11">
        <f t="shared" si="13"/>
        <v>429.67879999999997</v>
      </c>
      <c r="D194" t="e">
        <v>#N/A</v>
      </c>
      <c r="E194" s="9"/>
      <c r="F194" s="9"/>
      <c r="G194" s="9">
        <f t="shared" ca="1" si="10"/>
        <v>429.67879999999997</v>
      </c>
      <c r="H194" s="9">
        <f t="shared" ca="1" si="11"/>
        <v>397.72552083333329</v>
      </c>
      <c r="I194" s="12">
        <f ca="1">IF(AND('Data Analysis Addin'!$G194&lt;='Data Analysis Addin'!$H194,G195&gt;H195), 1, 0)</f>
        <v>0</v>
      </c>
      <c r="J194" s="3">
        <f t="shared" ca="1" si="12"/>
        <v>0</v>
      </c>
      <c r="K194" s="19">
        <f>YEAR('Data Analysis Addin'!$A194)</f>
        <v>2021</v>
      </c>
    </row>
    <row r="195" spans="1:11" x14ac:dyDescent="0.4">
      <c r="A195" s="16">
        <v>44417</v>
      </c>
      <c r="B195" s="8">
        <v>442.13</v>
      </c>
      <c r="C195" s="11">
        <f t="shared" si="13"/>
        <v>430.13559999999995</v>
      </c>
      <c r="D195" t="e">
        <v>#N/A</v>
      </c>
      <c r="E195" s="8"/>
      <c r="F195" s="8"/>
      <c r="G195" s="8">
        <f t="shared" ref="G195:G258" ca="1" si="14">AVERAGE(OFFSET($B195,0,0,-(MIN(ROW()-ROW($B$3)+1,n_50)),1))</f>
        <v>430.13559999999995</v>
      </c>
      <c r="H195" s="8">
        <f t="shared" ref="H195:H258" ca="1" si="15">AVERAGE(OFFSET($B195,0,0,-(MIN(ROW()-ROW($B$3)+1,n_200)),1))</f>
        <v>397.95559585492225</v>
      </c>
      <c r="I195" s="12">
        <f ca="1">IF(AND('Data Analysis Addin'!$G195&lt;='Data Analysis Addin'!$H195,G196&gt;H196), 1, 0)</f>
        <v>0</v>
      </c>
      <c r="J195" s="2">
        <f t="shared" ref="J195:J258" ca="1" si="16">IF($G195&lt;$H195,1,0)</f>
        <v>0</v>
      </c>
      <c r="K195" s="17">
        <f>YEAR('Data Analysis Addin'!$A195)</f>
        <v>2021</v>
      </c>
    </row>
    <row r="196" spans="1:11" x14ac:dyDescent="0.4">
      <c r="A196" s="18">
        <v>44418</v>
      </c>
      <c r="B196" s="9">
        <v>442.68</v>
      </c>
      <c r="C196" s="11">
        <f t="shared" si="13"/>
        <v>430.58839999999998</v>
      </c>
      <c r="D196" t="e">
        <v>#N/A</v>
      </c>
      <c r="E196" s="9"/>
      <c r="F196" s="9"/>
      <c r="G196" s="9">
        <f t="shared" ca="1" si="14"/>
        <v>430.58839999999998</v>
      </c>
      <c r="H196" s="9">
        <f t="shared" ca="1" si="15"/>
        <v>398.18613402061851</v>
      </c>
      <c r="I196" s="12">
        <f ca="1">IF(AND('Data Analysis Addin'!$G196&lt;='Data Analysis Addin'!$H196,G197&gt;H197), 1, 0)</f>
        <v>0</v>
      </c>
      <c r="J196" s="3">
        <f t="shared" ca="1" si="16"/>
        <v>0</v>
      </c>
      <c r="K196" s="19">
        <f>YEAR('Data Analysis Addin'!$A196)</f>
        <v>2021</v>
      </c>
    </row>
    <row r="197" spans="1:11" x14ac:dyDescent="0.4">
      <c r="A197" s="16">
        <v>44419</v>
      </c>
      <c r="B197" s="8">
        <v>443.78</v>
      </c>
      <c r="C197" s="11">
        <f t="shared" si="13"/>
        <v>431.07059999999996</v>
      </c>
      <c r="D197" t="e">
        <v>#N/A</v>
      </c>
      <c r="E197" s="8"/>
      <c r="F197" s="8"/>
      <c r="G197" s="8">
        <f t="shared" ca="1" si="14"/>
        <v>431.07059999999996</v>
      </c>
      <c r="H197" s="8">
        <f t="shared" ca="1" si="15"/>
        <v>398.41994871794861</v>
      </c>
      <c r="I197" s="12">
        <f ca="1">IF(AND('Data Analysis Addin'!$G197&lt;='Data Analysis Addin'!$H197,G198&gt;H198), 1, 0)</f>
        <v>0</v>
      </c>
      <c r="J197" s="2">
        <f t="shared" ca="1" si="16"/>
        <v>0</v>
      </c>
      <c r="K197" s="17">
        <f>YEAR('Data Analysis Addin'!$A197)</f>
        <v>2021</v>
      </c>
    </row>
    <row r="198" spans="1:11" x14ac:dyDescent="0.4">
      <c r="A198" s="18">
        <v>44420</v>
      </c>
      <c r="B198" s="9">
        <v>445.11</v>
      </c>
      <c r="C198" s="11">
        <f t="shared" si="13"/>
        <v>431.56620000000004</v>
      </c>
      <c r="D198" t="e">
        <v>#N/A</v>
      </c>
      <c r="E198" s="9"/>
      <c r="F198" s="9"/>
      <c r="G198" s="9">
        <f t="shared" ca="1" si="14"/>
        <v>431.56620000000004</v>
      </c>
      <c r="H198" s="9">
        <f t="shared" ca="1" si="15"/>
        <v>398.65816326530603</v>
      </c>
      <c r="I198" s="12">
        <f ca="1">IF(AND('Data Analysis Addin'!$G198&lt;='Data Analysis Addin'!$H198,G199&gt;H199), 1, 0)</f>
        <v>0</v>
      </c>
      <c r="J198" s="3">
        <f t="shared" ca="1" si="16"/>
        <v>0</v>
      </c>
      <c r="K198" s="19">
        <f>YEAR('Data Analysis Addin'!$A198)</f>
        <v>2021</v>
      </c>
    </row>
    <row r="199" spans="1:11" x14ac:dyDescent="0.4">
      <c r="A199" s="16">
        <v>44421</v>
      </c>
      <c r="B199" s="8">
        <v>445.92</v>
      </c>
      <c r="C199" s="11">
        <f t="shared" si="13"/>
        <v>432.10919999999993</v>
      </c>
      <c r="D199" t="e">
        <v>#N/A</v>
      </c>
      <c r="E199" s="8"/>
      <c r="F199" s="8"/>
      <c r="G199" s="8">
        <f t="shared" ca="1" si="14"/>
        <v>432.10919999999993</v>
      </c>
      <c r="H199" s="8">
        <f t="shared" ca="1" si="15"/>
        <v>398.89807106598977</v>
      </c>
      <c r="I199" s="12">
        <f ca="1">IF(AND('Data Analysis Addin'!$G199&lt;='Data Analysis Addin'!$H199,G200&gt;H200), 1, 0)</f>
        <v>0</v>
      </c>
      <c r="J199" s="2">
        <f t="shared" ca="1" si="16"/>
        <v>0</v>
      </c>
      <c r="K199" s="17">
        <f>YEAR('Data Analysis Addin'!$A199)</f>
        <v>2021</v>
      </c>
    </row>
    <row r="200" spans="1:11" x14ac:dyDescent="0.4">
      <c r="A200" s="18">
        <v>44424</v>
      </c>
      <c r="B200" s="9">
        <v>446.97</v>
      </c>
      <c r="C200" s="11">
        <f t="shared" si="13"/>
        <v>432.59659999999997</v>
      </c>
      <c r="D200" t="e">
        <v>#N/A</v>
      </c>
      <c r="E200" s="9"/>
      <c r="F200" s="9"/>
      <c r="G200" s="9">
        <f t="shared" ca="1" si="14"/>
        <v>432.59659999999997</v>
      </c>
      <c r="H200" s="9">
        <f t="shared" ca="1" si="15"/>
        <v>399.1408585858585</v>
      </c>
      <c r="I200" s="12">
        <f ca="1">IF(AND('Data Analysis Addin'!$G200&lt;='Data Analysis Addin'!$H200,G201&gt;H201), 1, 0)</f>
        <v>0</v>
      </c>
      <c r="J200" s="3">
        <f t="shared" ca="1" si="16"/>
        <v>0</v>
      </c>
      <c r="K200" s="19">
        <f>YEAR('Data Analysis Addin'!$A200)</f>
        <v>2021</v>
      </c>
    </row>
    <row r="201" spans="1:11" x14ac:dyDescent="0.4">
      <c r="A201" s="16">
        <v>44425</v>
      </c>
      <c r="B201" s="8">
        <v>444.04</v>
      </c>
      <c r="C201" s="11">
        <f t="shared" si="13"/>
        <v>433.03359999999998</v>
      </c>
      <c r="D201" t="e">
        <v>#N/A</v>
      </c>
      <c r="E201" s="8"/>
      <c r="F201" s="8"/>
      <c r="G201" s="8">
        <f t="shared" ca="1" si="14"/>
        <v>433.03359999999998</v>
      </c>
      <c r="H201" s="8">
        <f t="shared" ca="1" si="15"/>
        <v>399.36648241206018</v>
      </c>
      <c r="I201" s="12">
        <f ca="1">IF(AND('Data Analysis Addin'!$G201&lt;='Data Analysis Addin'!$H201,G202&gt;H202), 1, 0)</f>
        <v>0</v>
      </c>
      <c r="J201" s="2">
        <f t="shared" ca="1" si="16"/>
        <v>0</v>
      </c>
      <c r="K201" s="17">
        <f>YEAR('Data Analysis Addin'!$A201)</f>
        <v>2021</v>
      </c>
    </row>
    <row r="202" spans="1:11" x14ac:dyDescent="0.4">
      <c r="A202" s="18">
        <v>44426</v>
      </c>
      <c r="B202" s="9">
        <v>439.18</v>
      </c>
      <c r="C202" s="11">
        <f t="shared" si="13"/>
        <v>433.37160000000006</v>
      </c>
      <c r="D202" s="11">
        <f t="shared" ref="D202:D265" si="17">AVERAGE(B3:B202)</f>
        <v>399.56554999999986</v>
      </c>
      <c r="E202" s="9"/>
      <c r="F202" s="9"/>
      <c r="G202" s="9">
        <f t="shared" ca="1" si="14"/>
        <v>433.37160000000006</v>
      </c>
      <c r="H202" s="9">
        <f t="shared" ca="1" si="15"/>
        <v>399.56554999999986</v>
      </c>
      <c r="I202" s="12">
        <f ca="1">IF(AND('Data Analysis Addin'!$G202&lt;='Data Analysis Addin'!$H202,G203&gt;H203), 1, 0)</f>
        <v>0</v>
      </c>
      <c r="J202" s="3">
        <f t="shared" ca="1" si="16"/>
        <v>0</v>
      </c>
      <c r="K202" s="19">
        <f>YEAR('Data Analysis Addin'!$A202)</f>
        <v>2021</v>
      </c>
    </row>
    <row r="203" spans="1:11" x14ac:dyDescent="0.4">
      <c r="A203" s="16">
        <v>44427</v>
      </c>
      <c r="B203" s="8">
        <v>439.86</v>
      </c>
      <c r="C203" s="11">
        <f t="shared" si="13"/>
        <v>433.73580000000004</v>
      </c>
      <c r="D203" s="11">
        <f t="shared" si="17"/>
        <v>400.1138499999999</v>
      </c>
      <c r="E203" s="8"/>
      <c r="F203" s="8"/>
      <c r="G203" s="8">
        <f t="shared" ca="1" si="14"/>
        <v>433.73580000000004</v>
      </c>
      <c r="H203" s="8">
        <f t="shared" ca="1" si="15"/>
        <v>400.1138499999999</v>
      </c>
      <c r="I203" s="12">
        <f ca="1">IF(AND('Data Analysis Addin'!$G203&lt;='Data Analysis Addin'!$H203,G204&gt;H204), 1, 0)</f>
        <v>0</v>
      </c>
      <c r="J203" s="2">
        <f t="shared" ca="1" si="16"/>
        <v>0</v>
      </c>
      <c r="K203" s="17">
        <f>YEAR('Data Analysis Addin'!$A203)</f>
        <v>2021</v>
      </c>
    </row>
    <row r="204" spans="1:11" x14ac:dyDescent="0.4">
      <c r="A204" s="18">
        <v>44428</v>
      </c>
      <c r="B204" s="9">
        <v>443.36</v>
      </c>
      <c r="C204" s="11">
        <f t="shared" si="13"/>
        <v>434.13080000000002</v>
      </c>
      <c r="D204" s="11">
        <f t="shared" si="17"/>
        <v>400.65049999999991</v>
      </c>
      <c r="E204" s="9"/>
      <c r="F204" s="9"/>
      <c r="G204" s="9">
        <f t="shared" ca="1" si="14"/>
        <v>434.13080000000002</v>
      </c>
      <c r="H204" s="9">
        <f t="shared" ca="1" si="15"/>
        <v>400.65049999999991</v>
      </c>
      <c r="I204" s="12">
        <f ca="1">IF(AND('Data Analysis Addin'!$G204&lt;='Data Analysis Addin'!$H204,G205&gt;H205), 1, 0)</f>
        <v>0</v>
      </c>
      <c r="J204" s="3">
        <f t="shared" ca="1" si="16"/>
        <v>0</v>
      </c>
      <c r="K204" s="19">
        <f>YEAR('Data Analysis Addin'!$A204)</f>
        <v>2021</v>
      </c>
    </row>
    <row r="205" spans="1:11" x14ac:dyDescent="0.4">
      <c r="A205" s="16">
        <v>44431</v>
      </c>
      <c r="B205" s="8">
        <v>447.26</v>
      </c>
      <c r="C205" s="11">
        <f t="shared" si="13"/>
        <v>434.58980000000003</v>
      </c>
      <c r="D205" s="11">
        <f t="shared" si="17"/>
        <v>401.1690999999999</v>
      </c>
      <c r="E205" s="8"/>
      <c r="F205" s="8"/>
      <c r="G205" s="8">
        <f t="shared" ca="1" si="14"/>
        <v>434.58980000000003</v>
      </c>
      <c r="H205" s="8">
        <f t="shared" ca="1" si="15"/>
        <v>401.1690999999999</v>
      </c>
      <c r="I205" s="12">
        <f ca="1">IF(AND('Data Analysis Addin'!$G205&lt;='Data Analysis Addin'!$H205,G206&gt;H206), 1, 0)</f>
        <v>0</v>
      </c>
      <c r="J205" s="2">
        <f t="shared" ca="1" si="16"/>
        <v>0</v>
      </c>
      <c r="K205" s="17">
        <f>YEAR('Data Analysis Addin'!$A205)</f>
        <v>2021</v>
      </c>
    </row>
    <row r="206" spans="1:11" x14ac:dyDescent="0.4">
      <c r="A206" s="18">
        <v>44432</v>
      </c>
      <c r="B206" s="9">
        <v>447.97</v>
      </c>
      <c r="C206" s="11">
        <f t="shared" si="13"/>
        <v>435.04400000000004</v>
      </c>
      <c r="D206" s="11">
        <f t="shared" si="17"/>
        <v>401.65774999999985</v>
      </c>
      <c r="E206" s="9"/>
      <c r="F206" s="9"/>
      <c r="G206" s="9">
        <f t="shared" ca="1" si="14"/>
        <v>435.04400000000004</v>
      </c>
      <c r="H206" s="9">
        <f t="shared" ca="1" si="15"/>
        <v>401.65774999999985</v>
      </c>
      <c r="I206" s="12">
        <f ca="1">IF(AND('Data Analysis Addin'!$G206&lt;='Data Analysis Addin'!$H206,G207&gt;H207), 1, 0)</f>
        <v>0</v>
      </c>
      <c r="J206" s="3">
        <f t="shared" ca="1" si="16"/>
        <v>0</v>
      </c>
      <c r="K206" s="19">
        <f>YEAR('Data Analysis Addin'!$A206)</f>
        <v>2021</v>
      </c>
    </row>
    <row r="207" spans="1:11" x14ac:dyDescent="0.4">
      <c r="A207" s="16">
        <v>44433</v>
      </c>
      <c r="B207" s="8">
        <v>448.91</v>
      </c>
      <c r="C207" s="11">
        <f t="shared" si="13"/>
        <v>435.5326</v>
      </c>
      <c r="D207" s="11">
        <f t="shared" si="17"/>
        <v>402.15149999999977</v>
      </c>
      <c r="E207" s="8"/>
      <c r="F207" s="8"/>
      <c r="G207" s="8">
        <f t="shared" ca="1" si="14"/>
        <v>435.5326</v>
      </c>
      <c r="H207" s="8">
        <f t="shared" ca="1" si="15"/>
        <v>402.15149999999977</v>
      </c>
      <c r="I207" s="12">
        <f ca="1">IF(AND('Data Analysis Addin'!$G207&lt;='Data Analysis Addin'!$H207,G208&gt;H208), 1, 0)</f>
        <v>0</v>
      </c>
      <c r="J207" s="2">
        <f t="shared" ca="1" si="16"/>
        <v>0</v>
      </c>
      <c r="K207" s="17">
        <f>YEAR('Data Analysis Addin'!$A207)</f>
        <v>2021</v>
      </c>
    </row>
    <row r="208" spans="1:11" x14ac:dyDescent="0.4">
      <c r="A208" s="18">
        <v>44434</v>
      </c>
      <c r="B208" s="9">
        <v>446.26</v>
      </c>
      <c r="C208" s="11">
        <f t="shared" si="13"/>
        <v>436.01559999999989</v>
      </c>
      <c r="D208" s="11">
        <f t="shared" si="17"/>
        <v>402.60999999999979</v>
      </c>
      <c r="E208" s="9"/>
      <c r="F208" s="9"/>
      <c r="G208" s="9">
        <f t="shared" ca="1" si="14"/>
        <v>436.01559999999989</v>
      </c>
      <c r="H208" s="9">
        <f t="shared" ca="1" si="15"/>
        <v>402.60999999999979</v>
      </c>
      <c r="I208" s="12">
        <f ca="1">IF(AND('Data Analysis Addin'!$G208&lt;='Data Analysis Addin'!$H208,G209&gt;H209), 1, 0)</f>
        <v>0</v>
      </c>
      <c r="J208" s="3">
        <f t="shared" ca="1" si="16"/>
        <v>0</v>
      </c>
      <c r="K208" s="19">
        <f>YEAR('Data Analysis Addin'!$A208)</f>
        <v>2021</v>
      </c>
    </row>
    <row r="209" spans="1:11" x14ac:dyDescent="0.4">
      <c r="A209" s="16">
        <v>44435</v>
      </c>
      <c r="B209" s="8">
        <v>450.25</v>
      </c>
      <c r="C209" s="11">
        <f t="shared" si="13"/>
        <v>436.58119999999997</v>
      </c>
      <c r="D209" s="11">
        <f t="shared" si="17"/>
        <v>403.09104999999977</v>
      </c>
      <c r="E209" s="8"/>
      <c r="F209" s="8"/>
      <c r="G209" s="8">
        <f t="shared" ca="1" si="14"/>
        <v>436.58119999999997</v>
      </c>
      <c r="H209" s="8">
        <f t="shared" ca="1" si="15"/>
        <v>403.09104999999977</v>
      </c>
      <c r="I209" s="12">
        <f ca="1">IF(AND('Data Analysis Addin'!$G209&lt;='Data Analysis Addin'!$H209,G210&gt;H210), 1, 0)</f>
        <v>0</v>
      </c>
      <c r="J209" s="2">
        <f t="shared" ca="1" si="16"/>
        <v>0</v>
      </c>
      <c r="K209" s="17">
        <f>YEAR('Data Analysis Addin'!$A209)</f>
        <v>2021</v>
      </c>
    </row>
    <row r="210" spans="1:11" x14ac:dyDescent="0.4">
      <c r="A210" s="18">
        <v>44438</v>
      </c>
      <c r="B210" s="9">
        <v>452.23</v>
      </c>
      <c r="C210" s="11">
        <f t="shared" si="13"/>
        <v>437.3273999999999</v>
      </c>
      <c r="D210" s="11">
        <f t="shared" si="17"/>
        <v>403.56884999999971</v>
      </c>
      <c r="E210" s="9"/>
      <c r="F210" s="9"/>
      <c r="G210" s="9">
        <f t="shared" ca="1" si="14"/>
        <v>437.3273999999999</v>
      </c>
      <c r="H210" s="9">
        <f t="shared" ca="1" si="15"/>
        <v>403.56884999999971</v>
      </c>
      <c r="I210" s="12">
        <f ca="1">IF(AND('Data Analysis Addin'!$G210&lt;='Data Analysis Addin'!$H210,G211&gt;H211), 1, 0)</f>
        <v>0</v>
      </c>
      <c r="J210" s="3">
        <f t="shared" ca="1" si="16"/>
        <v>0</v>
      </c>
      <c r="K210" s="19">
        <f>YEAR('Data Analysis Addin'!$A210)</f>
        <v>2021</v>
      </c>
    </row>
    <row r="211" spans="1:11" x14ac:dyDescent="0.4">
      <c r="A211" s="16">
        <v>44439</v>
      </c>
      <c r="B211" s="8">
        <v>451.56</v>
      </c>
      <c r="C211" s="11">
        <f t="shared" si="13"/>
        <v>437.94140000000004</v>
      </c>
      <c r="D211" s="11">
        <f t="shared" si="17"/>
        <v>404.06059999999968</v>
      </c>
      <c r="E211" s="8"/>
      <c r="F211" s="8"/>
      <c r="G211" s="8">
        <f t="shared" ca="1" si="14"/>
        <v>437.94140000000004</v>
      </c>
      <c r="H211" s="8">
        <f t="shared" ca="1" si="15"/>
        <v>404.06059999999968</v>
      </c>
      <c r="I211" s="12">
        <f ca="1">IF(AND('Data Analysis Addin'!$G211&lt;='Data Analysis Addin'!$H211,G212&gt;H212), 1, 0)</f>
        <v>0</v>
      </c>
      <c r="J211" s="2">
        <f t="shared" ca="1" si="16"/>
        <v>0</v>
      </c>
      <c r="K211" s="17">
        <f>YEAR('Data Analysis Addin'!$A211)</f>
        <v>2021</v>
      </c>
    </row>
    <row r="212" spans="1:11" x14ac:dyDescent="0.4">
      <c r="A212" s="18">
        <v>44440</v>
      </c>
      <c r="B212" s="9">
        <v>451.8</v>
      </c>
      <c r="C212" s="11">
        <f t="shared" si="13"/>
        <v>438.51519999999999</v>
      </c>
      <c r="D212" s="11">
        <f t="shared" si="17"/>
        <v>404.52909999999974</v>
      </c>
      <c r="E212" s="9"/>
      <c r="F212" s="9"/>
      <c r="G212" s="9">
        <f t="shared" ca="1" si="14"/>
        <v>438.51519999999999</v>
      </c>
      <c r="H212" s="9">
        <f t="shared" ca="1" si="15"/>
        <v>404.52909999999974</v>
      </c>
      <c r="I212" s="12">
        <f ca="1">IF(AND('Data Analysis Addin'!$G212&lt;='Data Analysis Addin'!$H212,G213&gt;H213), 1, 0)</f>
        <v>0</v>
      </c>
      <c r="J212" s="3">
        <f t="shared" ca="1" si="16"/>
        <v>0</v>
      </c>
      <c r="K212" s="19">
        <f>YEAR('Data Analysis Addin'!$A212)</f>
        <v>2021</v>
      </c>
    </row>
    <row r="213" spans="1:11" x14ac:dyDescent="0.4">
      <c r="A213" s="16">
        <v>44441</v>
      </c>
      <c r="B213" s="8">
        <v>453.19</v>
      </c>
      <c r="C213" s="11">
        <f t="shared" si="13"/>
        <v>439.12699999999995</v>
      </c>
      <c r="D213" s="11">
        <f t="shared" si="17"/>
        <v>404.98219999999969</v>
      </c>
      <c r="E213" s="8"/>
      <c r="F213" s="8"/>
      <c r="G213" s="8">
        <f t="shared" ca="1" si="14"/>
        <v>439.12699999999995</v>
      </c>
      <c r="H213" s="8">
        <f t="shared" ca="1" si="15"/>
        <v>404.98219999999969</v>
      </c>
      <c r="I213" s="12">
        <f ca="1">IF(AND('Data Analysis Addin'!$G213&lt;='Data Analysis Addin'!$H213,G214&gt;H214), 1, 0)</f>
        <v>0</v>
      </c>
      <c r="J213" s="2">
        <f t="shared" ca="1" si="16"/>
        <v>0</v>
      </c>
      <c r="K213" s="17">
        <f>YEAR('Data Analysis Addin'!$A213)</f>
        <v>2021</v>
      </c>
    </row>
    <row r="214" spans="1:11" x14ac:dyDescent="0.4">
      <c r="A214" s="18">
        <v>44442</v>
      </c>
      <c r="B214" s="9">
        <v>453.08</v>
      </c>
      <c r="C214" s="11">
        <f t="shared" si="13"/>
        <v>439.68660000000006</v>
      </c>
      <c r="D214" s="11">
        <f t="shared" si="17"/>
        <v>405.44449999999978</v>
      </c>
      <c r="E214" s="9"/>
      <c r="F214" s="9"/>
      <c r="G214" s="9">
        <f t="shared" ca="1" si="14"/>
        <v>439.68660000000006</v>
      </c>
      <c r="H214" s="9">
        <f t="shared" ca="1" si="15"/>
        <v>405.44449999999978</v>
      </c>
      <c r="I214" s="12">
        <f ca="1">IF(AND('Data Analysis Addin'!$G214&lt;='Data Analysis Addin'!$H214,G215&gt;H215), 1, 0)</f>
        <v>0</v>
      </c>
      <c r="J214" s="3">
        <f t="shared" ca="1" si="16"/>
        <v>0</v>
      </c>
      <c r="K214" s="19">
        <f>YEAR('Data Analysis Addin'!$A214)</f>
        <v>2021</v>
      </c>
    </row>
    <row r="215" spans="1:11" x14ac:dyDescent="0.4">
      <c r="A215" s="16">
        <v>44446</v>
      </c>
      <c r="B215" s="8">
        <v>451.46</v>
      </c>
      <c r="C215" s="11">
        <f t="shared" si="13"/>
        <v>440.18360000000001</v>
      </c>
      <c r="D215" s="11">
        <f t="shared" si="17"/>
        <v>405.92039999999974</v>
      </c>
      <c r="E215" s="8"/>
      <c r="F215" s="8"/>
      <c r="G215" s="8">
        <f t="shared" ca="1" si="14"/>
        <v>440.18360000000001</v>
      </c>
      <c r="H215" s="8">
        <f t="shared" ca="1" si="15"/>
        <v>405.92039999999974</v>
      </c>
      <c r="I215" s="12">
        <f ca="1">IF(AND('Data Analysis Addin'!$G215&lt;='Data Analysis Addin'!$H215,G216&gt;H216), 1, 0)</f>
        <v>0</v>
      </c>
      <c r="J215" s="2">
        <f t="shared" ca="1" si="16"/>
        <v>0</v>
      </c>
      <c r="K215" s="17">
        <f>YEAR('Data Analysis Addin'!$A215)</f>
        <v>2021</v>
      </c>
    </row>
    <row r="216" spans="1:11" x14ac:dyDescent="0.4">
      <c r="A216" s="18">
        <v>44447</v>
      </c>
      <c r="B216" s="9">
        <v>450.91</v>
      </c>
      <c r="C216" s="11">
        <f t="shared" si="13"/>
        <v>440.6524</v>
      </c>
      <c r="D216" s="11">
        <f t="shared" si="17"/>
        <v>406.38604999999984</v>
      </c>
      <c r="E216" s="9"/>
      <c r="F216" s="9"/>
      <c r="G216" s="9">
        <f t="shared" ca="1" si="14"/>
        <v>440.6524</v>
      </c>
      <c r="H216" s="9">
        <f t="shared" ca="1" si="15"/>
        <v>406.38604999999984</v>
      </c>
      <c r="I216" s="12">
        <f ca="1">IF(AND('Data Analysis Addin'!$G216&lt;='Data Analysis Addin'!$H216,G217&gt;H217), 1, 0)</f>
        <v>0</v>
      </c>
      <c r="J216" s="3">
        <f t="shared" ca="1" si="16"/>
        <v>0</v>
      </c>
      <c r="K216" s="19">
        <f>YEAR('Data Analysis Addin'!$A216)</f>
        <v>2021</v>
      </c>
    </row>
    <row r="217" spans="1:11" x14ac:dyDescent="0.4">
      <c r="A217" s="16">
        <v>44448</v>
      </c>
      <c r="B217" s="8">
        <v>448.98</v>
      </c>
      <c r="C217" s="11">
        <f t="shared" si="13"/>
        <v>441.07800000000003</v>
      </c>
      <c r="D217" s="11">
        <f t="shared" si="17"/>
        <v>406.85429999999974</v>
      </c>
      <c r="E217" s="8"/>
      <c r="F217" s="8"/>
      <c r="G217" s="8">
        <f t="shared" ca="1" si="14"/>
        <v>441.07800000000003</v>
      </c>
      <c r="H217" s="8">
        <f t="shared" ca="1" si="15"/>
        <v>406.85429999999974</v>
      </c>
      <c r="I217" s="12">
        <f ca="1">IF(AND('Data Analysis Addin'!$G217&lt;='Data Analysis Addin'!$H217,G218&gt;H218), 1, 0)</f>
        <v>0</v>
      </c>
      <c r="J217" s="2">
        <f t="shared" ca="1" si="16"/>
        <v>0</v>
      </c>
      <c r="K217" s="17">
        <f>YEAR('Data Analysis Addin'!$A217)</f>
        <v>2021</v>
      </c>
    </row>
    <row r="218" spans="1:11" x14ac:dyDescent="0.4">
      <c r="A218" s="18">
        <v>44449</v>
      </c>
      <c r="B218" s="9">
        <v>445.44</v>
      </c>
      <c r="C218" s="11">
        <f t="shared" si="13"/>
        <v>441.42559999999997</v>
      </c>
      <c r="D218" s="11">
        <f t="shared" si="17"/>
        <v>407.29419999999971</v>
      </c>
      <c r="E218" s="9"/>
      <c r="F218" s="9"/>
      <c r="G218" s="9">
        <f t="shared" ca="1" si="14"/>
        <v>441.42559999999997</v>
      </c>
      <c r="H218" s="9">
        <f t="shared" ca="1" si="15"/>
        <v>407.29419999999971</v>
      </c>
      <c r="I218" s="12">
        <f ca="1">IF(AND('Data Analysis Addin'!$G218&lt;='Data Analysis Addin'!$H218,G219&gt;H219), 1, 0)</f>
        <v>0</v>
      </c>
      <c r="J218" s="3">
        <f t="shared" ca="1" si="16"/>
        <v>0</v>
      </c>
      <c r="K218" s="19">
        <f>YEAR('Data Analysis Addin'!$A218)</f>
        <v>2021</v>
      </c>
    </row>
    <row r="219" spans="1:11" x14ac:dyDescent="0.4">
      <c r="A219" s="16">
        <v>44452</v>
      </c>
      <c r="B219" s="8">
        <v>446.58</v>
      </c>
      <c r="C219" s="11">
        <f t="shared" si="13"/>
        <v>441.74860000000001</v>
      </c>
      <c r="D219" s="11">
        <f t="shared" si="17"/>
        <v>407.71099999999967</v>
      </c>
      <c r="E219" s="8"/>
      <c r="F219" s="8"/>
      <c r="G219" s="8">
        <f t="shared" ca="1" si="14"/>
        <v>441.74860000000001</v>
      </c>
      <c r="H219" s="8">
        <f t="shared" ca="1" si="15"/>
        <v>407.71099999999967</v>
      </c>
      <c r="I219" s="12">
        <f ca="1">IF(AND('Data Analysis Addin'!$G219&lt;='Data Analysis Addin'!$H219,G220&gt;H220), 1, 0)</f>
        <v>0</v>
      </c>
      <c r="J219" s="2">
        <f t="shared" ca="1" si="16"/>
        <v>0</v>
      </c>
      <c r="K219" s="17">
        <f>YEAR('Data Analysis Addin'!$A219)</f>
        <v>2021</v>
      </c>
    </row>
    <row r="220" spans="1:11" x14ac:dyDescent="0.4">
      <c r="A220" s="18">
        <v>44453</v>
      </c>
      <c r="B220" s="9">
        <v>444.17</v>
      </c>
      <c r="C220" s="11">
        <f t="shared" si="13"/>
        <v>441.95759999999996</v>
      </c>
      <c r="D220" s="11">
        <f t="shared" si="17"/>
        <v>408.11854999999969</v>
      </c>
      <c r="E220" s="9"/>
      <c r="F220" s="9"/>
      <c r="G220" s="9">
        <f t="shared" ca="1" si="14"/>
        <v>441.95759999999996</v>
      </c>
      <c r="H220" s="9">
        <f t="shared" ca="1" si="15"/>
        <v>408.11854999999969</v>
      </c>
      <c r="I220" s="12">
        <f ca="1">IF(AND('Data Analysis Addin'!$G220&lt;='Data Analysis Addin'!$H220,G221&gt;H221), 1, 0)</f>
        <v>0</v>
      </c>
      <c r="J220" s="3">
        <f t="shared" ca="1" si="16"/>
        <v>0</v>
      </c>
      <c r="K220" s="19">
        <f>YEAR('Data Analysis Addin'!$A220)</f>
        <v>2021</v>
      </c>
    </row>
    <row r="221" spans="1:11" x14ac:dyDescent="0.4">
      <c r="A221" s="16">
        <v>44454</v>
      </c>
      <c r="B221" s="8">
        <v>447.88</v>
      </c>
      <c r="C221" s="11">
        <f t="shared" si="13"/>
        <v>442.25660000000005</v>
      </c>
      <c r="D221" s="11">
        <f t="shared" si="17"/>
        <v>408.53959999999972</v>
      </c>
      <c r="E221" s="8"/>
      <c r="F221" s="8"/>
      <c r="G221" s="8">
        <f t="shared" ca="1" si="14"/>
        <v>442.25660000000005</v>
      </c>
      <c r="H221" s="8">
        <f t="shared" ca="1" si="15"/>
        <v>408.53959999999972</v>
      </c>
      <c r="I221" s="12">
        <f ca="1">IF(AND('Data Analysis Addin'!$G221&lt;='Data Analysis Addin'!$H221,G222&gt;H222), 1, 0)</f>
        <v>0</v>
      </c>
      <c r="J221" s="2">
        <f t="shared" ca="1" si="16"/>
        <v>0</v>
      </c>
      <c r="K221" s="17">
        <f>YEAR('Data Analysis Addin'!$A221)</f>
        <v>2021</v>
      </c>
    </row>
    <row r="222" spans="1:11" x14ac:dyDescent="0.4">
      <c r="A222" s="18">
        <v>44455</v>
      </c>
      <c r="B222" s="9">
        <v>447.17</v>
      </c>
      <c r="C222" s="11">
        <f t="shared" si="13"/>
        <v>442.51079999999996</v>
      </c>
      <c r="D222" s="11">
        <f t="shared" si="17"/>
        <v>408.96514999999971</v>
      </c>
      <c r="E222" s="9"/>
      <c r="F222" s="9"/>
      <c r="G222" s="9">
        <f t="shared" ca="1" si="14"/>
        <v>442.51079999999996</v>
      </c>
      <c r="H222" s="9">
        <f t="shared" ca="1" si="15"/>
        <v>408.96514999999971</v>
      </c>
      <c r="I222" s="12">
        <f ca="1">IF(AND('Data Analysis Addin'!$G222&lt;='Data Analysis Addin'!$H222,G223&gt;H223), 1, 0)</f>
        <v>0</v>
      </c>
      <c r="J222" s="3">
        <f t="shared" ca="1" si="16"/>
        <v>0</v>
      </c>
      <c r="K222" s="19">
        <f>YEAR('Data Analysis Addin'!$A222)</f>
        <v>2021</v>
      </c>
    </row>
    <row r="223" spans="1:11" x14ac:dyDescent="0.4">
      <c r="A223" s="16">
        <v>44456</v>
      </c>
      <c r="B223" s="8">
        <v>441.4</v>
      </c>
      <c r="C223" s="11">
        <f t="shared" si="13"/>
        <v>442.72039999999993</v>
      </c>
      <c r="D223" s="11">
        <f t="shared" si="17"/>
        <v>409.34204999999963</v>
      </c>
      <c r="E223" s="8"/>
      <c r="F223" s="8"/>
      <c r="G223" s="8">
        <f t="shared" ca="1" si="14"/>
        <v>442.72039999999993</v>
      </c>
      <c r="H223" s="8">
        <f t="shared" ca="1" si="15"/>
        <v>409.34204999999963</v>
      </c>
      <c r="I223" s="12">
        <f ca="1">IF(AND('Data Analysis Addin'!$G223&lt;='Data Analysis Addin'!$H223,G224&gt;H224), 1, 0)</f>
        <v>0</v>
      </c>
      <c r="J223" s="2">
        <f t="shared" ca="1" si="16"/>
        <v>0</v>
      </c>
      <c r="K223" s="17">
        <f>YEAR('Data Analysis Addin'!$A223)</f>
        <v>2021</v>
      </c>
    </row>
    <row r="224" spans="1:11" x14ac:dyDescent="0.4">
      <c r="A224" s="18">
        <v>44459</v>
      </c>
      <c r="B224" s="9">
        <v>434.04</v>
      </c>
      <c r="C224" s="11">
        <f t="shared" si="13"/>
        <v>442.69080000000002</v>
      </c>
      <c r="D224" s="11">
        <f t="shared" si="17"/>
        <v>409.67829999999975</v>
      </c>
      <c r="E224" s="9"/>
      <c r="F224" s="9"/>
      <c r="G224" s="9">
        <f t="shared" ca="1" si="14"/>
        <v>442.69080000000002</v>
      </c>
      <c r="H224" s="9">
        <f t="shared" ca="1" si="15"/>
        <v>409.67829999999975</v>
      </c>
      <c r="I224" s="12">
        <f ca="1">IF(AND('Data Analysis Addin'!$G224&lt;='Data Analysis Addin'!$H224,G225&gt;H225), 1, 0)</f>
        <v>0</v>
      </c>
      <c r="J224" s="3">
        <f t="shared" ca="1" si="16"/>
        <v>0</v>
      </c>
      <c r="K224" s="19">
        <f>YEAR('Data Analysis Addin'!$A224)</f>
        <v>2021</v>
      </c>
    </row>
    <row r="225" spans="1:11" x14ac:dyDescent="0.4">
      <c r="A225" s="16">
        <v>44460</v>
      </c>
      <c r="B225" s="8">
        <v>433.63</v>
      </c>
      <c r="C225" s="11">
        <f t="shared" si="13"/>
        <v>442.62180000000001</v>
      </c>
      <c r="D225" s="11">
        <f t="shared" si="17"/>
        <v>410.01299999999981</v>
      </c>
      <c r="E225" s="8"/>
      <c r="F225" s="8"/>
      <c r="G225" s="8">
        <f t="shared" ca="1" si="14"/>
        <v>442.62180000000001</v>
      </c>
      <c r="H225" s="8">
        <f t="shared" ca="1" si="15"/>
        <v>410.01299999999981</v>
      </c>
      <c r="I225" s="12">
        <f ca="1">IF(AND('Data Analysis Addin'!$G225&lt;='Data Analysis Addin'!$H225,G226&gt;H226), 1, 0)</f>
        <v>0</v>
      </c>
      <c r="J225" s="2">
        <f t="shared" ca="1" si="16"/>
        <v>0</v>
      </c>
      <c r="K225" s="17">
        <f>YEAR('Data Analysis Addin'!$A225)</f>
        <v>2021</v>
      </c>
    </row>
    <row r="226" spans="1:11" x14ac:dyDescent="0.4">
      <c r="A226" s="18">
        <v>44461</v>
      </c>
      <c r="B226" s="9">
        <v>437.86</v>
      </c>
      <c r="C226" s="11">
        <f t="shared" si="13"/>
        <v>442.66720000000004</v>
      </c>
      <c r="D226" s="11">
        <f t="shared" si="17"/>
        <v>410.35304999999977</v>
      </c>
      <c r="E226" s="9"/>
      <c r="F226" s="9"/>
      <c r="G226" s="9">
        <f t="shared" ca="1" si="14"/>
        <v>442.66720000000004</v>
      </c>
      <c r="H226" s="9">
        <f t="shared" ca="1" si="15"/>
        <v>410.35304999999977</v>
      </c>
      <c r="I226" s="12">
        <f ca="1">IF(AND('Data Analysis Addin'!$G226&lt;='Data Analysis Addin'!$H226,G227&gt;H227), 1, 0)</f>
        <v>0</v>
      </c>
      <c r="J226" s="3">
        <f t="shared" ca="1" si="16"/>
        <v>0</v>
      </c>
      <c r="K226" s="19">
        <f>YEAR('Data Analysis Addin'!$A226)</f>
        <v>2021</v>
      </c>
    </row>
    <row r="227" spans="1:11" x14ac:dyDescent="0.4">
      <c r="A227" s="16">
        <v>44462</v>
      </c>
      <c r="B227" s="8">
        <v>443.18</v>
      </c>
      <c r="C227" s="11">
        <f t="shared" si="13"/>
        <v>442.80600000000004</v>
      </c>
      <c r="D227" s="11">
        <f t="shared" si="17"/>
        <v>410.72349999999977</v>
      </c>
      <c r="E227" s="8"/>
      <c r="F227" s="8"/>
      <c r="G227" s="8">
        <f t="shared" ca="1" si="14"/>
        <v>442.80600000000004</v>
      </c>
      <c r="H227" s="8">
        <f t="shared" ca="1" si="15"/>
        <v>410.72349999999977</v>
      </c>
      <c r="I227" s="12">
        <f ca="1">IF(AND('Data Analysis Addin'!$G227&lt;='Data Analysis Addin'!$H227,G228&gt;H228), 1, 0)</f>
        <v>0</v>
      </c>
      <c r="J227" s="2">
        <f t="shared" ca="1" si="16"/>
        <v>0</v>
      </c>
      <c r="K227" s="17">
        <f>YEAR('Data Analysis Addin'!$A227)</f>
        <v>2021</v>
      </c>
    </row>
    <row r="228" spans="1:11" x14ac:dyDescent="0.4">
      <c r="A228" s="18">
        <v>44463</v>
      </c>
      <c r="B228" s="9">
        <v>443.91</v>
      </c>
      <c r="C228" s="11">
        <f t="shared" si="13"/>
        <v>442.98920000000004</v>
      </c>
      <c r="D228" s="11">
        <f t="shared" si="17"/>
        <v>411.09219999999982</v>
      </c>
      <c r="E228" s="9"/>
      <c r="F228" s="9"/>
      <c r="G228" s="9">
        <f t="shared" ca="1" si="14"/>
        <v>442.98920000000004</v>
      </c>
      <c r="H228" s="9">
        <f t="shared" ca="1" si="15"/>
        <v>411.09219999999982</v>
      </c>
      <c r="I228" s="12">
        <f ca="1">IF(AND('Data Analysis Addin'!$G228&lt;='Data Analysis Addin'!$H228,G229&gt;H229), 1, 0)</f>
        <v>0</v>
      </c>
      <c r="J228" s="3">
        <f t="shared" ca="1" si="16"/>
        <v>0</v>
      </c>
      <c r="K228" s="19">
        <f>YEAR('Data Analysis Addin'!$A228)</f>
        <v>2021</v>
      </c>
    </row>
    <row r="229" spans="1:11" x14ac:dyDescent="0.4">
      <c r="A229" s="16">
        <v>44466</v>
      </c>
      <c r="B229" s="8">
        <v>442.64</v>
      </c>
      <c r="C229" s="11">
        <f t="shared" si="13"/>
        <v>443.21520000000004</v>
      </c>
      <c r="D229" s="11">
        <f t="shared" si="17"/>
        <v>411.47114999999985</v>
      </c>
      <c r="E229" s="8"/>
      <c r="F229" s="8"/>
      <c r="G229" s="8">
        <f t="shared" ca="1" si="14"/>
        <v>443.21520000000004</v>
      </c>
      <c r="H229" s="8">
        <f t="shared" ca="1" si="15"/>
        <v>411.47114999999985</v>
      </c>
      <c r="I229" s="12">
        <f ca="1">IF(AND('Data Analysis Addin'!$G229&lt;='Data Analysis Addin'!$H229,G230&gt;H230), 1, 0)</f>
        <v>0</v>
      </c>
      <c r="J229" s="2">
        <f t="shared" ca="1" si="16"/>
        <v>0</v>
      </c>
      <c r="K229" s="17">
        <f>YEAR('Data Analysis Addin'!$A229)</f>
        <v>2021</v>
      </c>
    </row>
    <row r="230" spans="1:11" x14ac:dyDescent="0.4">
      <c r="A230" s="18">
        <v>44467</v>
      </c>
      <c r="B230" s="9">
        <v>433.72</v>
      </c>
      <c r="C230" s="11">
        <f t="shared" si="13"/>
        <v>443.39020000000005</v>
      </c>
      <c r="D230" s="11">
        <f t="shared" si="17"/>
        <v>411.80609999999984</v>
      </c>
      <c r="E230" s="9"/>
      <c r="F230" s="9"/>
      <c r="G230" s="9">
        <f t="shared" ca="1" si="14"/>
        <v>443.39020000000005</v>
      </c>
      <c r="H230" s="9">
        <f t="shared" ca="1" si="15"/>
        <v>411.80609999999984</v>
      </c>
      <c r="I230" s="12">
        <f ca="1">IF(AND('Data Analysis Addin'!$G230&lt;='Data Analysis Addin'!$H230,G231&gt;H231), 1, 0)</f>
        <v>0</v>
      </c>
      <c r="J230" s="3">
        <f t="shared" ca="1" si="16"/>
        <v>0</v>
      </c>
      <c r="K230" s="19">
        <f>YEAR('Data Analysis Addin'!$A230)</f>
        <v>2021</v>
      </c>
    </row>
    <row r="231" spans="1:11" x14ac:dyDescent="0.4">
      <c r="A231" s="16">
        <v>44468</v>
      </c>
      <c r="B231" s="8">
        <v>434.45</v>
      </c>
      <c r="C231" s="11">
        <f t="shared" si="13"/>
        <v>443.45800000000008</v>
      </c>
      <c r="D231" s="11">
        <f t="shared" si="17"/>
        <v>412.14684999999992</v>
      </c>
      <c r="E231" s="8"/>
      <c r="F231" s="8"/>
      <c r="G231" s="8">
        <f t="shared" ca="1" si="14"/>
        <v>443.45800000000008</v>
      </c>
      <c r="H231" s="8">
        <f t="shared" ca="1" si="15"/>
        <v>412.14684999999992</v>
      </c>
      <c r="I231" s="12">
        <f ca="1">IF(AND('Data Analysis Addin'!$G231&lt;='Data Analysis Addin'!$H231,G232&gt;H232), 1, 0)</f>
        <v>0</v>
      </c>
      <c r="J231" s="2">
        <f t="shared" ca="1" si="16"/>
        <v>0</v>
      </c>
      <c r="K231" s="17">
        <f>YEAR('Data Analysis Addin'!$A231)</f>
        <v>2021</v>
      </c>
    </row>
    <row r="232" spans="1:11" x14ac:dyDescent="0.4">
      <c r="A232" s="18">
        <v>44469</v>
      </c>
      <c r="B232" s="9">
        <v>429.14</v>
      </c>
      <c r="C232" s="11">
        <f t="shared" si="13"/>
        <v>443.34980000000002</v>
      </c>
      <c r="D232" s="11">
        <f t="shared" si="17"/>
        <v>412.46924999999987</v>
      </c>
      <c r="E232" s="9"/>
      <c r="F232" s="9"/>
      <c r="G232" s="9">
        <f t="shared" ca="1" si="14"/>
        <v>443.34980000000002</v>
      </c>
      <c r="H232" s="9">
        <f t="shared" ca="1" si="15"/>
        <v>412.46924999999987</v>
      </c>
      <c r="I232" s="12">
        <f ca="1">IF(AND('Data Analysis Addin'!$G232&lt;='Data Analysis Addin'!$H232,G233&gt;H233), 1, 0)</f>
        <v>0</v>
      </c>
      <c r="J232" s="3">
        <f t="shared" ca="1" si="16"/>
        <v>0</v>
      </c>
      <c r="K232" s="19">
        <f>YEAR('Data Analysis Addin'!$A232)</f>
        <v>2021</v>
      </c>
    </row>
    <row r="233" spans="1:11" x14ac:dyDescent="0.4">
      <c r="A233" s="16">
        <v>44470</v>
      </c>
      <c r="B233" s="8">
        <v>434.24</v>
      </c>
      <c r="C233" s="11">
        <f t="shared" si="13"/>
        <v>443.32540000000006</v>
      </c>
      <c r="D233" s="11">
        <f t="shared" si="17"/>
        <v>412.79249999999985</v>
      </c>
      <c r="E233" s="8"/>
      <c r="F233" s="8"/>
      <c r="G233" s="8">
        <f t="shared" ca="1" si="14"/>
        <v>443.32540000000006</v>
      </c>
      <c r="H233" s="8">
        <f t="shared" ca="1" si="15"/>
        <v>412.79249999999985</v>
      </c>
      <c r="I233" s="12">
        <f ca="1">IF(AND('Data Analysis Addin'!$G233&lt;='Data Analysis Addin'!$H233,G234&gt;H234), 1, 0)</f>
        <v>0</v>
      </c>
      <c r="J233" s="2">
        <f t="shared" ca="1" si="16"/>
        <v>0</v>
      </c>
      <c r="K233" s="17">
        <f>YEAR('Data Analysis Addin'!$A233)</f>
        <v>2021</v>
      </c>
    </row>
    <row r="234" spans="1:11" x14ac:dyDescent="0.4">
      <c r="A234" s="18">
        <v>44473</v>
      </c>
      <c r="B234" s="9">
        <v>428.64</v>
      </c>
      <c r="C234" s="11">
        <f t="shared" si="13"/>
        <v>443.0994</v>
      </c>
      <c r="D234" s="11">
        <f t="shared" si="17"/>
        <v>413.08484999999985</v>
      </c>
      <c r="E234" s="9"/>
      <c r="F234" s="9"/>
      <c r="G234" s="9">
        <f t="shared" ca="1" si="14"/>
        <v>443.0994</v>
      </c>
      <c r="H234" s="9">
        <f t="shared" ca="1" si="15"/>
        <v>413.08484999999985</v>
      </c>
      <c r="I234" s="12">
        <f ca="1">IF(AND('Data Analysis Addin'!$G234&lt;='Data Analysis Addin'!$H234,G235&gt;H235), 1, 0)</f>
        <v>0</v>
      </c>
      <c r="J234" s="3">
        <f t="shared" ca="1" si="16"/>
        <v>0</v>
      </c>
      <c r="K234" s="19">
        <f>YEAR('Data Analysis Addin'!$A234)</f>
        <v>2021</v>
      </c>
    </row>
    <row r="235" spans="1:11" x14ac:dyDescent="0.4">
      <c r="A235" s="16">
        <v>44474</v>
      </c>
      <c r="B235" s="8">
        <v>433.1</v>
      </c>
      <c r="C235" s="11">
        <f t="shared" si="13"/>
        <v>442.94099999999997</v>
      </c>
      <c r="D235" s="11">
        <f t="shared" si="17"/>
        <v>413.38914999999992</v>
      </c>
      <c r="E235" s="8"/>
      <c r="F235" s="8"/>
      <c r="G235" s="8">
        <f t="shared" ca="1" si="14"/>
        <v>442.94099999999997</v>
      </c>
      <c r="H235" s="8">
        <f t="shared" ca="1" si="15"/>
        <v>413.38914999999992</v>
      </c>
      <c r="I235" s="12">
        <f ca="1">IF(AND('Data Analysis Addin'!$G235&lt;='Data Analysis Addin'!$H235,G236&gt;H236), 1, 0)</f>
        <v>0</v>
      </c>
      <c r="J235" s="2">
        <f t="shared" ca="1" si="16"/>
        <v>0</v>
      </c>
      <c r="K235" s="17">
        <f>YEAR('Data Analysis Addin'!$A235)</f>
        <v>2021</v>
      </c>
    </row>
    <row r="236" spans="1:11" x14ac:dyDescent="0.4">
      <c r="A236" s="18">
        <v>44475</v>
      </c>
      <c r="B236" s="9">
        <v>434.9</v>
      </c>
      <c r="C236" s="11">
        <f t="shared" si="13"/>
        <v>442.85880000000003</v>
      </c>
      <c r="D236" s="11">
        <f t="shared" si="17"/>
        <v>413.71774999999985</v>
      </c>
      <c r="E236" s="9"/>
      <c r="F236" s="9"/>
      <c r="G236" s="9">
        <f t="shared" ca="1" si="14"/>
        <v>442.85880000000003</v>
      </c>
      <c r="H236" s="9">
        <f t="shared" ca="1" si="15"/>
        <v>413.71774999999985</v>
      </c>
      <c r="I236" s="12">
        <f ca="1">IF(AND('Data Analysis Addin'!$G236&lt;='Data Analysis Addin'!$H236,G237&gt;H237), 1, 0)</f>
        <v>0</v>
      </c>
      <c r="J236" s="3">
        <f t="shared" ca="1" si="16"/>
        <v>0</v>
      </c>
      <c r="K236" s="19">
        <f>YEAR('Data Analysis Addin'!$A236)</f>
        <v>2021</v>
      </c>
    </row>
    <row r="237" spans="1:11" x14ac:dyDescent="0.4">
      <c r="A237" s="16">
        <v>44476</v>
      </c>
      <c r="B237" s="8">
        <v>438.66</v>
      </c>
      <c r="C237" s="11">
        <f t="shared" si="13"/>
        <v>442.85540000000003</v>
      </c>
      <c r="D237" s="11">
        <f t="shared" si="17"/>
        <v>414.07174999999995</v>
      </c>
      <c r="E237" s="8"/>
      <c r="F237" s="8"/>
      <c r="G237" s="8">
        <f t="shared" ca="1" si="14"/>
        <v>442.85540000000003</v>
      </c>
      <c r="H237" s="8">
        <f t="shared" ca="1" si="15"/>
        <v>414.07174999999995</v>
      </c>
      <c r="I237" s="12">
        <f ca="1">IF(AND('Data Analysis Addin'!$G237&lt;='Data Analysis Addin'!$H237,G238&gt;H238), 1, 0)</f>
        <v>0</v>
      </c>
      <c r="J237" s="2">
        <f t="shared" ca="1" si="16"/>
        <v>0</v>
      </c>
      <c r="K237" s="17">
        <f>YEAR('Data Analysis Addin'!$A237)</f>
        <v>2021</v>
      </c>
    </row>
    <row r="238" spans="1:11" x14ac:dyDescent="0.4">
      <c r="A238" s="18">
        <v>44477</v>
      </c>
      <c r="B238" s="9">
        <v>437.86</v>
      </c>
      <c r="C238" s="11">
        <f t="shared" si="13"/>
        <v>442.7996</v>
      </c>
      <c r="D238" s="11">
        <f t="shared" si="17"/>
        <v>414.42484999999994</v>
      </c>
      <c r="E238" s="9"/>
      <c r="F238" s="9"/>
      <c r="G238" s="9">
        <f t="shared" ca="1" si="14"/>
        <v>442.7996</v>
      </c>
      <c r="H238" s="9">
        <f t="shared" ca="1" si="15"/>
        <v>414.42484999999994</v>
      </c>
      <c r="I238" s="12">
        <f ca="1">IF(AND('Data Analysis Addin'!$G238&lt;='Data Analysis Addin'!$H238,G239&gt;H239), 1, 0)</f>
        <v>0</v>
      </c>
      <c r="J238" s="3">
        <f t="shared" ca="1" si="16"/>
        <v>0</v>
      </c>
      <c r="K238" s="19">
        <f>YEAR('Data Analysis Addin'!$A238)</f>
        <v>2021</v>
      </c>
    </row>
    <row r="239" spans="1:11" x14ac:dyDescent="0.4">
      <c r="A239" s="16">
        <v>44480</v>
      </c>
      <c r="B239" s="8">
        <v>434.69</v>
      </c>
      <c r="C239" s="11">
        <f t="shared" si="13"/>
        <v>442.72319999999991</v>
      </c>
      <c r="D239" s="11">
        <f t="shared" si="17"/>
        <v>414.76044999999993</v>
      </c>
      <c r="E239" s="8"/>
      <c r="F239" s="8"/>
      <c r="G239" s="8">
        <f t="shared" ca="1" si="14"/>
        <v>442.72319999999991</v>
      </c>
      <c r="H239" s="8">
        <f t="shared" ca="1" si="15"/>
        <v>414.76044999999993</v>
      </c>
      <c r="I239" s="12">
        <f ca="1">IF(AND('Data Analysis Addin'!$G239&lt;='Data Analysis Addin'!$H239,G240&gt;H240), 1, 0)</f>
        <v>0</v>
      </c>
      <c r="J239" s="2">
        <f t="shared" ca="1" si="16"/>
        <v>0</v>
      </c>
      <c r="K239" s="17">
        <f>YEAR('Data Analysis Addin'!$A239)</f>
        <v>2021</v>
      </c>
    </row>
    <row r="240" spans="1:11" x14ac:dyDescent="0.4">
      <c r="A240" s="18">
        <v>44481</v>
      </c>
      <c r="B240" s="9">
        <v>433.62</v>
      </c>
      <c r="C240" s="11">
        <f t="shared" si="13"/>
        <v>442.64379999999989</v>
      </c>
      <c r="D240" s="11">
        <f t="shared" si="17"/>
        <v>415.08354999999995</v>
      </c>
      <c r="E240" s="9"/>
      <c r="F240" s="9"/>
      <c r="G240" s="9">
        <f t="shared" ca="1" si="14"/>
        <v>442.64379999999989</v>
      </c>
      <c r="H240" s="9">
        <f t="shared" ca="1" si="15"/>
        <v>415.08354999999995</v>
      </c>
      <c r="I240" s="12">
        <f ca="1">IF(AND('Data Analysis Addin'!$G240&lt;='Data Analysis Addin'!$H240,G241&gt;H241), 1, 0)</f>
        <v>0</v>
      </c>
      <c r="J240" s="3">
        <f t="shared" ca="1" si="16"/>
        <v>0</v>
      </c>
      <c r="K240" s="19">
        <f>YEAR('Data Analysis Addin'!$A240)</f>
        <v>2021</v>
      </c>
    </row>
    <row r="241" spans="1:11" x14ac:dyDescent="0.4">
      <c r="A241" s="16">
        <v>44482</v>
      </c>
      <c r="B241" s="8">
        <v>435.18</v>
      </c>
      <c r="C241" s="11">
        <f t="shared" si="13"/>
        <v>442.52439999999996</v>
      </c>
      <c r="D241" s="11">
        <f t="shared" si="17"/>
        <v>415.39859999999993</v>
      </c>
      <c r="E241" s="8"/>
      <c r="F241" s="8"/>
      <c r="G241" s="8">
        <f t="shared" ca="1" si="14"/>
        <v>442.52439999999996</v>
      </c>
      <c r="H241" s="8">
        <f t="shared" ca="1" si="15"/>
        <v>415.39859999999993</v>
      </c>
      <c r="I241" s="12">
        <f ca="1">IF(AND('Data Analysis Addin'!$G241&lt;='Data Analysis Addin'!$H241,G242&gt;H242), 1, 0)</f>
        <v>0</v>
      </c>
      <c r="J241" s="2">
        <f t="shared" ca="1" si="16"/>
        <v>0</v>
      </c>
      <c r="K241" s="17">
        <f>YEAR('Data Analysis Addin'!$A241)</f>
        <v>2021</v>
      </c>
    </row>
    <row r="242" spans="1:11" x14ac:dyDescent="0.4">
      <c r="A242" s="18">
        <v>44483</v>
      </c>
      <c r="B242" s="9">
        <v>442.5</v>
      </c>
      <c r="C242" s="11">
        <f t="shared" si="13"/>
        <v>442.59479999999996</v>
      </c>
      <c r="D242" s="11">
        <f t="shared" si="17"/>
        <v>415.75379999999996</v>
      </c>
      <c r="E242" s="9"/>
      <c r="F242" s="9"/>
      <c r="G242" s="9">
        <f t="shared" ca="1" si="14"/>
        <v>442.59479999999996</v>
      </c>
      <c r="H242" s="9">
        <f t="shared" ca="1" si="15"/>
        <v>415.75379999999996</v>
      </c>
      <c r="I242" s="12">
        <f ca="1">IF(AND('Data Analysis Addin'!$G242&lt;='Data Analysis Addin'!$H242,G243&gt;H243), 1, 0)</f>
        <v>0</v>
      </c>
      <c r="J242" s="3">
        <f t="shared" ca="1" si="16"/>
        <v>0</v>
      </c>
      <c r="K242" s="19">
        <f>YEAR('Data Analysis Addin'!$A242)</f>
        <v>2021</v>
      </c>
    </row>
    <row r="243" spans="1:11" x14ac:dyDescent="0.4">
      <c r="A243" s="16">
        <v>44484</v>
      </c>
      <c r="B243" s="8">
        <v>445.87</v>
      </c>
      <c r="C243" s="11">
        <f t="shared" si="13"/>
        <v>442.67699999999996</v>
      </c>
      <c r="D243" s="11">
        <f t="shared" si="17"/>
        <v>416.12319999999994</v>
      </c>
      <c r="E243" s="8"/>
      <c r="F243" s="8"/>
      <c r="G243" s="8">
        <f t="shared" ca="1" si="14"/>
        <v>442.67699999999996</v>
      </c>
      <c r="H243" s="8">
        <f t="shared" ca="1" si="15"/>
        <v>416.12319999999994</v>
      </c>
      <c r="I243" s="12">
        <f ca="1">IF(AND('Data Analysis Addin'!$G243&lt;='Data Analysis Addin'!$H243,G244&gt;H244), 1, 0)</f>
        <v>0</v>
      </c>
      <c r="J243" s="2">
        <f t="shared" ca="1" si="16"/>
        <v>0</v>
      </c>
      <c r="K243" s="17">
        <f>YEAR('Data Analysis Addin'!$A243)</f>
        <v>2021</v>
      </c>
    </row>
    <row r="244" spans="1:11" x14ac:dyDescent="0.4">
      <c r="A244" s="18">
        <v>44487</v>
      </c>
      <c r="B244" s="9">
        <v>447.19</v>
      </c>
      <c r="C244" s="11">
        <f t="shared" ref="C244:C307" si="18">AVERAGE(B195:B244)</f>
        <v>442.7709999999999</v>
      </c>
      <c r="D244" s="11">
        <f t="shared" si="17"/>
        <v>416.4897499999999</v>
      </c>
      <c r="E244" s="9"/>
      <c r="F244" s="9"/>
      <c r="G244" s="9">
        <f t="shared" ca="1" si="14"/>
        <v>442.7709999999999</v>
      </c>
      <c r="H244" s="9">
        <f t="shared" ca="1" si="15"/>
        <v>416.4897499999999</v>
      </c>
      <c r="I244" s="12">
        <f ca="1">IF(AND('Data Analysis Addin'!$G244&lt;='Data Analysis Addin'!$H244,G245&gt;H245), 1, 0)</f>
        <v>0</v>
      </c>
      <c r="J244" s="3">
        <f t="shared" ca="1" si="16"/>
        <v>0</v>
      </c>
      <c r="K244" s="19">
        <f>YEAR('Data Analysis Addin'!$A244)</f>
        <v>2021</v>
      </c>
    </row>
    <row r="245" spans="1:11" x14ac:dyDescent="0.4">
      <c r="A245" s="16">
        <v>44488</v>
      </c>
      <c r="B245" s="8">
        <v>450.64</v>
      </c>
      <c r="C245" s="11">
        <f t="shared" si="18"/>
        <v>442.94119999999998</v>
      </c>
      <c r="D245" s="11">
        <f t="shared" si="17"/>
        <v>416.89899999999994</v>
      </c>
      <c r="E245" s="8"/>
      <c r="F245" s="8"/>
      <c r="G245" s="8">
        <f t="shared" ca="1" si="14"/>
        <v>442.94119999999998</v>
      </c>
      <c r="H245" s="8">
        <f t="shared" ca="1" si="15"/>
        <v>416.89899999999994</v>
      </c>
      <c r="I245" s="12">
        <f ca="1">IF(AND('Data Analysis Addin'!$G245&lt;='Data Analysis Addin'!$H245,G246&gt;H246), 1, 0)</f>
        <v>0</v>
      </c>
      <c r="J245" s="2">
        <f t="shared" ca="1" si="16"/>
        <v>0</v>
      </c>
      <c r="K245" s="17">
        <f>YEAR('Data Analysis Addin'!$A245)</f>
        <v>2021</v>
      </c>
    </row>
    <row r="246" spans="1:11" x14ac:dyDescent="0.4">
      <c r="A246" s="18">
        <v>44489</v>
      </c>
      <c r="B246" s="9">
        <v>452.41</v>
      </c>
      <c r="C246" s="11">
        <f t="shared" si="18"/>
        <v>443.13579999999985</v>
      </c>
      <c r="D246" s="11">
        <f t="shared" si="17"/>
        <v>417.30439999999993</v>
      </c>
      <c r="E246" s="9"/>
      <c r="F246" s="9"/>
      <c r="G246" s="9">
        <f t="shared" ca="1" si="14"/>
        <v>443.13579999999985</v>
      </c>
      <c r="H246" s="9">
        <f t="shared" ca="1" si="15"/>
        <v>417.30439999999993</v>
      </c>
      <c r="I246" s="12">
        <f ca="1">IF(AND('Data Analysis Addin'!$G246&lt;='Data Analysis Addin'!$H246,G247&gt;H247), 1, 0)</f>
        <v>0</v>
      </c>
      <c r="J246" s="3">
        <f t="shared" ca="1" si="16"/>
        <v>0</v>
      </c>
      <c r="K246" s="19">
        <f>YEAR('Data Analysis Addin'!$A246)</f>
        <v>2021</v>
      </c>
    </row>
    <row r="247" spans="1:11" x14ac:dyDescent="0.4">
      <c r="A247" s="16">
        <v>44490</v>
      </c>
      <c r="B247" s="8">
        <v>453.59</v>
      </c>
      <c r="C247" s="11">
        <f t="shared" si="18"/>
        <v>443.33199999999988</v>
      </c>
      <c r="D247" s="11">
        <f t="shared" si="17"/>
        <v>417.70459999999991</v>
      </c>
      <c r="E247" s="8"/>
      <c r="F247" s="8"/>
      <c r="G247" s="8">
        <f t="shared" ca="1" si="14"/>
        <v>443.33199999999988</v>
      </c>
      <c r="H247" s="8">
        <f t="shared" ca="1" si="15"/>
        <v>417.70459999999991</v>
      </c>
      <c r="I247" s="12">
        <f ca="1">IF(AND('Data Analysis Addin'!$G247&lt;='Data Analysis Addin'!$H247,G248&gt;H248), 1, 0)</f>
        <v>0</v>
      </c>
      <c r="J247" s="2">
        <f t="shared" ca="1" si="16"/>
        <v>0</v>
      </c>
      <c r="K247" s="17">
        <f>YEAR('Data Analysis Addin'!$A247)</f>
        <v>2021</v>
      </c>
    </row>
    <row r="248" spans="1:11" x14ac:dyDescent="0.4">
      <c r="A248" s="18">
        <v>44491</v>
      </c>
      <c r="B248" s="9">
        <v>453.12</v>
      </c>
      <c r="C248" s="11">
        <f t="shared" si="18"/>
        <v>443.49219999999985</v>
      </c>
      <c r="D248" s="11">
        <f t="shared" si="17"/>
        <v>418.07469999999995</v>
      </c>
      <c r="E248" s="9"/>
      <c r="F248" s="9"/>
      <c r="G248" s="9">
        <f t="shared" ca="1" si="14"/>
        <v>443.49219999999985</v>
      </c>
      <c r="H248" s="9">
        <f t="shared" ca="1" si="15"/>
        <v>418.07469999999995</v>
      </c>
      <c r="I248" s="12">
        <f ca="1">IF(AND('Data Analysis Addin'!$G248&lt;='Data Analysis Addin'!$H248,G249&gt;H249), 1, 0)</f>
        <v>0</v>
      </c>
      <c r="J248" s="3">
        <f t="shared" ca="1" si="16"/>
        <v>0</v>
      </c>
      <c r="K248" s="19">
        <f>YEAR('Data Analysis Addin'!$A248)</f>
        <v>2021</v>
      </c>
    </row>
    <row r="249" spans="1:11" x14ac:dyDescent="0.4">
      <c r="A249" s="16">
        <v>44494</v>
      </c>
      <c r="B249" s="8">
        <v>455.55</v>
      </c>
      <c r="C249" s="11">
        <f t="shared" si="18"/>
        <v>443.68479999999988</v>
      </c>
      <c r="D249" s="11">
        <f t="shared" si="17"/>
        <v>418.44614999999999</v>
      </c>
      <c r="E249" s="8"/>
      <c r="F249" s="8"/>
      <c r="G249" s="8">
        <f t="shared" ca="1" si="14"/>
        <v>443.68479999999988</v>
      </c>
      <c r="H249" s="8">
        <f t="shared" ca="1" si="15"/>
        <v>418.44614999999999</v>
      </c>
      <c r="I249" s="12">
        <f ca="1">IF(AND('Data Analysis Addin'!$G249&lt;='Data Analysis Addin'!$H249,G250&gt;H250), 1, 0)</f>
        <v>0</v>
      </c>
      <c r="J249" s="2">
        <f t="shared" ca="1" si="16"/>
        <v>0</v>
      </c>
      <c r="K249" s="17">
        <f>YEAR('Data Analysis Addin'!$A249)</f>
        <v>2021</v>
      </c>
    </row>
    <row r="250" spans="1:11" x14ac:dyDescent="0.4">
      <c r="A250" s="18">
        <v>44495</v>
      </c>
      <c r="B250" s="9">
        <v>455.96</v>
      </c>
      <c r="C250" s="11">
        <f t="shared" si="18"/>
        <v>443.86459999999983</v>
      </c>
      <c r="D250" s="11">
        <f t="shared" si="17"/>
        <v>418.83249999999998</v>
      </c>
      <c r="E250" s="9"/>
      <c r="F250" s="9"/>
      <c r="G250" s="9">
        <f t="shared" ca="1" si="14"/>
        <v>443.86459999999983</v>
      </c>
      <c r="H250" s="9">
        <f t="shared" ca="1" si="15"/>
        <v>418.83249999999998</v>
      </c>
      <c r="I250" s="12">
        <f ca="1">IF(AND('Data Analysis Addin'!$G250&lt;='Data Analysis Addin'!$H250,G251&gt;H251), 1, 0)</f>
        <v>0</v>
      </c>
      <c r="J250" s="3">
        <f t="shared" ca="1" si="16"/>
        <v>0</v>
      </c>
      <c r="K250" s="19">
        <f>YEAR('Data Analysis Addin'!$A250)</f>
        <v>2021</v>
      </c>
    </row>
    <row r="251" spans="1:11" x14ac:dyDescent="0.4">
      <c r="A251" s="16">
        <v>44496</v>
      </c>
      <c r="B251" s="8">
        <v>453.94</v>
      </c>
      <c r="C251" s="11">
        <f t="shared" si="18"/>
        <v>444.06259999999975</v>
      </c>
      <c r="D251" s="11">
        <f t="shared" si="17"/>
        <v>419.20835</v>
      </c>
      <c r="E251" s="8"/>
      <c r="F251" s="8"/>
      <c r="G251" s="8">
        <f t="shared" ca="1" si="14"/>
        <v>444.06259999999975</v>
      </c>
      <c r="H251" s="8">
        <f t="shared" ca="1" si="15"/>
        <v>419.20835</v>
      </c>
      <c r="I251" s="12">
        <f ca="1">IF(AND('Data Analysis Addin'!$G251&lt;='Data Analysis Addin'!$H251,G252&gt;H252), 1, 0)</f>
        <v>0</v>
      </c>
      <c r="J251" s="2">
        <f t="shared" ca="1" si="16"/>
        <v>0</v>
      </c>
      <c r="K251" s="17">
        <f>YEAR('Data Analysis Addin'!$A251)</f>
        <v>2021</v>
      </c>
    </row>
    <row r="252" spans="1:11" x14ac:dyDescent="0.4">
      <c r="A252" s="18">
        <v>44497</v>
      </c>
      <c r="B252" s="9">
        <v>458.32</v>
      </c>
      <c r="C252" s="11">
        <f t="shared" si="18"/>
        <v>444.44539999999978</v>
      </c>
      <c r="D252" s="11">
        <f t="shared" si="17"/>
        <v>419.60100000000011</v>
      </c>
      <c r="E252" s="9"/>
      <c r="F252" s="9"/>
      <c r="G252" s="9">
        <f t="shared" ca="1" si="14"/>
        <v>444.44539999999978</v>
      </c>
      <c r="H252" s="9">
        <f t="shared" ca="1" si="15"/>
        <v>419.60100000000011</v>
      </c>
      <c r="I252" s="12">
        <f ca="1">IF(AND('Data Analysis Addin'!$G252&lt;='Data Analysis Addin'!$H252,G253&gt;H253), 1, 0)</f>
        <v>0</v>
      </c>
      <c r="J252" s="3">
        <f t="shared" ca="1" si="16"/>
        <v>0</v>
      </c>
      <c r="K252" s="19">
        <f>YEAR('Data Analysis Addin'!$A252)</f>
        <v>2021</v>
      </c>
    </row>
    <row r="253" spans="1:11" x14ac:dyDescent="0.4">
      <c r="A253" s="16">
        <v>44498</v>
      </c>
      <c r="B253" s="8">
        <v>459.25</v>
      </c>
      <c r="C253" s="11">
        <f t="shared" si="18"/>
        <v>444.83319999999986</v>
      </c>
      <c r="D253" s="11">
        <f t="shared" si="17"/>
        <v>420.00495000000001</v>
      </c>
      <c r="E253" s="8"/>
      <c r="F253" s="8"/>
      <c r="G253" s="8">
        <f t="shared" ca="1" si="14"/>
        <v>444.83319999999986</v>
      </c>
      <c r="H253" s="8">
        <f t="shared" ca="1" si="15"/>
        <v>420.00495000000001</v>
      </c>
      <c r="I253" s="12">
        <f ca="1">IF(AND('Data Analysis Addin'!$G253&lt;='Data Analysis Addin'!$H253,G254&gt;H254), 1, 0)</f>
        <v>0</v>
      </c>
      <c r="J253" s="2">
        <f t="shared" ca="1" si="16"/>
        <v>0</v>
      </c>
      <c r="K253" s="17">
        <f>YEAR('Data Analysis Addin'!$A253)</f>
        <v>2021</v>
      </c>
    </row>
    <row r="254" spans="1:11" x14ac:dyDescent="0.4">
      <c r="A254" s="18">
        <v>44501</v>
      </c>
      <c r="B254" s="9">
        <v>460.04</v>
      </c>
      <c r="C254" s="11">
        <f t="shared" si="18"/>
        <v>445.16679999999985</v>
      </c>
      <c r="D254" s="11">
        <f t="shared" si="17"/>
        <v>420.42665000000011</v>
      </c>
      <c r="E254" s="9"/>
      <c r="F254" s="9"/>
      <c r="G254" s="9">
        <f t="shared" ca="1" si="14"/>
        <v>445.16679999999985</v>
      </c>
      <c r="H254" s="9">
        <f t="shared" ca="1" si="15"/>
        <v>420.42665000000011</v>
      </c>
      <c r="I254" s="12">
        <f ca="1">IF(AND('Data Analysis Addin'!$G254&lt;='Data Analysis Addin'!$H254,G255&gt;H255), 1, 0)</f>
        <v>0</v>
      </c>
      <c r="J254" s="3">
        <f t="shared" ca="1" si="16"/>
        <v>0</v>
      </c>
      <c r="K254" s="19">
        <f>YEAR('Data Analysis Addin'!$A254)</f>
        <v>2021</v>
      </c>
    </row>
    <row r="255" spans="1:11" x14ac:dyDescent="0.4">
      <c r="A255" s="16">
        <v>44502</v>
      </c>
      <c r="B255" s="8">
        <v>461.9</v>
      </c>
      <c r="C255" s="11">
        <f t="shared" si="18"/>
        <v>445.45959999999991</v>
      </c>
      <c r="D255" s="11">
        <f t="shared" si="17"/>
        <v>420.84289999999999</v>
      </c>
      <c r="E255" s="8"/>
      <c r="F255" s="8"/>
      <c r="G255" s="8">
        <f t="shared" ca="1" si="14"/>
        <v>445.45959999999991</v>
      </c>
      <c r="H255" s="8">
        <f t="shared" ca="1" si="15"/>
        <v>420.84289999999999</v>
      </c>
      <c r="I255" s="12">
        <f ca="1">IF(AND('Data Analysis Addin'!$G255&lt;='Data Analysis Addin'!$H255,G256&gt;H256), 1, 0)</f>
        <v>0</v>
      </c>
      <c r="J255" s="2">
        <f t="shared" ca="1" si="16"/>
        <v>0</v>
      </c>
      <c r="K255" s="17">
        <f>YEAR('Data Analysis Addin'!$A255)</f>
        <v>2021</v>
      </c>
    </row>
    <row r="256" spans="1:11" x14ac:dyDescent="0.4">
      <c r="A256" s="18">
        <v>44503</v>
      </c>
      <c r="B256" s="9">
        <v>464.72</v>
      </c>
      <c r="C256" s="11">
        <f t="shared" si="18"/>
        <v>445.7946</v>
      </c>
      <c r="D256" s="11">
        <f t="shared" si="17"/>
        <v>421.24705</v>
      </c>
      <c r="E256" s="9"/>
      <c r="F256" s="9"/>
      <c r="G256" s="9">
        <f t="shared" ca="1" si="14"/>
        <v>445.7946</v>
      </c>
      <c r="H256" s="9">
        <f t="shared" ca="1" si="15"/>
        <v>421.24705</v>
      </c>
      <c r="I256" s="12">
        <f ca="1">IF(AND('Data Analysis Addin'!$G256&lt;='Data Analysis Addin'!$H256,G257&gt;H257), 1, 0)</f>
        <v>0</v>
      </c>
      <c r="J256" s="3">
        <f t="shared" ca="1" si="16"/>
        <v>0</v>
      </c>
      <c r="K256" s="19">
        <f>YEAR('Data Analysis Addin'!$A256)</f>
        <v>2021</v>
      </c>
    </row>
    <row r="257" spans="1:11" x14ac:dyDescent="0.4">
      <c r="A257" s="16">
        <v>44504</v>
      </c>
      <c r="B257" s="8">
        <v>466.91</v>
      </c>
      <c r="C257" s="11">
        <f t="shared" si="18"/>
        <v>446.15460000000002</v>
      </c>
      <c r="D257" s="11">
        <f t="shared" si="17"/>
        <v>421.66039999999998</v>
      </c>
      <c r="E257" s="8"/>
      <c r="F257" s="8"/>
      <c r="G257" s="8">
        <f t="shared" ca="1" si="14"/>
        <v>446.15460000000002</v>
      </c>
      <c r="H257" s="8">
        <f t="shared" ca="1" si="15"/>
        <v>421.66039999999998</v>
      </c>
      <c r="I257" s="12">
        <f ca="1">IF(AND('Data Analysis Addin'!$G257&lt;='Data Analysis Addin'!$H257,G258&gt;H258), 1, 0)</f>
        <v>0</v>
      </c>
      <c r="J257" s="2">
        <f t="shared" ca="1" si="16"/>
        <v>0</v>
      </c>
      <c r="K257" s="17">
        <f>YEAR('Data Analysis Addin'!$A257)</f>
        <v>2021</v>
      </c>
    </row>
    <row r="258" spans="1:11" x14ac:dyDescent="0.4">
      <c r="A258" s="18">
        <v>44505</v>
      </c>
      <c r="B258" s="9">
        <v>468.53</v>
      </c>
      <c r="C258" s="11">
        <f t="shared" si="18"/>
        <v>446.6</v>
      </c>
      <c r="D258" s="11">
        <f t="shared" si="17"/>
        <v>422.08864999999997</v>
      </c>
      <c r="E258" s="9"/>
      <c r="F258" s="9"/>
      <c r="G258" s="9">
        <f t="shared" ca="1" si="14"/>
        <v>446.6</v>
      </c>
      <c r="H258" s="9">
        <f t="shared" ca="1" si="15"/>
        <v>422.08864999999997</v>
      </c>
      <c r="I258" s="12">
        <f ca="1">IF(AND('Data Analysis Addin'!$G258&lt;='Data Analysis Addin'!$H258,G259&gt;H259), 1, 0)</f>
        <v>0</v>
      </c>
      <c r="J258" s="3">
        <f t="shared" ca="1" si="16"/>
        <v>0</v>
      </c>
      <c r="K258" s="19">
        <f>YEAR('Data Analysis Addin'!$A258)</f>
        <v>2021</v>
      </c>
    </row>
    <row r="259" spans="1:11" x14ac:dyDescent="0.4">
      <c r="A259" s="16">
        <v>44508</v>
      </c>
      <c r="B259" s="8">
        <v>468.93</v>
      </c>
      <c r="C259" s="11">
        <f t="shared" si="18"/>
        <v>446.97360000000003</v>
      </c>
      <c r="D259" s="11">
        <f t="shared" si="17"/>
        <v>422.51134999999994</v>
      </c>
      <c r="E259" s="8"/>
      <c r="F259" s="8"/>
      <c r="G259" s="8">
        <f t="shared" ref="G259:G322" ca="1" si="19">AVERAGE(OFFSET($B259,0,0,-(MIN(ROW()-ROW($B$3)+1,n_50)),1))</f>
        <v>446.97360000000003</v>
      </c>
      <c r="H259" s="8">
        <f t="shared" ref="H259:H322" ca="1" si="20">AVERAGE(OFFSET($B259,0,0,-(MIN(ROW()-ROW($B$3)+1,n_200)),1))</f>
        <v>422.51134999999994</v>
      </c>
      <c r="I259" s="12">
        <f ca="1">IF(AND('Data Analysis Addin'!$G259&lt;='Data Analysis Addin'!$H259,G260&gt;H260), 1, 0)</f>
        <v>0</v>
      </c>
      <c r="J259" s="2">
        <f t="shared" ref="J259:J322" ca="1" si="21">IF($G259&lt;$H259,1,0)</f>
        <v>0</v>
      </c>
      <c r="K259" s="17">
        <f>YEAR('Data Analysis Addin'!$A259)</f>
        <v>2021</v>
      </c>
    </row>
    <row r="260" spans="1:11" x14ac:dyDescent="0.4">
      <c r="A260" s="18">
        <v>44509</v>
      </c>
      <c r="B260" s="9">
        <v>467.38</v>
      </c>
      <c r="C260" s="11">
        <f t="shared" si="18"/>
        <v>447.27660000000003</v>
      </c>
      <c r="D260" s="11">
        <f t="shared" si="17"/>
        <v>422.92930000000001</v>
      </c>
      <c r="E260" s="9"/>
      <c r="F260" s="9"/>
      <c r="G260" s="9">
        <f t="shared" ca="1" si="19"/>
        <v>447.27660000000003</v>
      </c>
      <c r="H260" s="9">
        <f t="shared" ca="1" si="20"/>
        <v>422.92930000000001</v>
      </c>
      <c r="I260" s="12">
        <f ca="1">IF(AND('Data Analysis Addin'!$G260&lt;='Data Analysis Addin'!$H260,G261&gt;H261), 1, 0)</f>
        <v>0</v>
      </c>
      <c r="J260" s="3">
        <f t="shared" ca="1" si="21"/>
        <v>0</v>
      </c>
      <c r="K260" s="19">
        <f>YEAR('Data Analysis Addin'!$A260)</f>
        <v>2021</v>
      </c>
    </row>
    <row r="261" spans="1:11" x14ac:dyDescent="0.4">
      <c r="A261" s="16">
        <v>44510</v>
      </c>
      <c r="B261" s="8">
        <v>463.62</v>
      </c>
      <c r="C261" s="11">
        <f t="shared" si="18"/>
        <v>447.51780000000008</v>
      </c>
      <c r="D261" s="11">
        <f t="shared" si="17"/>
        <v>423.37534999999997</v>
      </c>
      <c r="E261" s="8"/>
      <c r="F261" s="8"/>
      <c r="G261" s="8">
        <f t="shared" ca="1" si="19"/>
        <v>447.51780000000008</v>
      </c>
      <c r="H261" s="8">
        <f t="shared" ca="1" si="20"/>
        <v>423.37534999999997</v>
      </c>
      <c r="I261" s="12">
        <f ca="1">IF(AND('Data Analysis Addin'!$G261&lt;='Data Analysis Addin'!$H261,G262&gt;H262), 1, 0)</f>
        <v>0</v>
      </c>
      <c r="J261" s="2">
        <f t="shared" ca="1" si="21"/>
        <v>0</v>
      </c>
      <c r="K261" s="17">
        <f>YEAR('Data Analysis Addin'!$A261)</f>
        <v>2021</v>
      </c>
    </row>
    <row r="262" spans="1:11" x14ac:dyDescent="0.4">
      <c r="A262" s="18">
        <v>44511</v>
      </c>
      <c r="B262" s="9">
        <v>463.77</v>
      </c>
      <c r="C262" s="11">
        <f t="shared" si="18"/>
        <v>447.75720000000007</v>
      </c>
      <c r="D262" s="11">
        <f t="shared" si="17"/>
        <v>423.80605000000003</v>
      </c>
      <c r="E262" s="9"/>
      <c r="F262" s="9"/>
      <c r="G262" s="9">
        <f t="shared" ca="1" si="19"/>
        <v>447.75720000000007</v>
      </c>
      <c r="H262" s="9">
        <f t="shared" ca="1" si="20"/>
        <v>423.80605000000003</v>
      </c>
      <c r="I262" s="12">
        <f ca="1">IF(AND('Data Analysis Addin'!$G262&lt;='Data Analysis Addin'!$H262,G263&gt;H263), 1, 0)</f>
        <v>0</v>
      </c>
      <c r="J262" s="3">
        <f t="shared" ca="1" si="21"/>
        <v>0</v>
      </c>
      <c r="K262" s="19">
        <f>YEAR('Data Analysis Addin'!$A262)</f>
        <v>2021</v>
      </c>
    </row>
    <row r="263" spans="1:11" x14ac:dyDescent="0.4">
      <c r="A263" s="16">
        <v>44512</v>
      </c>
      <c r="B263" s="8">
        <v>467.27</v>
      </c>
      <c r="C263" s="11">
        <f t="shared" si="18"/>
        <v>448.03880000000004</v>
      </c>
      <c r="D263" s="11">
        <f t="shared" si="17"/>
        <v>424.29205000000002</v>
      </c>
      <c r="E263" s="8"/>
      <c r="F263" s="8"/>
      <c r="G263" s="8">
        <f t="shared" ca="1" si="19"/>
        <v>448.03880000000004</v>
      </c>
      <c r="H263" s="8">
        <f t="shared" ca="1" si="20"/>
        <v>424.29205000000002</v>
      </c>
      <c r="I263" s="12">
        <f ca="1">IF(AND('Data Analysis Addin'!$G263&lt;='Data Analysis Addin'!$H263,G264&gt;H264), 1, 0)</f>
        <v>0</v>
      </c>
      <c r="J263" s="2">
        <f t="shared" ca="1" si="21"/>
        <v>0</v>
      </c>
      <c r="K263" s="17">
        <f>YEAR('Data Analysis Addin'!$A263)</f>
        <v>2021</v>
      </c>
    </row>
    <row r="264" spans="1:11" x14ac:dyDescent="0.4">
      <c r="A264" s="18">
        <v>44515</v>
      </c>
      <c r="B264" s="9">
        <v>467.43</v>
      </c>
      <c r="C264" s="11">
        <f t="shared" si="18"/>
        <v>448.32580000000019</v>
      </c>
      <c r="D264" s="11">
        <f t="shared" si="17"/>
        <v>424.74804999999992</v>
      </c>
      <c r="E264" s="9"/>
      <c r="F264" s="9"/>
      <c r="G264" s="9">
        <f t="shared" ca="1" si="19"/>
        <v>448.32580000000019</v>
      </c>
      <c r="H264" s="9">
        <f t="shared" ca="1" si="20"/>
        <v>424.74804999999992</v>
      </c>
      <c r="I264" s="12">
        <f ca="1">IF(AND('Data Analysis Addin'!$G264&lt;='Data Analysis Addin'!$H264,G265&gt;H265), 1, 0)</f>
        <v>0</v>
      </c>
      <c r="J264" s="3">
        <f t="shared" ca="1" si="21"/>
        <v>0</v>
      </c>
      <c r="K264" s="19">
        <f>YEAR('Data Analysis Addin'!$A264)</f>
        <v>2021</v>
      </c>
    </row>
    <row r="265" spans="1:11" x14ac:dyDescent="0.4">
      <c r="A265" s="16">
        <v>44516</v>
      </c>
      <c r="B265" s="8">
        <v>469.28</v>
      </c>
      <c r="C265" s="11">
        <f t="shared" si="18"/>
        <v>448.68220000000008</v>
      </c>
      <c r="D265" s="11">
        <f t="shared" si="17"/>
        <v>425.18669999999997</v>
      </c>
      <c r="E265" s="8"/>
      <c r="F265" s="8"/>
      <c r="G265" s="8">
        <f t="shared" ca="1" si="19"/>
        <v>448.68220000000008</v>
      </c>
      <c r="H265" s="8">
        <f t="shared" ca="1" si="20"/>
        <v>425.18669999999997</v>
      </c>
      <c r="I265" s="12">
        <f ca="1">IF(AND('Data Analysis Addin'!$G265&lt;='Data Analysis Addin'!$H265,G266&gt;H266), 1, 0)</f>
        <v>0</v>
      </c>
      <c r="J265" s="2">
        <f t="shared" ca="1" si="21"/>
        <v>0</v>
      </c>
      <c r="K265" s="17">
        <f>YEAR('Data Analysis Addin'!$A265)</f>
        <v>2021</v>
      </c>
    </row>
    <row r="266" spans="1:11" x14ac:dyDescent="0.4">
      <c r="A266" s="18">
        <v>44517</v>
      </c>
      <c r="B266" s="9">
        <v>468.14</v>
      </c>
      <c r="C266" s="11">
        <f t="shared" si="18"/>
        <v>449.02680000000015</v>
      </c>
      <c r="D266" s="11">
        <f t="shared" ref="D266:D329" si="22">AVERAGE(B67:B266)</f>
        <v>425.61814999999996</v>
      </c>
      <c r="E266" s="9"/>
      <c r="F266" s="9"/>
      <c r="G266" s="9">
        <f t="shared" ca="1" si="19"/>
        <v>449.02680000000015</v>
      </c>
      <c r="H266" s="9">
        <f t="shared" ca="1" si="20"/>
        <v>425.61814999999996</v>
      </c>
      <c r="I266" s="12">
        <f ca="1">IF(AND('Data Analysis Addin'!$G266&lt;='Data Analysis Addin'!$H266,G267&gt;H267), 1, 0)</f>
        <v>0</v>
      </c>
      <c r="J266" s="3">
        <f t="shared" ca="1" si="21"/>
        <v>0</v>
      </c>
      <c r="K266" s="19">
        <f>YEAR('Data Analysis Addin'!$A266)</f>
        <v>2021</v>
      </c>
    </row>
    <row r="267" spans="1:11" x14ac:dyDescent="0.4">
      <c r="A267" s="16">
        <v>44518</v>
      </c>
      <c r="B267" s="8">
        <v>469.73</v>
      </c>
      <c r="C267" s="11">
        <f t="shared" si="18"/>
        <v>449.44180000000006</v>
      </c>
      <c r="D267" s="11">
        <f t="shared" si="22"/>
        <v>426.03584999999998</v>
      </c>
      <c r="E267" s="8"/>
      <c r="F267" s="8"/>
      <c r="G267" s="8">
        <f t="shared" ca="1" si="19"/>
        <v>449.44180000000006</v>
      </c>
      <c r="H267" s="8">
        <f t="shared" ca="1" si="20"/>
        <v>426.03584999999998</v>
      </c>
      <c r="I267" s="12">
        <f ca="1">IF(AND('Data Analysis Addin'!$G267&lt;='Data Analysis Addin'!$H267,G268&gt;H268), 1, 0)</f>
        <v>0</v>
      </c>
      <c r="J267" s="2">
        <f t="shared" ca="1" si="21"/>
        <v>0</v>
      </c>
      <c r="K267" s="17">
        <f>YEAR('Data Analysis Addin'!$A267)</f>
        <v>2021</v>
      </c>
    </row>
    <row r="268" spans="1:11" x14ac:dyDescent="0.4">
      <c r="A268" s="18">
        <v>44519</v>
      </c>
      <c r="B268" s="9">
        <v>468.89</v>
      </c>
      <c r="C268" s="11">
        <f t="shared" si="18"/>
        <v>449.91080000000011</v>
      </c>
      <c r="D268" s="11">
        <f t="shared" si="22"/>
        <v>426.44175000000001</v>
      </c>
      <c r="E268" s="9"/>
      <c r="F268" s="9"/>
      <c r="G268" s="9">
        <f t="shared" ca="1" si="19"/>
        <v>449.91080000000011</v>
      </c>
      <c r="H268" s="9">
        <f t="shared" ca="1" si="20"/>
        <v>426.44175000000001</v>
      </c>
      <c r="I268" s="12">
        <f ca="1">IF(AND('Data Analysis Addin'!$G268&lt;='Data Analysis Addin'!$H268,G269&gt;H269), 1, 0)</f>
        <v>0</v>
      </c>
      <c r="J268" s="3">
        <f t="shared" ca="1" si="21"/>
        <v>0</v>
      </c>
      <c r="K268" s="19">
        <f>YEAR('Data Analysis Addin'!$A268)</f>
        <v>2021</v>
      </c>
    </row>
    <row r="269" spans="1:11" x14ac:dyDescent="0.4">
      <c r="A269" s="16">
        <v>44522</v>
      </c>
      <c r="B269" s="8">
        <v>467.57</v>
      </c>
      <c r="C269" s="11">
        <f t="shared" si="18"/>
        <v>450.3306</v>
      </c>
      <c r="D269" s="11">
        <f t="shared" si="22"/>
        <v>426.82705000000004</v>
      </c>
      <c r="E269" s="8"/>
      <c r="F269" s="8"/>
      <c r="G269" s="8">
        <f t="shared" ca="1" si="19"/>
        <v>450.3306</v>
      </c>
      <c r="H269" s="8">
        <f t="shared" ca="1" si="20"/>
        <v>426.82705000000004</v>
      </c>
      <c r="I269" s="12">
        <f ca="1">IF(AND('Data Analysis Addin'!$G269&lt;='Data Analysis Addin'!$H269,G270&gt;H270), 1, 0)</f>
        <v>0</v>
      </c>
      <c r="J269" s="2">
        <f t="shared" ca="1" si="21"/>
        <v>0</v>
      </c>
      <c r="K269" s="17">
        <f>YEAR('Data Analysis Addin'!$A269)</f>
        <v>2021</v>
      </c>
    </row>
    <row r="270" spans="1:11" x14ac:dyDescent="0.4">
      <c r="A270" s="18">
        <v>44523</v>
      </c>
      <c r="B270" s="9">
        <v>468.19</v>
      </c>
      <c r="C270" s="11">
        <f t="shared" si="18"/>
        <v>450.81099999999992</v>
      </c>
      <c r="D270" s="11">
        <f t="shared" si="22"/>
        <v>427.21675000000005</v>
      </c>
      <c r="E270" s="9"/>
      <c r="F270" s="9"/>
      <c r="G270" s="9">
        <f t="shared" ca="1" si="19"/>
        <v>450.81099999999992</v>
      </c>
      <c r="H270" s="9">
        <f t="shared" ca="1" si="20"/>
        <v>427.21675000000005</v>
      </c>
      <c r="I270" s="12">
        <f ca="1">IF(AND('Data Analysis Addin'!$G270&lt;='Data Analysis Addin'!$H270,G271&gt;H271), 1, 0)</f>
        <v>0</v>
      </c>
      <c r="J270" s="3">
        <f t="shared" ca="1" si="21"/>
        <v>0</v>
      </c>
      <c r="K270" s="19">
        <f>YEAR('Data Analysis Addin'!$A270)</f>
        <v>2021</v>
      </c>
    </row>
    <row r="271" spans="1:11" x14ac:dyDescent="0.4">
      <c r="A271" s="16">
        <v>44524</v>
      </c>
      <c r="B271" s="8">
        <v>469.44</v>
      </c>
      <c r="C271" s="11">
        <f t="shared" si="18"/>
        <v>451.24219999999985</v>
      </c>
      <c r="D271" s="11">
        <f t="shared" si="22"/>
        <v>427.61355000000003</v>
      </c>
      <c r="E271" s="8"/>
      <c r="F271" s="8"/>
      <c r="G271" s="8">
        <f t="shared" ca="1" si="19"/>
        <v>451.24219999999985</v>
      </c>
      <c r="H271" s="8">
        <f t="shared" ca="1" si="20"/>
        <v>427.61355000000003</v>
      </c>
      <c r="I271" s="12">
        <f ca="1">IF(AND('Data Analysis Addin'!$G271&lt;='Data Analysis Addin'!$H271,G272&gt;H272), 1, 0)</f>
        <v>0</v>
      </c>
      <c r="J271" s="2">
        <f t="shared" ca="1" si="21"/>
        <v>0</v>
      </c>
      <c r="K271" s="17">
        <f>YEAR('Data Analysis Addin'!$A271)</f>
        <v>2021</v>
      </c>
    </row>
    <row r="272" spans="1:11" x14ac:dyDescent="0.4">
      <c r="A272" s="18">
        <v>44526</v>
      </c>
      <c r="B272" s="9">
        <v>458.97</v>
      </c>
      <c r="C272" s="11">
        <f t="shared" si="18"/>
        <v>451.4781999999999</v>
      </c>
      <c r="D272" s="11">
        <f t="shared" si="22"/>
        <v>427.95485000000002</v>
      </c>
      <c r="E272" s="9"/>
      <c r="F272" s="9"/>
      <c r="G272" s="9">
        <f t="shared" ca="1" si="19"/>
        <v>451.4781999999999</v>
      </c>
      <c r="H272" s="9">
        <f t="shared" ca="1" si="20"/>
        <v>427.95485000000002</v>
      </c>
      <c r="I272" s="12">
        <f ca="1">IF(AND('Data Analysis Addin'!$G272&lt;='Data Analysis Addin'!$H272,G273&gt;H273), 1, 0)</f>
        <v>0</v>
      </c>
      <c r="J272" s="3">
        <f t="shared" ca="1" si="21"/>
        <v>0</v>
      </c>
      <c r="K272" s="19">
        <f>YEAR('Data Analysis Addin'!$A272)</f>
        <v>2021</v>
      </c>
    </row>
    <row r="273" spans="1:11" x14ac:dyDescent="0.4">
      <c r="A273" s="16">
        <v>44529</v>
      </c>
      <c r="B273" s="8">
        <v>464.6</v>
      </c>
      <c r="C273" s="11">
        <f t="shared" si="18"/>
        <v>451.94219999999984</v>
      </c>
      <c r="D273" s="11">
        <f t="shared" si="22"/>
        <v>428.31465000000009</v>
      </c>
      <c r="E273" s="8"/>
      <c r="F273" s="8"/>
      <c r="G273" s="8">
        <f t="shared" ca="1" si="19"/>
        <v>451.94219999999984</v>
      </c>
      <c r="H273" s="8">
        <f t="shared" ca="1" si="20"/>
        <v>428.31465000000009</v>
      </c>
      <c r="I273" s="12">
        <f ca="1">IF(AND('Data Analysis Addin'!$G273&lt;='Data Analysis Addin'!$H273,G274&gt;H274), 1, 0)</f>
        <v>0</v>
      </c>
      <c r="J273" s="2">
        <f t="shared" ca="1" si="21"/>
        <v>0</v>
      </c>
      <c r="K273" s="17">
        <f>YEAR('Data Analysis Addin'!$A273)</f>
        <v>2021</v>
      </c>
    </row>
    <row r="274" spans="1:11" x14ac:dyDescent="0.4">
      <c r="A274" s="18">
        <v>44530</v>
      </c>
      <c r="B274" s="9">
        <v>455.56</v>
      </c>
      <c r="C274" s="11">
        <f t="shared" si="18"/>
        <v>452.37259999999992</v>
      </c>
      <c r="D274" s="11">
        <f t="shared" si="22"/>
        <v>428.6309500000001</v>
      </c>
      <c r="E274" s="9"/>
      <c r="F274" s="9"/>
      <c r="G274" s="9">
        <f t="shared" ca="1" si="19"/>
        <v>452.37259999999992</v>
      </c>
      <c r="H274" s="9">
        <f t="shared" ca="1" si="20"/>
        <v>428.6309500000001</v>
      </c>
      <c r="I274" s="12">
        <f ca="1">IF(AND('Data Analysis Addin'!$G274&lt;='Data Analysis Addin'!$H274,G275&gt;H275), 1, 0)</f>
        <v>0</v>
      </c>
      <c r="J274" s="3">
        <f t="shared" ca="1" si="21"/>
        <v>0</v>
      </c>
      <c r="K274" s="19">
        <f>YEAR('Data Analysis Addin'!$A274)</f>
        <v>2021</v>
      </c>
    </row>
    <row r="275" spans="1:11" x14ac:dyDescent="0.4">
      <c r="A275" s="16">
        <v>44531</v>
      </c>
      <c r="B275" s="8">
        <v>450.5</v>
      </c>
      <c r="C275" s="11">
        <f t="shared" si="18"/>
        <v>452.70999999999987</v>
      </c>
      <c r="D275" s="11">
        <f t="shared" si="22"/>
        <v>428.92150000000015</v>
      </c>
      <c r="E275" s="8"/>
      <c r="F275" s="8"/>
      <c r="G275" s="8">
        <f t="shared" ca="1" si="19"/>
        <v>452.70999999999987</v>
      </c>
      <c r="H275" s="8">
        <f t="shared" ca="1" si="20"/>
        <v>428.92150000000015</v>
      </c>
      <c r="I275" s="12">
        <f ca="1">IF(AND('Data Analysis Addin'!$G275&lt;='Data Analysis Addin'!$H275,G276&gt;H276), 1, 0)</f>
        <v>0</v>
      </c>
      <c r="J275" s="2">
        <f t="shared" ca="1" si="21"/>
        <v>0</v>
      </c>
      <c r="K275" s="17">
        <f>YEAR('Data Analysis Addin'!$A275)</f>
        <v>2021</v>
      </c>
    </row>
    <row r="276" spans="1:11" x14ac:dyDescent="0.4">
      <c r="A276" s="18">
        <v>44532</v>
      </c>
      <c r="B276" s="9">
        <v>457.4</v>
      </c>
      <c r="C276" s="11">
        <f t="shared" si="18"/>
        <v>453.10079999999988</v>
      </c>
      <c r="D276" s="11">
        <f t="shared" si="22"/>
        <v>429.25490000000013</v>
      </c>
      <c r="E276" s="9"/>
      <c r="F276" s="9"/>
      <c r="G276" s="9">
        <f t="shared" ca="1" si="19"/>
        <v>453.10079999999988</v>
      </c>
      <c r="H276" s="9">
        <f t="shared" ca="1" si="20"/>
        <v>429.25490000000013</v>
      </c>
      <c r="I276" s="12">
        <f ca="1">IF(AND('Data Analysis Addin'!$G276&lt;='Data Analysis Addin'!$H276,G277&gt;H277), 1, 0)</f>
        <v>0</v>
      </c>
      <c r="J276" s="3">
        <f t="shared" ca="1" si="21"/>
        <v>0</v>
      </c>
      <c r="K276" s="19">
        <f>YEAR('Data Analysis Addin'!$A276)</f>
        <v>2021</v>
      </c>
    </row>
    <row r="277" spans="1:11" x14ac:dyDescent="0.4">
      <c r="A277" s="16">
        <v>44533</v>
      </c>
      <c r="B277" s="8">
        <v>453.42</v>
      </c>
      <c r="C277" s="11">
        <f t="shared" si="18"/>
        <v>453.30559999999991</v>
      </c>
      <c r="D277" s="11">
        <f t="shared" si="22"/>
        <v>429.57185000000004</v>
      </c>
      <c r="E277" s="8"/>
      <c r="F277" s="8"/>
      <c r="G277" s="8">
        <f t="shared" ca="1" si="19"/>
        <v>453.30559999999991</v>
      </c>
      <c r="H277" s="8">
        <f t="shared" ca="1" si="20"/>
        <v>429.57185000000004</v>
      </c>
      <c r="I277" s="12">
        <f ca="1">IF(AND('Data Analysis Addin'!$G277&lt;='Data Analysis Addin'!$H277,G278&gt;H278), 1, 0)</f>
        <v>0</v>
      </c>
      <c r="J277" s="2">
        <f t="shared" ca="1" si="21"/>
        <v>0</v>
      </c>
      <c r="K277" s="17">
        <f>YEAR('Data Analysis Addin'!$A277)</f>
        <v>2021</v>
      </c>
    </row>
    <row r="278" spans="1:11" x14ac:dyDescent="0.4">
      <c r="A278" s="18">
        <v>44536</v>
      </c>
      <c r="B278" s="9">
        <v>458.79</v>
      </c>
      <c r="C278" s="11">
        <f t="shared" si="18"/>
        <v>453.6031999999999</v>
      </c>
      <c r="D278" s="11">
        <f t="shared" si="22"/>
        <v>429.93065000000001</v>
      </c>
      <c r="E278" s="9"/>
      <c r="F278" s="9"/>
      <c r="G278" s="9">
        <f t="shared" ca="1" si="19"/>
        <v>453.6031999999999</v>
      </c>
      <c r="H278" s="9">
        <f t="shared" ca="1" si="20"/>
        <v>429.93065000000001</v>
      </c>
      <c r="I278" s="12">
        <f ca="1">IF(AND('Data Analysis Addin'!$G278&lt;='Data Analysis Addin'!$H278,G279&gt;H279), 1, 0)</f>
        <v>0</v>
      </c>
      <c r="J278" s="3">
        <f t="shared" ca="1" si="21"/>
        <v>0</v>
      </c>
      <c r="K278" s="19">
        <f>YEAR('Data Analysis Addin'!$A278)</f>
        <v>2021</v>
      </c>
    </row>
    <row r="279" spans="1:11" x14ac:dyDescent="0.4">
      <c r="A279" s="16">
        <v>44537</v>
      </c>
      <c r="B279" s="8">
        <v>468.28</v>
      </c>
      <c r="C279" s="11">
        <f t="shared" si="18"/>
        <v>454.11599999999999</v>
      </c>
      <c r="D279" s="11">
        <f t="shared" si="22"/>
        <v>430.33454999999992</v>
      </c>
      <c r="E279" s="8"/>
      <c r="F279" s="8"/>
      <c r="G279" s="8">
        <f t="shared" ca="1" si="19"/>
        <v>454.11599999999999</v>
      </c>
      <c r="H279" s="8">
        <f t="shared" ca="1" si="20"/>
        <v>430.33454999999992</v>
      </c>
      <c r="I279" s="12">
        <f ca="1">IF(AND('Data Analysis Addin'!$G279&lt;='Data Analysis Addin'!$H279,G280&gt;H280), 1, 0)</f>
        <v>0</v>
      </c>
      <c r="J279" s="2">
        <f t="shared" ca="1" si="21"/>
        <v>0</v>
      </c>
      <c r="K279" s="17">
        <f>YEAR('Data Analysis Addin'!$A279)</f>
        <v>2021</v>
      </c>
    </row>
    <row r="280" spans="1:11" x14ac:dyDescent="0.4">
      <c r="A280" s="18">
        <v>44538</v>
      </c>
      <c r="B280" s="9">
        <v>469.52</v>
      </c>
      <c r="C280" s="11">
        <f t="shared" si="18"/>
        <v>454.83199999999999</v>
      </c>
      <c r="D280" s="11">
        <f t="shared" si="22"/>
        <v>430.72329999999994</v>
      </c>
      <c r="E280" s="9"/>
      <c r="F280" s="9"/>
      <c r="G280" s="9">
        <f t="shared" ca="1" si="19"/>
        <v>454.83199999999999</v>
      </c>
      <c r="H280" s="9">
        <f t="shared" ca="1" si="20"/>
        <v>430.72329999999994</v>
      </c>
      <c r="I280" s="12">
        <f ca="1">IF(AND('Data Analysis Addin'!$G280&lt;='Data Analysis Addin'!$H280,G281&gt;H281), 1, 0)</f>
        <v>0</v>
      </c>
      <c r="J280" s="3">
        <f t="shared" ca="1" si="21"/>
        <v>0</v>
      </c>
      <c r="K280" s="19">
        <f>YEAR('Data Analysis Addin'!$A280)</f>
        <v>2021</v>
      </c>
    </row>
    <row r="281" spans="1:11" x14ac:dyDescent="0.4">
      <c r="A281" s="16">
        <v>44539</v>
      </c>
      <c r="B281" s="8">
        <v>466.35</v>
      </c>
      <c r="C281" s="11">
        <f t="shared" si="18"/>
        <v>455.46999999999991</v>
      </c>
      <c r="D281" s="11">
        <f t="shared" si="22"/>
        <v>431.14339999999999</v>
      </c>
      <c r="E281" s="8"/>
      <c r="F281" s="8"/>
      <c r="G281" s="8">
        <f t="shared" ca="1" si="19"/>
        <v>455.46999999999991</v>
      </c>
      <c r="H281" s="8">
        <f t="shared" ca="1" si="20"/>
        <v>431.14339999999999</v>
      </c>
      <c r="I281" s="12">
        <f ca="1">IF(AND('Data Analysis Addin'!$G281&lt;='Data Analysis Addin'!$H281,G282&gt;H282), 1, 0)</f>
        <v>0</v>
      </c>
      <c r="J281" s="2">
        <f t="shared" ca="1" si="21"/>
        <v>0</v>
      </c>
      <c r="K281" s="17">
        <f>YEAR('Data Analysis Addin'!$A281)</f>
        <v>2021</v>
      </c>
    </row>
    <row r="282" spans="1:11" x14ac:dyDescent="0.4">
      <c r="A282" s="18">
        <v>44540</v>
      </c>
      <c r="B282" s="9">
        <v>470.74</v>
      </c>
      <c r="C282" s="11">
        <f t="shared" si="18"/>
        <v>456.30199999999996</v>
      </c>
      <c r="D282" s="11">
        <f t="shared" si="22"/>
        <v>431.59530000000007</v>
      </c>
      <c r="E282" s="9"/>
      <c r="F282" s="9"/>
      <c r="G282" s="9">
        <f t="shared" ca="1" si="19"/>
        <v>456.30199999999996</v>
      </c>
      <c r="H282" s="9">
        <f t="shared" ca="1" si="20"/>
        <v>431.59530000000007</v>
      </c>
      <c r="I282" s="12">
        <f ca="1">IF(AND('Data Analysis Addin'!$G282&lt;='Data Analysis Addin'!$H282,G283&gt;H283), 1, 0)</f>
        <v>0</v>
      </c>
      <c r="J282" s="3">
        <f t="shared" ca="1" si="21"/>
        <v>0</v>
      </c>
      <c r="K282" s="19">
        <f>YEAR('Data Analysis Addin'!$A282)</f>
        <v>2021</v>
      </c>
    </row>
    <row r="283" spans="1:11" x14ac:dyDescent="0.4">
      <c r="A283" s="16">
        <v>44543</v>
      </c>
      <c r="B283" s="8">
        <v>466.57</v>
      </c>
      <c r="C283" s="11">
        <f t="shared" si="18"/>
        <v>456.9486</v>
      </c>
      <c r="D283" s="11">
        <f t="shared" si="22"/>
        <v>431.98025000000007</v>
      </c>
      <c r="E283" s="8"/>
      <c r="F283" s="8"/>
      <c r="G283" s="8">
        <f t="shared" ca="1" si="19"/>
        <v>456.9486</v>
      </c>
      <c r="H283" s="8">
        <f t="shared" ca="1" si="20"/>
        <v>431.98025000000007</v>
      </c>
      <c r="I283" s="12">
        <f ca="1">IF(AND('Data Analysis Addin'!$G283&lt;='Data Analysis Addin'!$H283,G284&gt;H284), 1, 0)</f>
        <v>0</v>
      </c>
      <c r="J283" s="2">
        <f t="shared" ca="1" si="21"/>
        <v>0</v>
      </c>
      <c r="K283" s="17">
        <f>YEAR('Data Analysis Addin'!$A283)</f>
        <v>2021</v>
      </c>
    </row>
    <row r="284" spans="1:11" x14ac:dyDescent="0.4">
      <c r="A284" s="18">
        <v>44544</v>
      </c>
      <c r="B284" s="9">
        <v>463.36</v>
      </c>
      <c r="C284" s="11">
        <f t="shared" si="18"/>
        <v>457.64299999999997</v>
      </c>
      <c r="D284" s="11">
        <f t="shared" si="22"/>
        <v>432.36435000000006</v>
      </c>
      <c r="E284" s="9"/>
      <c r="F284" s="9"/>
      <c r="G284" s="9">
        <f t="shared" ca="1" si="19"/>
        <v>457.64299999999997</v>
      </c>
      <c r="H284" s="9">
        <f t="shared" ca="1" si="20"/>
        <v>432.36435000000006</v>
      </c>
      <c r="I284" s="12">
        <f ca="1">IF(AND('Data Analysis Addin'!$G284&lt;='Data Analysis Addin'!$H284,G285&gt;H285), 1, 0)</f>
        <v>0</v>
      </c>
      <c r="J284" s="3">
        <f t="shared" ca="1" si="21"/>
        <v>0</v>
      </c>
      <c r="K284" s="19">
        <f>YEAR('Data Analysis Addin'!$A284)</f>
        <v>2021</v>
      </c>
    </row>
    <row r="285" spans="1:11" x14ac:dyDescent="0.4">
      <c r="A285" s="16">
        <v>44545</v>
      </c>
      <c r="B285" s="8">
        <v>470.6</v>
      </c>
      <c r="C285" s="11">
        <f t="shared" si="18"/>
        <v>458.39299999999997</v>
      </c>
      <c r="D285" s="11">
        <f t="shared" si="22"/>
        <v>432.81025000000011</v>
      </c>
      <c r="E285" s="8"/>
      <c r="F285" s="8"/>
      <c r="G285" s="8">
        <f t="shared" ca="1" si="19"/>
        <v>458.39299999999997</v>
      </c>
      <c r="H285" s="8">
        <f t="shared" ca="1" si="20"/>
        <v>432.81025000000011</v>
      </c>
      <c r="I285" s="12">
        <f ca="1">IF(AND('Data Analysis Addin'!$G285&lt;='Data Analysis Addin'!$H285,G286&gt;H286), 1, 0)</f>
        <v>0</v>
      </c>
      <c r="J285" s="2">
        <f t="shared" ca="1" si="21"/>
        <v>0</v>
      </c>
      <c r="K285" s="17">
        <f>YEAR('Data Analysis Addin'!$A285)</f>
        <v>2021</v>
      </c>
    </row>
    <row r="286" spans="1:11" x14ac:dyDescent="0.4">
      <c r="A286" s="18">
        <v>44546</v>
      </c>
      <c r="B286" s="9">
        <v>466.45</v>
      </c>
      <c r="C286" s="11">
        <f t="shared" si="18"/>
        <v>459.024</v>
      </c>
      <c r="D286" s="11">
        <f t="shared" si="22"/>
        <v>433.25900000000007</v>
      </c>
      <c r="E286" s="9"/>
      <c r="F286" s="9"/>
      <c r="G286" s="9">
        <f t="shared" ca="1" si="19"/>
        <v>459.024</v>
      </c>
      <c r="H286" s="9">
        <f t="shared" ca="1" si="20"/>
        <v>433.25900000000007</v>
      </c>
      <c r="I286" s="12">
        <f ca="1">IF(AND('Data Analysis Addin'!$G286&lt;='Data Analysis Addin'!$H286,G287&gt;H287), 1, 0)</f>
        <v>0</v>
      </c>
      <c r="J286" s="3">
        <f t="shared" ca="1" si="21"/>
        <v>0</v>
      </c>
      <c r="K286" s="19">
        <f>YEAR('Data Analysis Addin'!$A286)</f>
        <v>2021</v>
      </c>
    </row>
    <row r="287" spans="1:11" x14ac:dyDescent="0.4">
      <c r="A287" s="16">
        <v>44547</v>
      </c>
      <c r="B287" s="8">
        <v>459.87</v>
      </c>
      <c r="C287" s="11">
        <f t="shared" si="18"/>
        <v>459.44819999999999</v>
      </c>
      <c r="D287" s="11">
        <f t="shared" si="22"/>
        <v>433.64020000000011</v>
      </c>
      <c r="E287" s="8"/>
      <c r="F287" s="8"/>
      <c r="G287" s="8">
        <f t="shared" ca="1" si="19"/>
        <v>459.44819999999999</v>
      </c>
      <c r="H287" s="8">
        <f t="shared" ca="1" si="20"/>
        <v>433.64020000000011</v>
      </c>
      <c r="I287" s="12">
        <f ca="1">IF(AND('Data Analysis Addin'!$G287&lt;='Data Analysis Addin'!$H287,G288&gt;H288), 1, 0)</f>
        <v>0</v>
      </c>
      <c r="J287" s="2">
        <f t="shared" ca="1" si="21"/>
        <v>0</v>
      </c>
      <c r="K287" s="17">
        <f>YEAR('Data Analysis Addin'!$A287)</f>
        <v>2021</v>
      </c>
    </row>
    <row r="288" spans="1:11" x14ac:dyDescent="0.4">
      <c r="A288" s="18">
        <v>44550</v>
      </c>
      <c r="B288" s="9">
        <v>454.98</v>
      </c>
      <c r="C288" s="11">
        <f t="shared" si="18"/>
        <v>459.79059999999998</v>
      </c>
      <c r="D288" s="11">
        <f t="shared" si="22"/>
        <v>434.00650000000007</v>
      </c>
      <c r="E288" s="9"/>
      <c r="F288" s="9"/>
      <c r="G288" s="9">
        <f t="shared" ca="1" si="19"/>
        <v>459.79059999999998</v>
      </c>
      <c r="H288" s="9">
        <f t="shared" ca="1" si="20"/>
        <v>434.00650000000007</v>
      </c>
      <c r="I288" s="12">
        <f ca="1">IF(AND('Data Analysis Addin'!$G288&lt;='Data Analysis Addin'!$H288,G289&gt;H289), 1, 0)</f>
        <v>0</v>
      </c>
      <c r="J288" s="3">
        <f t="shared" ca="1" si="21"/>
        <v>0</v>
      </c>
      <c r="K288" s="19">
        <f>YEAR('Data Analysis Addin'!$A288)</f>
        <v>2021</v>
      </c>
    </row>
    <row r="289" spans="1:11" x14ac:dyDescent="0.4">
      <c r="A289" s="16">
        <v>44551</v>
      </c>
      <c r="B289" s="8">
        <v>463.06</v>
      </c>
      <c r="C289" s="11">
        <f t="shared" si="18"/>
        <v>460.358</v>
      </c>
      <c r="D289" s="11">
        <f t="shared" si="22"/>
        <v>434.38595000000015</v>
      </c>
      <c r="E289" s="8"/>
      <c r="F289" s="8"/>
      <c r="G289" s="8">
        <f t="shared" ca="1" si="19"/>
        <v>460.358</v>
      </c>
      <c r="H289" s="8">
        <f t="shared" ca="1" si="20"/>
        <v>434.38595000000015</v>
      </c>
      <c r="I289" s="12">
        <f ca="1">IF(AND('Data Analysis Addin'!$G289&lt;='Data Analysis Addin'!$H289,G290&gt;H290), 1, 0)</f>
        <v>0</v>
      </c>
      <c r="J289" s="2">
        <f t="shared" ca="1" si="21"/>
        <v>0</v>
      </c>
      <c r="K289" s="17">
        <f>YEAR('Data Analysis Addin'!$A289)</f>
        <v>2021</v>
      </c>
    </row>
    <row r="290" spans="1:11" x14ac:dyDescent="0.4">
      <c r="A290" s="18">
        <v>44552</v>
      </c>
      <c r="B290" s="9">
        <v>467.69</v>
      </c>
      <c r="C290" s="11">
        <f t="shared" si="18"/>
        <v>461.03939999999994</v>
      </c>
      <c r="D290" s="11">
        <f t="shared" si="22"/>
        <v>434.77650000000017</v>
      </c>
      <c r="E290" s="9"/>
      <c r="F290" s="9"/>
      <c r="G290" s="9">
        <f t="shared" ca="1" si="19"/>
        <v>461.03939999999994</v>
      </c>
      <c r="H290" s="9">
        <f t="shared" ca="1" si="20"/>
        <v>434.77650000000017</v>
      </c>
      <c r="I290" s="12">
        <f ca="1">IF(AND('Data Analysis Addin'!$G290&lt;='Data Analysis Addin'!$H290,G291&gt;H291), 1, 0)</f>
        <v>0</v>
      </c>
      <c r="J290" s="3">
        <f t="shared" ca="1" si="21"/>
        <v>0</v>
      </c>
      <c r="K290" s="19">
        <f>YEAR('Data Analysis Addin'!$A290)</f>
        <v>2021</v>
      </c>
    </row>
    <row r="291" spans="1:11" x14ac:dyDescent="0.4">
      <c r="A291" s="16">
        <v>44553</v>
      </c>
      <c r="B291" s="8">
        <v>470.6</v>
      </c>
      <c r="C291" s="11">
        <f t="shared" si="18"/>
        <v>461.74779999999993</v>
      </c>
      <c r="D291" s="11">
        <f t="shared" si="22"/>
        <v>435.16185000000019</v>
      </c>
      <c r="E291" s="8"/>
      <c r="F291" s="8"/>
      <c r="G291" s="8">
        <f t="shared" ca="1" si="19"/>
        <v>461.74779999999993</v>
      </c>
      <c r="H291" s="8">
        <f t="shared" ca="1" si="20"/>
        <v>435.16185000000019</v>
      </c>
      <c r="I291" s="12">
        <f ca="1">IF(AND('Data Analysis Addin'!$G291&lt;='Data Analysis Addin'!$H291,G292&gt;H292), 1, 0)</f>
        <v>0</v>
      </c>
      <c r="J291" s="2">
        <f t="shared" ca="1" si="21"/>
        <v>0</v>
      </c>
      <c r="K291" s="17">
        <f>YEAR('Data Analysis Addin'!$A291)</f>
        <v>2021</v>
      </c>
    </row>
    <row r="292" spans="1:11" x14ac:dyDescent="0.4">
      <c r="A292" s="18">
        <v>44557</v>
      </c>
      <c r="B292" s="9">
        <v>477.26</v>
      </c>
      <c r="C292" s="11">
        <f t="shared" si="18"/>
        <v>462.44299999999987</v>
      </c>
      <c r="D292" s="11">
        <f t="shared" si="22"/>
        <v>435.57785000000018</v>
      </c>
      <c r="E292" s="9"/>
      <c r="F292" s="9"/>
      <c r="G292" s="9">
        <f t="shared" ca="1" si="19"/>
        <v>462.44299999999987</v>
      </c>
      <c r="H292" s="9">
        <f t="shared" ca="1" si="20"/>
        <v>435.57785000000018</v>
      </c>
      <c r="I292" s="12">
        <f ca="1">IF(AND('Data Analysis Addin'!$G292&lt;='Data Analysis Addin'!$H292,G293&gt;H293), 1, 0)</f>
        <v>0</v>
      </c>
      <c r="J292" s="3">
        <f t="shared" ca="1" si="21"/>
        <v>0</v>
      </c>
      <c r="K292" s="19">
        <f>YEAR('Data Analysis Addin'!$A292)</f>
        <v>2021</v>
      </c>
    </row>
    <row r="293" spans="1:11" x14ac:dyDescent="0.4">
      <c r="A293" s="16">
        <v>44558</v>
      </c>
      <c r="B293" s="8">
        <v>476.87</v>
      </c>
      <c r="C293" s="11">
        <f t="shared" si="18"/>
        <v>463.06299999999987</v>
      </c>
      <c r="D293" s="11">
        <f t="shared" si="22"/>
        <v>435.98015000000021</v>
      </c>
      <c r="E293" s="8"/>
      <c r="F293" s="8"/>
      <c r="G293" s="8">
        <f t="shared" ca="1" si="19"/>
        <v>463.06299999999987</v>
      </c>
      <c r="H293" s="8">
        <f t="shared" ca="1" si="20"/>
        <v>435.98015000000021</v>
      </c>
      <c r="I293" s="12">
        <f ca="1">IF(AND('Data Analysis Addin'!$G293&lt;='Data Analysis Addin'!$H293,G294&gt;H294), 1, 0)</f>
        <v>0</v>
      </c>
      <c r="J293" s="2">
        <f t="shared" ca="1" si="21"/>
        <v>0</v>
      </c>
      <c r="K293" s="17">
        <f>YEAR('Data Analysis Addin'!$A293)</f>
        <v>2021</v>
      </c>
    </row>
    <row r="294" spans="1:11" x14ac:dyDescent="0.4">
      <c r="A294" s="18">
        <v>44559</v>
      </c>
      <c r="B294" s="9">
        <v>477.48</v>
      </c>
      <c r="C294" s="11">
        <f t="shared" si="18"/>
        <v>463.66879999999992</v>
      </c>
      <c r="D294" s="11">
        <f t="shared" si="22"/>
        <v>436.38800000000015</v>
      </c>
      <c r="E294" s="9"/>
      <c r="F294" s="9"/>
      <c r="G294" s="9">
        <f t="shared" ca="1" si="19"/>
        <v>463.66879999999992</v>
      </c>
      <c r="H294" s="9">
        <f t="shared" ca="1" si="20"/>
        <v>436.38800000000015</v>
      </c>
      <c r="I294" s="12">
        <f ca="1">IF(AND('Data Analysis Addin'!$G294&lt;='Data Analysis Addin'!$H294,G295&gt;H295), 1, 0)</f>
        <v>0</v>
      </c>
      <c r="J294" s="3">
        <f t="shared" ca="1" si="21"/>
        <v>0</v>
      </c>
      <c r="K294" s="19">
        <f>YEAR('Data Analysis Addin'!$A294)</f>
        <v>2021</v>
      </c>
    </row>
    <row r="295" spans="1:11" x14ac:dyDescent="0.4">
      <c r="A295" s="16">
        <v>44560</v>
      </c>
      <c r="B295" s="8">
        <v>476.16</v>
      </c>
      <c r="C295" s="11">
        <f t="shared" si="18"/>
        <v>464.17919999999992</v>
      </c>
      <c r="D295" s="11">
        <f t="shared" si="22"/>
        <v>436.7825000000002</v>
      </c>
      <c r="E295" s="8"/>
      <c r="F295" s="8"/>
      <c r="G295" s="8">
        <f t="shared" ca="1" si="19"/>
        <v>464.17919999999992</v>
      </c>
      <c r="H295" s="8">
        <f t="shared" ca="1" si="20"/>
        <v>436.7825000000002</v>
      </c>
      <c r="I295" s="12">
        <f ca="1">IF(AND('Data Analysis Addin'!$G295&lt;='Data Analysis Addin'!$H295,G296&gt;H296), 1, 0)</f>
        <v>0</v>
      </c>
      <c r="J295" s="2">
        <f t="shared" ca="1" si="21"/>
        <v>0</v>
      </c>
      <c r="K295" s="17">
        <f>YEAR('Data Analysis Addin'!$A295)</f>
        <v>2021</v>
      </c>
    </row>
    <row r="296" spans="1:11" x14ac:dyDescent="0.4">
      <c r="A296" s="18">
        <v>44561</v>
      </c>
      <c r="B296" s="9">
        <v>474.96</v>
      </c>
      <c r="C296" s="11">
        <f t="shared" si="18"/>
        <v>464.63019999999989</v>
      </c>
      <c r="D296" s="11">
        <f t="shared" si="22"/>
        <v>437.19990000000018</v>
      </c>
      <c r="E296" s="9"/>
      <c r="F296" s="9"/>
      <c r="G296" s="9">
        <f t="shared" ca="1" si="19"/>
        <v>464.63019999999989</v>
      </c>
      <c r="H296" s="9">
        <f t="shared" ca="1" si="20"/>
        <v>437.19990000000018</v>
      </c>
      <c r="I296" s="12">
        <f ca="1">IF(AND('Data Analysis Addin'!$G296&lt;='Data Analysis Addin'!$H296,G297&gt;H297), 1, 0)</f>
        <v>0</v>
      </c>
      <c r="J296" s="3">
        <f t="shared" ca="1" si="21"/>
        <v>0</v>
      </c>
      <c r="K296" s="19">
        <f>YEAR('Data Analysis Addin'!$A296)</f>
        <v>2021</v>
      </c>
    </row>
    <row r="297" spans="1:11" x14ac:dyDescent="0.4">
      <c r="A297" s="16">
        <v>44564</v>
      </c>
      <c r="B297" s="8">
        <v>477.71</v>
      </c>
      <c r="C297" s="11">
        <f t="shared" si="18"/>
        <v>465.11259999999987</v>
      </c>
      <c r="D297" s="11">
        <f t="shared" si="22"/>
        <v>437.64105000000023</v>
      </c>
      <c r="E297" s="8"/>
      <c r="F297" s="8"/>
      <c r="G297" s="8">
        <f t="shared" ca="1" si="19"/>
        <v>465.11259999999987</v>
      </c>
      <c r="H297" s="8">
        <f t="shared" ca="1" si="20"/>
        <v>437.64105000000023</v>
      </c>
      <c r="I297" s="12">
        <f ca="1">IF(AND('Data Analysis Addin'!$G297&lt;='Data Analysis Addin'!$H297,G298&gt;H298), 1, 0)</f>
        <v>0</v>
      </c>
      <c r="J297" s="2">
        <f t="shared" ca="1" si="21"/>
        <v>0</v>
      </c>
      <c r="K297" s="17">
        <f>YEAR('Data Analysis Addin'!$A297)</f>
        <v>2022</v>
      </c>
    </row>
    <row r="298" spans="1:11" x14ac:dyDescent="0.4">
      <c r="A298" s="18">
        <v>44565</v>
      </c>
      <c r="B298" s="9">
        <v>477.55</v>
      </c>
      <c r="C298" s="11">
        <f t="shared" si="18"/>
        <v>465.60119999999984</v>
      </c>
      <c r="D298" s="11">
        <f t="shared" si="22"/>
        <v>438.0658500000003</v>
      </c>
      <c r="E298" s="9"/>
      <c r="F298" s="9"/>
      <c r="G298" s="9">
        <f t="shared" ca="1" si="19"/>
        <v>465.60119999999984</v>
      </c>
      <c r="H298" s="9">
        <f t="shared" ca="1" si="20"/>
        <v>438.0658500000003</v>
      </c>
      <c r="I298" s="12">
        <f ca="1">IF(AND('Data Analysis Addin'!$G298&lt;='Data Analysis Addin'!$H298,G299&gt;H299), 1, 0)</f>
        <v>0</v>
      </c>
      <c r="J298" s="3">
        <f t="shared" ca="1" si="21"/>
        <v>0</v>
      </c>
      <c r="K298" s="19">
        <f>YEAR('Data Analysis Addin'!$A298)</f>
        <v>2022</v>
      </c>
    </row>
    <row r="299" spans="1:11" x14ac:dyDescent="0.4">
      <c r="A299" s="16">
        <v>44566</v>
      </c>
      <c r="B299" s="8">
        <v>468.38</v>
      </c>
      <c r="C299" s="11">
        <f t="shared" si="18"/>
        <v>465.85779999999994</v>
      </c>
      <c r="D299" s="11">
        <f t="shared" si="22"/>
        <v>438.46025000000031</v>
      </c>
      <c r="E299" s="8"/>
      <c r="F299" s="8"/>
      <c r="G299" s="8">
        <f t="shared" ca="1" si="19"/>
        <v>465.85779999999994</v>
      </c>
      <c r="H299" s="8">
        <f t="shared" ca="1" si="20"/>
        <v>438.46025000000031</v>
      </c>
      <c r="I299" s="12">
        <f ca="1">IF(AND('Data Analysis Addin'!$G299&lt;='Data Analysis Addin'!$H299,G300&gt;H300), 1, 0)</f>
        <v>0</v>
      </c>
      <c r="J299" s="2">
        <f t="shared" ca="1" si="21"/>
        <v>0</v>
      </c>
      <c r="K299" s="17">
        <f>YEAR('Data Analysis Addin'!$A299)</f>
        <v>2022</v>
      </c>
    </row>
    <row r="300" spans="1:11" x14ac:dyDescent="0.4">
      <c r="A300" s="18">
        <v>44567</v>
      </c>
      <c r="B300" s="9">
        <v>467.94</v>
      </c>
      <c r="C300" s="11">
        <f t="shared" si="18"/>
        <v>466.09739999999982</v>
      </c>
      <c r="D300" s="11">
        <f t="shared" si="22"/>
        <v>438.86235000000028</v>
      </c>
      <c r="E300" s="9"/>
      <c r="F300" s="9"/>
      <c r="G300" s="9">
        <f t="shared" ca="1" si="19"/>
        <v>466.09739999999982</v>
      </c>
      <c r="H300" s="9">
        <f t="shared" ca="1" si="20"/>
        <v>438.86235000000028</v>
      </c>
      <c r="I300" s="12">
        <f ca="1">IF(AND('Data Analysis Addin'!$G300&lt;='Data Analysis Addin'!$H300,G301&gt;H301), 1, 0)</f>
        <v>0</v>
      </c>
      <c r="J300" s="3">
        <f t="shared" ca="1" si="21"/>
        <v>0</v>
      </c>
      <c r="K300" s="19">
        <f>YEAR('Data Analysis Addin'!$A300)</f>
        <v>2022</v>
      </c>
    </row>
    <row r="301" spans="1:11" x14ac:dyDescent="0.4">
      <c r="A301" s="16">
        <v>44568</v>
      </c>
      <c r="B301" s="8">
        <v>466.09</v>
      </c>
      <c r="C301" s="11">
        <f t="shared" si="18"/>
        <v>466.34039999999993</v>
      </c>
      <c r="D301" s="11">
        <f t="shared" si="22"/>
        <v>439.24430000000035</v>
      </c>
      <c r="E301" s="8"/>
      <c r="F301" s="8"/>
      <c r="G301" s="8">
        <f t="shared" ca="1" si="19"/>
        <v>466.34039999999993</v>
      </c>
      <c r="H301" s="8">
        <f t="shared" ca="1" si="20"/>
        <v>439.24430000000035</v>
      </c>
      <c r="I301" s="12">
        <f ca="1">IF(AND('Data Analysis Addin'!$G301&lt;='Data Analysis Addin'!$H301,G302&gt;H302), 1, 0)</f>
        <v>0</v>
      </c>
      <c r="J301" s="2">
        <f t="shared" ca="1" si="21"/>
        <v>0</v>
      </c>
      <c r="K301" s="17">
        <f>YEAR('Data Analysis Addin'!$A301)</f>
        <v>2022</v>
      </c>
    </row>
    <row r="302" spans="1:11" x14ac:dyDescent="0.4">
      <c r="A302" s="18">
        <v>44571</v>
      </c>
      <c r="B302" s="9">
        <v>465.51</v>
      </c>
      <c r="C302" s="11">
        <f t="shared" si="18"/>
        <v>466.48419999999993</v>
      </c>
      <c r="D302" s="11">
        <f t="shared" si="22"/>
        <v>439.59195000000034</v>
      </c>
      <c r="E302" s="9"/>
      <c r="F302" s="9"/>
      <c r="G302" s="9">
        <f t="shared" ca="1" si="19"/>
        <v>466.48419999999993</v>
      </c>
      <c r="H302" s="9">
        <f t="shared" ca="1" si="20"/>
        <v>439.59195000000034</v>
      </c>
      <c r="I302" s="12">
        <f ca="1">IF(AND('Data Analysis Addin'!$G302&lt;='Data Analysis Addin'!$H302,G303&gt;H303), 1, 0)</f>
        <v>0</v>
      </c>
      <c r="J302" s="3">
        <f t="shared" ca="1" si="21"/>
        <v>0</v>
      </c>
      <c r="K302" s="19">
        <f>YEAR('Data Analysis Addin'!$A302)</f>
        <v>2022</v>
      </c>
    </row>
    <row r="303" spans="1:11" x14ac:dyDescent="0.4">
      <c r="A303" s="16">
        <v>44572</v>
      </c>
      <c r="B303" s="8">
        <v>469.75</v>
      </c>
      <c r="C303" s="11">
        <f t="shared" si="18"/>
        <v>466.69419999999985</v>
      </c>
      <c r="D303" s="11">
        <f t="shared" si="22"/>
        <v>439.96180000000038</v>
      </c>
      <c r="E303" s="8"/>
      <c r="F303" s="8"/>
      <c r="G303" s="8">
        <f t="shared" ca="1" si="19"/>
        <v>466.69419999999985</v>
      </c>
      <c r="H303" s="8">
        <f t="shared" ca="1" si="20"/>
        <v>439.96180000000038</v>
      </c>
      <c r="I303" s="12">
        <f ca="1">IF(AND('Data Analysis Addin'!$G303&lt;='Data Analysis Addin'!$H303,G304&gt;H304), 1, 0)</f>
        <v>0</v>
      </c>
      <c r="J303" s="2">
        <f t="shared" ca="1" si="21"/>
        <v>0</v>
      </c>
      <c r="K303" s="17">
        <f>YEAR('Data Analysis Addin'!$A303)</f>
        <v>2022</v>
      </c>
    </row>
    <row r="304" spans="1:11" x14ac:dyDescent="0.4">
      <c r="A304" s="18">
        <v>44573</v>
      </c>
      <c r="B304" s="9">
        <v>471.02</v>
      </c>
      <c r="C304" s="11">
        <f t="shared" si="18"/>
        <v>466.91379999999992</v>
      </c>
      <c r="D304" s="11">
        <f t="shared" si="22"/>
        <v>440.34325000000041</v>
      </c>
      <c r="E304" s="9"/>
      <c r="F304" s="9"/>
      <c r="G304" s="9">
        <f t="shared" ca="1" si="19"/>
        <v>466.91379999999992</v>
      </c>
      <c r="H304" s="9">
        <f t="shared" ca="1" si="20"/>
        <v>440.34325000000041</v>
      </c>
      <c r="I304" s="12">
        <f ca="1">IF(AND('Data Analysis Addin'!$G304&lt;='Data Analysis Addin'!$H304,G305&gt;H305), 1, 0)</f>
        <v>0</v>
      </c>
      <c r="J304" s="3">
        <f t="shared" ca="1" si="21"/>
        <v>0</v>
      </c>
      <c r="K304" s="19">
        <f>YEAR('Data Analysis Addin'!$A304)</f>
        <v>2022</v>
      </c>
    </row>
    <row r="305" spans="1:11" x14ac:dyDescent="0.4">
      <c r="A305" s="16">
        <v>44574</v>
      </c>
      <c r="B305" s="8">
        <v>464.53</v>
      </c>
      <c r="C305" s="11">
        <f t="shared" si="18"/>
        <v>466.96639999999991</v>
      </c>
      <c r="D305" s="11">
        <f t="shared" si="22"/>
        <v>440.68425000000042</v>
      </c>
      <c r="E305" s="8"/>
      <c r="F305" s="8"/>
      <c r="G305" s="8">
        <f t="shared" ca="1" si="19"/>
        <v>466.96639999999991</v>
      </c>
      <c r="H305" s="8">
        <f t="shared" ca="1" si="20"/>
        <v>440.68425000000042</v>
      </c>
      <c r="I305" s="12">
        <f ca="1">IF(AND('Data Analysis Addin'!$G305&lt;='Data Analysis Addin'!$H305,G306&gt;H306), 1, 0)</f>
        <v>0</v>
      </c>
      <c r="J305" s="2">
        <f t="shared" ca="1" si="21"/>
        <v>0</v>
      </c>
      <c r="K305" s="17">
        <f>YEAR('Data Analysis Addin'!$A305)</f>
        <v>2022</v>
      </c>
    </row>
    <row r="306" spans="1:11" x14ac:dyDescent="0.4">
      <c r="A306" s="18">
        <v>44575</v>
      </c>
      <c r="B306" s="9">
        <v>464.72</v>
      </c>
      <c r="C306" s="11">
        <f t="shared" si="18"/>
        <v>466.96639999999991</v>
      </c>
      <c r="D306" s="11">
        <f t="shared" si="22"/>
        <v>441.00480000000039</v>
      </c>
      <c r="E306" s="9"/>
      <c r="F306" s="9"/>
      <c r="G306" s="9">
        <f t="shared" ca="1" si="19"/>
        <v>466.96639999999991</v>
      </c>
      <c r="H306" s="9">
        <f t="shared" ca="1" si="20"/>
        <v>441.00480000000039</v>
      </c>
      <c r="I306" s="12">
        <f ca="1">IF(AND('Data Analysis Addin'!$G306&lt;='Data Analysis Addin'!$H306,G307&gt;H307), 1, 0)</f>
        <v>0</v>
      </c>
      <c r="J306" s="3">
        <f t="shared" ca="1" si="21"/>
        <v>0</v>
      </c>
      <c r="K306" s="19">
        <f>YEAR('Data Analysis Addin'!$A306)</f>
        <v>2022</v>
      </c>
    </row>
    <row r="307" spans="1:11" x14ac:dyDescent="0.4">
      <c r="A307" s="16">
        <v>44579</v>
      </c>
      <c r="B307" s="8">
        <v>456.49</v>
      </c>
      <c r="C307" s="11">
        <f t="shared" si="18"/>
        <v>466.75800000000004</v>
      </c>
      <c r="D307" s="11">
        <f t="shared" si="22"/>
        <v>441.25545000000039</v>
      </c>
      <c r="E307" s="8"/>
      <c r="F307" s="8"/>
      <c r="G307" s="8">
        <f t="shared" ca="1" si="19"/>
        <v>466.75800000000004</v>
      </c>
      <c r="H307" s="8">
        <f t="shared" ca="1" si="20"/>
        <v>441.25545000000039</v>
      </c>
      <c r="I307" s="12">
        <f ca="1">IF(AND('Data Analysis Addin'!$G307&lt;='Data Analysis Addin'!$H307,G308&gt;H308), 1, 0)</f>
        <v>0</v>
      </c>
      <c r="J307" s="2">
        <f t="shared" ca="1" si="21"/>
        <v>0</v>
      </c>
      <c r="K307" s="17">
        <f>YEAR('Data Analysis Addin'!$A307)</f>
        <v>2022</v>
      </c>
    </row>
    <row r="308" spans="1:11" x14ac:dyDescent="0.4">
      <c r="A308" s="18">
        <v>44580</v>
      </c>
      <c r="B308" s="9">
        <v>451.75</v>
      </c>
      <c r="C308" s="11">
        <f t="shared" ref="C308:C371" si="23">AVERAGE(B259:B308)</f>
        <v>466.42240000000004</v>
      </c>
      <c r="D308" s="11">
        <f t="shared" si="22"/>
        <v>441.48360000000042</v>
      </c>
      <c r="E308" s="9"/>
      <c r="F308" s="9"/>
      <c r="G308" s="9">
        <f t="shared" ca="1" si="19"/>
        <v>466.42240000000004</v>
      </c>
      <c r="H308" s="9">
        <f t="shared" ca="1" si="20"/>
        <v>441.48360000000042</v>
      </c>
      <c r="I308" s="12">
        <f ca="1">IF(AND('Data Analysis Addin'!$G308&lt;='Data Analysis Addin'!$H308,G309&gt;H309), 1, 0)</f>
        <v>0</v>
      </c>
      <c r="J308" s="3">
        <f t="shared" ca="1" si="21"/>
        <v>0</v>
      </c>
      <c r="K308" s="19">
        <f>YEAR('Data Analysis Addin'!$A308)</f>
        <v>2022</v>
      </c>
    </row>
    <row r="309" spans="1:11" x14ac:dyDescent="0.4">
      <c r="A309" s="16">
        <v>44581</v>
      </c>
      <c r="B309" s="8">
        <v>446.75</v>
      </c>
      <c r="C309" s="11">
        <f t="shared" si="23"/>
        <v>465.97880000000004</v>
      </c>
      <c r="D309" s="11">
        <f t="shared" si="22"/>
        <v>441.68440000000038</v>
      </c>
      <c r="E309" s="8"/>
      <c r="F309" s="8"/>
      <c r="G309" s="8">
        <f t="shared" ca="1" si="19"/>
        <v>465.97880000000004</v>
      </c>
      <c r="H309" s="8">
        <f t="shared" ca="1" si="20"/>
        <v>441.68440000000038</v>
      </c>
      <c r="I309" s="12">
        <f ca="1">IF(AND('Data Analysis Addin'!$G309&lt;='Data Analysis Addin'!$H309,G310&gt;H310), 1, 0)</f>
        <v>0</v>
      </c>
      <c r="J309" s="2">
        <f t="shared" ca="1" si="21"/>
        <v>0</v>
      </c>
      <c r="K309" s="17">
        <f>YEAR('Data Analysis Addin'!$A309)</f>
        <v>2022</v>
      </c>
    </row>
    <row r="310" spans="1:11" x14ac:dyDescent="0.4">
      <c r="A310" s="18">
        <v>44582</v>
      </c>
      <c r="B310" s="9">
        <v>437.98</v>
      </c>
      <c r="C310" s="11">
        <f t="shared" si="23"/>
        <v>465.39080000000001</v>
      </c>
      <c r="D310" s="11">
        <f t="shared" si="22"/>
        <v>441.83170000000041</v>
      </c>
      <c r="E310" s="9"/>
      <c r="F310" s="9"/>
      <c r="G310" s="9">
        <f t="shared" ca="1" si="19"/>
        <v>465.39080000000001</v>
      </c>
      <c r="H310" s="9">
        <f t="shared" ca="1" si="20"/>
        <v>441.83170000000041</v>
      </c>
      <c r="I310" s="12">
        <f ca="1">IF(AND('Data Analysis Addin'!$G310&lt;='Data Analysis Addin'!$H310,G311&gt;H311), 1, 0)</f>
        <v>0</v>
      </c>
      <c r="J310" s="3">
        <f t="shared" ca="1" si="21"/>
        <v>0</v>
      </c>
      <c r="K310" s="19">
        <f>YEAR('Data Analysis Addin'!$A310)</f>
        <v>2022</v>
      </c>
    </row>
    <row r="311" spans="1:11" x14ac:dyDescent="0.4">
      <c r="A311" s="16">
        <v>44585</v>
      </c>
      <c r="B311" s="8">
        <v>439.84</v>
      </c>
      <c r="C311" s="11">
        <f t="shared" si="23"/>
        <v>464.91520000000003</v>
      </c>
      <c r="D311" s="11">
        <f t="shared" si="22"/>
        <v>441.97345000000035</v>
      </c>
      <c r="E311" s="8"/>
      <c r="F311" s="8"/>
      <c r="G311" s="8">
        <f t="shared" ca="1" si="19"/>
        <v>464.91520000000003</v>
      </c>
      <c r="H311" s="8">
        <f t="shared" ca="1" si="20"/>
        <v>441.97345000000035</v>
      </c>
      <c r="I311" s="12">
        <f ca="1">IF(AND('Data Analysis Addin'!$G311&lt;='Data Analysis Addin'!$H311,G312&gt;H312), 1, 0)</f>
        <v>0</v>
      </c>
      <c r="J311" s="2">
        <f t="shared" ca="1" si="21"/>
        <v>0</v>
      </c>
      <c r="K311" s="17">
        <f>YEAR('Data Analysis Addin'!$A311)</f>
        <v>2022</v>
      </c>
    </row>
    <row r="312" spans="1:11" x14ac:dyDescent="0.4">
      <c r="A312" s="18">
        <v>44586</v>
      </c>
      <c r="B312" s="9">
        <v>434.47</v>
      </c>
      <c r="C312" s="11">
        <f t="shared" si="23"/>
        <v>464.32920000000007</v>
      </c>
      <c r="D312" s="11">
        <f t="shared" si="22"/>
        <v>442.08760000000041</v>
      </c>
      <c r="E312" s="9"/>
      <c r="F312" s="9"/>
      <c r="G312" s="9">
        <f t="shared" ca="1" si="19"/>
        <v>464.32920000000007</v>
      </c>
      <c r="H312" s="9">
        <f t="shared" ca="1" si="20"/>
        <v>442.08760000000041</v>
      </c>
      <c r="I312" s="12">
        <f ca="1">IF(AND('Data Analysis Addin'!$G312&lt;='Data Analysis Addin'!$H312,G313&gt;H313), 1, 0)</f>
        <v>0</v>
      </c>
      <c r="J312" s="3">
        <f t="shared" ca="1" si="21"/>
        <v>0</v>
      </c>
      <c r="K312" s="19">
        <f>YEAR('Data Analysis Addin'!$A312)</f>
        <v>2022</v>
      </c>
    </row>
    <row r="313" spans="1:11" x14ac:dyDescent="0.4">
      <c r="A313" s="16">
        <v>44587</v>
      </c>
      <c r="B313" s="8">
        <v>433.38</v>
      </c>
      <c r="C313" s="11">
        <f t="shared" si="23"/>
        <v>463.65140000000008</v>
      </c>
      <c r="D313" s="11">
        <f t="shared" si="22"/>
        <v>442.1902000000004</v>
      </c>
      <c r="E313" s="8"/>
      <c r="F313" s="8"/>
      <c r="G313" s="8">
        <f t="shared" ca="1" si="19"/>
        <v>463.65140000000008</v>
      </c>
      <c r="H313" s="8">
        <f t="shared" ca="1" si="20"/>
        <v>442.1902000000004</v>
      </c>
      <c r="I313" s="12">
        <f ca="1">IF(AND('Data Analysis Addin'!$G313&lt;='Data Analysis Addin'!$H313,G314&gt;H314), 1, 0)</f>
        <v>0</v>
      </c>
      <c r="J313" s="2">
        <f t="shared" ca="1" si="21"/>
        <v>0</v>
      </c>
      <c r="K313" s="17">
        <f>YEAR('Data Analysis Addin'!$A313)</f>
        <v>2022</v>
      </c>
    </row>
    <row r="314" spans="1:11" x14ac:dyDescent="0.4">
      <c r="A314" s="18">
        <v>44588</v>
      </c>
      <c r="B314" s="9">
        <v>431.24</v>
      </c>
      <c r="C314" s="11">
        <f t="shared" si="23"/>
        <v>462.9276000000001</v>
      </c>
      <c r="D314" s="11">
        <f t="shared" si="22"/>
        <v>442.28915000000046</v>
      </c>
      <c r="E314" s="9"/>
      <c r="F314" s="9"/>
      <c r="G314" s="9">
        <f t="shared" ca="1" si="19"/>
        <v>462.9276000000001</v>
      </c>
      <c r="H314" s="9">
        <f t="shared" ca="1" si="20"/>
        <v>442.28915000000046</v>
      </c>
      <c r="I314" s="12">
        <f ca="1">IF(AND('Data Analysis Addin'!$G314&lt;='Data Analysis Addin'!$H314,G315&gt;H315), 1, 0)</f>
        <v>0</v>
      </c>
      <c r="J314" s="3">
        <f t="shared" ca="1" si="21"/>
        <v>0</v>
      </c>
      <c r="K314" s="19">
        <f>YEAR('Data Analysis Addin'!$A314)</f>
        <v>2022</v>
      </c>
    </row>
    <row r="315" spans="1:11" x14ac:dyDescent="0.4">
      <c r="A315" s="16">
        <v>44589</v>
      </c>
      <c r="B315" s="8">
        <v>441.95</v>
      </c>
      <c r="C315" s="11">
        <f t="shared" si="23"/>
        <v>462.38100000000009</v>
      </c>
      <c r="D315" s="11">
        <f t="shared" si="22"/>
        <v>442.41955000000036</v>
      </c>
      <c r="E315" s="8"/>
      <c r="F315" s="8"/>
      <c r="G315" s="8">
        <f t="shared" ca="1" si="19"/>
        <v>462.38100000000009</v>
      </c>
      <c r="H315" s="8">
        <f t="shared" ca="1" si="20"/>
        <v>442.41955000000036</v>
      </c>
      <c r="I315" s="12">
        <f ca="1">IF(AND('Data Analysis Addin'!$G315&lt;='Data Analysis Addin'!$H315,G316&gt;H316), 1, 0)</f>
        <v>0</v>
      </c>
      <c r="J315" s="2">
        <f t="shared" ca="1" si="21"/>
        <v>0</v>
      </c>
      <c r="K315" s="17">
        <f>YEAR('Data Analysis Addin'!$A315)</f>
        <v>2022</v>
      </c>
    </row>
    <row r="316" spans="1:11" x14ac:dyDescent="0.4">
      <c r="A316" s="18">
        <v>44592</v>
      </c>
      <c r="B316" s="9">
        <v>449.91</v>
      </c>
      <c r="C316" s="11">
        <f t="shared" si="23"/>
        <v>462.01640000000009</v>
      </c>
      <c r="D316" s="11">
        <f t="shared" si="22"/>
        <v>442.58280000000042</v>
      </c>
      <c r="E316" s="9"/>
      <c r="F316" s="9"/>
      <c r="G316" s="9">
        <f t="shared" ca="1" si="19"/>
        <v>462.01640000000009</v>
      </c>
      <c r="H316" s="9">
        <f t="shared" ca="1" si="20"/>
        <v>442.58280000000042</v>
      </c>
      <c r="I316" s="12">
        <f ca="1">IF(AND('Data Analysis Addin'!$G316&lt;='Data Analysis Addin'!$H316,G317&gt;H317), 1, 0)</f>
        <v>0</v>
      </c>
      <c r="J316" s="3">
        <f t="shared" ca="1" si="21"/>
        <v>0</v>
      </c>
      <c r="K316" s="19">
        <f>YEAR('Data Analysis Addin'!$A316)</f>
        <v>2022</v>
      </c>
    </row>
    <row r="317" spans="1:11" x14ac:dyDescent="0.4">
      <c r="A317" s="16">
        <v>44593</v>
      </c>
      <c r="B317" s="8">
        <v>452.95</v>
      </c>
      <c r="C317" s="11">
        <f t="shared" si="23"/>
        <v>461.68080000000009</v>
      </c>
      <c r="D317" s="11">
        <f t="shared" si="22"/>
        <v>442.77150000000046</v>
      </c>
      <c r="E317" s="8"/>
      <c r="F317" s="8"/>
      <c r="G317" s="8">
        <f t="shared" ca="1" si="19"/>
        <v>461.68080000000009</v>
      </c>
      <c r="H317" s="8">
        <f t="shared" ca="1" si="20"/>
        <v>442.77150000000046</v>
      </c>
      <c r="I317" s="12">
        <f ca="1">IF(AND('Data Analysis Addin'!$G317&lt;='Data Analysis Addin'!$H317,G318&gt;H318), 1, 0)</f>
        <v>0</v>
      </c>
      <c r="J317" s="2">
        <f t="shared" ca="1" si="21"/>
        <v>0</v>
      </c>
      <c r="K317" s="17">
        <f>YEAR('Data Analysis Addin'!$A317)</f>
        <v>2022</v>
      </c>
    </row>
    <row r="318" spans="1:11" x14ac:dyDescent="0.4">
      <c r="A318" s="18">
        <v>44594</v>
      </c>
      <c r="B318" s="9">
        <v>457.35</v>
      </c>
      <c r="C318" s="11">
        <f t="shared" si="23"/>
        <v>461.45000000000005</v>
      </c>
      <c r="D318" s="11">
        <f t="shared" si="22"/>
        <v>442.99740000000043</v>
      </c>
      <c r="E318" s="9"/>
      <c r="F318" s="9"/>
      <c r="G318" s="9">
        <f t="shared" ca="1" si="19"/>
        <v>461.45000000000005</v>
      </c>
      <c r="H318" s="9">
        <f t="shared" ca="1" si="20"/>
        <v>442.99740000000043</v>
      </c>
      <c r="I318" s="12">
        <f ca="1">IF(AND('Data Analysis Addin'!$G318&lt;='Data Analysis Addin'!$H318,G319&gt;H319), 1, 0)</f>
        <v>0</v>
      </c>
      <c r="J318" s="3">
        <f t="shared" ca="1" si="21"/>
        <v>0</v>
      </c>
      <c r="K318" s="19">
        <f>YEAR('Data Analysis Addin'!$A318)</f>
        <v>2022</v>
      </c>
    </row>
    <row r="319" spans="1:11" x14ac:dyDescent="0.4">
      <c r="A319" s="16">
        <v>44595</v>
      </c>
      <c r="B319" s="8">
        <v>446.6</v>
      </c>
      <c r="C319" s="11">
        <f t="shared" si="23"/>
        <v>461.03060000000005</v>
      </c>
      <c r="D319" s="11">
        <f t="shared" si="22"/>
        <v>443.15005000000048</v>
      </c>
      <c r="E319" s="8"/>
      <c r="F319" s="8"/>
      <c r="G319" s="8">
        <f t="shared" ca="1" si="19"/>
        <v>461.03060000000005</v>
      </c>
      <c r="H319" s="8">
        <f t="shared" ca="1" si="20"/>
        <v>443.15005000000048</v>
      </c>
      <c r="I319" s="12">
        <f ca="1">IF(AND('Data Analysis Addin'!$G319&lt;='Data Analysis Addin'!$H319,G320&gt;H320), 1, 0)</f>
        <v>0</v>
      </c>
      <c r="J319" s="2">
        <f t="shared" ca="1" si="21"/>
        <v>0</v>
      </c>
      <c r="K319" s="17">
        <f>YEAR('Data Analysis Addin'!$A319)</f>
        <v>2022</v>
      </c>
    </row>
    <row r="320" spans="1:11" x14ac:dyDescent="0.4">
      <c r="A320" s="18">
        <v>44596</v>
      </c>
      <c r="B320" s="9">
        <v>448.7</v>
      </c>
      <c r="C320" s="11">
        <f t="shared" si="23"/>
        <v>460.64080000000007</v>
      </c>
      <c r="D320" s="11">
        <f t="shared" si="22"/>
        <v>443.33220000000046</v>
      </c>
      <c r="E320" s="9"/>
      <c r="F320" s="9"/>
      <c r="G320" s="9">
        <f t="shared" ca="1" si="19"/>
        <v>460.64080000000007</v>
      </c>
      <c r="H320" s="9">
        <f t="shared" ca="1" si="20"/>
        <v>443.33220000000046</v>
      </c>
      <c r="I320" s="12">
        <f ca="1">IF(AND('Data Analysis Addin'!$G320&lt;='Data Analysis Addin'!$H320,G321&gt;H321), 1, 0)</f>
        <v>0</v>
      </c>
      <c r="J320" s="3">
        <f t="shared" ca="1" si="21"/>
        <v>0</v>
      </c>
      <c r="K320" s="19">
        <f>YEAR('Data Analysis Addin'!$A320)</f>
        <v>2022</v>
      </c>
    </row>
    <row r="321" spans="1:11" x14ac:dyDescent="0.4">
      <c r="A321" s="16">
        <v>44599</v>
      </c>
      <c r="B321" s="8">
        <v>447.26</v>
      </c>
      <c r="C321" s="11">
        <f t="shared" si="23"/>
        <v>460.19720000000001</v>
      </c>
      <c r="D321" s="11">
        <f t="shared" si="22"/>
        <v>443.4848000000004</v>
      </c>
      <c r="E321" s="8"/>
      <c r="F321" s="8"/>
      <c r="G321" s="8">
        <f t="shared" ca="1" si="19"/>
        <v>460.19720000000001</v>
      </c>
      <c r="H321" s="8">
        <f t="shared" ca="1" si="20"/>
        <v>443.4848000000004</v>
      </c>
      <c r="I321" s="12">
        <f ca="1">IF(AND('Data Analysis Addin'!$G321&lt;='Data Analysis Addin'!$H321,G322&gt;H322), 1, 0)</f>
        <v>0</v>
      </c>
      <c r="J321" s="2">
        <f t="shared" ca="1" si="21"/>
        <v>0</v>
      </c>
      <c r="K321" s="17">
        <f>YEAR('Data Analysis Addin'!$A321)</f>
        <v>2022</v>
      </c>
    </row>
    <row r="322" spans="1:11" x14ac:dyDescent="0.4">
      <c r="A322" s="18">
        <v>44600</v>
      </c>
      <c r="B322" s="9">
        <v>450.94</v>
      </c>
      <c r="C322" s="11">
        <f t="shared" si="23"/>
        <v>460.03659999999996</v>
      </c>
      <c r="D322" s="11">
        <f t="shared" si="22"/>
        <v>443.65145000000041</v>
      </c>
      <c r="E322" s="9"/>
      <c r="F322" s="9"/>
      <c r="G322" s="9">
        <f t="shared" ca="1" si="19"/>
        <v>460.03659999999996</v>
      </c>
      <c r="H322" s="9">
        <f t="shared" ca="1" si="20"/>
        <v>443.65145000000041</v>
      </c>
      <c r="I322" s="12">
        <f ca="1">IF(AND('Data Analysis Addin'!$G322&lt;='Data Analysis Addin'!$H322,G323&gt;H323), 1, 0)</f>
        <v>0</v>
      </c>
      <c r="J322" s="3">
        <f t="shared" ca="1" si="21"/>
        <v>0</v>
      </c>
      <c r="K322" s="19">
        <f>YEAR('Data Analysis Addin'!$A322)</f>
        <v>2022</v>
      </c>
    </row>
    <row r="323" spans="1:11" x14ac:dyDescent="0.4">
      <c r="A323" s="16">
        <v>44601</v>
      </c>
      <c r="B323" s="8">
        <v>457.54</v>
      </c>
      <c r="C323" s="11">
        <f t="shared" si="23"/>
        <v>459.89539999999994</v>
      </c>
      <c r="D323" s="11">
        <f t="shared" si="22"/>
        <v>443.85155000000037</v>
      </c>
      <c r="E323" s="8"/>
      <c r="F323" s="8"/>
      <c r="G323" s="8">
        <f t="shared" ref="G323:G386" ca="1" si="24">AVERAGE(OFFSET($B323,0,0,-(MIN(ROW()-ROW($B$3)+1,n_50)),1))</f>
        <v>459.89539999999994</v>
      </c>
      <c r="H323" s="8">
        <f t="shared" ref="H323:H386" ca="1" si="25">AVERAGE(OFFSET($B323,0,0,-(MIN(ROW()-ROW($B$3)+1,n_200)),1))</f>
        <v>443.85155000000037</v>
      </c>
      <c r="I323" s="12">
        <f ca="1">IF(AND('Data Analysis Addin'!$G323&lt;='Data Analysis Addin'!$H323,G324&gt;H324), 1, 0)</f>
        <v>0</v>
      </c>
      <c r="J323" s="2">
        <f t="shared" ref="J323:J386" ca="1" si="26">IF($G323&lt;$H323,1,0)</f>
        <v>0</v>
      </c>
      <c r="K323" s="17">
        <f>YEAR('Data Analysis Addin'!$A323)</f>
        <v>2022</v>
      </c>
    </row>
    <row r="324" spans="1:11" x14ac:dyDescent="0.4">
      <c r="A324" s="18">
        <v>44602</v>
      </c>
      <c r="B324" s="9">
        <v>449.32</v>
      </c>
      <c r="C324" s="11">
        <f t="shared" si="23"/>
        <v>459.7706</v>
      </c>
      <c r="D324" s="11">
        <f t="shared" si="22"/>
        <v>444.01115000000044</v>
      </c>
      <c r="E324" s="9"/>
      <c r="F324" s="9"/>
      <c r="G324" s="9">
        <f t="shared" ca="1" si="24"/>
        <v>459.7706</v>
      </c>
      <c r="H324" s="9">
        <f t="shared" ca="1" si="25"/>
        <v>444.01115000000044</v>
      </c>
      <c r="I324" s="12">
        <f ca="1">IF(AND('Data Analysis Addin'!$G324&lt;='Data Analysis Addin'!$H324,G325&gt;H325), 1, 0)</f>
        <v>0</v>
      </c>
      <c r="J324" s="3">
        <f t="shared" ca="1" si="26"/>
        <v>0</v>
      </c>
      <c r="K324" s="19">
        <f>YEAR('Data Analysis Addin'!$A324)</f>
        <v>2022</v>
      </c>
    </row>
    <row r="325" spans="1:11" x14ac:dyDescent="0.4">
      <c r="A325" s="16">
        <v>44603</v>
      </c>
      <c r="B325" s="8">
        <v>440.46</v>
      </c>
      <c r="C325" s="11">
        <f t="shared" si="23"/>
        <v>459.56979999999999</v>
      </c>
      <c r="D325" s="11">
        <f t="shared" si="22"/>
        <v>444.11315000000036</v>
      </c>
      <c r="E325" s="8"/>
      <c r="F325" s="8"/>
      <c r="G325" s="8">
        <f t="shared" ca="1" si="24"/>
        <v>459.56979999999999</v>
      </c>
      <c r="H325" s="8">
        <f t="shared" ca="1" si="25"/>
        <v>444.11315000000036</v>
      </c>
      <c r="I325" s="12">
        <f ca="1">IF(AND('Data Analysis Addin'!$G325&lt;='Data Analysis Addin'!$H325,G326&gt;H326), 1, 0)</f>
        <v>0</v>
      </c>
      <c r="J325" s="2">
        <f t="shared" ca="1" si="26"/>
        <v>0</v>
      </c>
      <c r="K325" s="17">
        <f>YEAR('Data Analysis Addin'!$A325)</f>
        <v>2022</v>
      </c>
    </row>
    <row r="326" spans="1:11" x14ac:dyDescent="0.4">
      <c r="A326" s="18">
        <v>44606</v>
      </c>
      <c r="B326" s="9">
        <v>439.02</v>
      </c>
      <c r="C326" s="11">
        <f t="shared" si="23"/>
        <v>459.20219999999995</v>
      </c>
      <c r="D326" s="11">
        <f t="shared" si="22"/>
        <v>444.22175000000044</v>
      </c>
      <c r="E326" s="9"/>
      <c r="F326" s="9"/>
      <c r="G326" s="9">
        <f t="shared" ca="1" si="24"/>
        <v>459.20219999999995</v>
      </c>
      <c r="H326" s="9">
        <f t="shared" ca="1" si="25"/>
        <v>444.22175000000044</v>
      </c>
      <c r="I326" s="12">
        <f ca="1">IF(AND('Data Analysis Addin'!$G326&lt;='Data Analysis Addin'!$H326,G327&gt;H327), 1, 0)</f>
        <v>0</v>
      </c>
      <c r="J326" s="3">
        <f t="shared" ca="1" si="26"/>
        <v>0</v>
      </c>
      <c r="K326" s="19">
        <f>YEAR('Data Analysis Addin'!$A326)</f>
        <v>2022</v>
      </c>
    </row>
    <row r="327" spans="1:11" x14ac:dyDescent="0.4">
      <c r="A327" s="16">
        <v>44607</v>
      </c>
      <c r="B327" s="8">
        <v>446.1</v>
      </c>
      <c r="C327" s="11">
        <f t="shared" si="23"/>
        <v>459.05579999999986</v>
      </c>
      <c r="D327" s="11">
        <f t="shared" si="22"/>
        <v>444.3612500000005</v>
      </c>
      <c r="E327" s="8"/>
      <c r="F327" s="8"/>
      <c r="G327" s="8">
        <f t="shared" ca="1" si="24"/>
        <v>459.05579999999986</v>
      </c>
      <c r="H327" s="8">
        <f t="shared" ca="1" si="25"/>
        <v>444.3612500000005</v>
      </c>
      <c r="I327" s="12">
        <f ca="1">IF(AND('Data Analysis Addin'!$G327&lt;='Data Analysis Addin'!$H327,G328&gt;H328), 1, 0)</f>
        <v>0</v>
      </c>
      <c r="J327" s="2">
        <f t="shared" ca="1" si="26"/>
        <v>0</v>
      </c>
      <c r="K327" s="17">
        <f>YEAR('Data Analysis Addin'!$A327)</f>
        <v>2022</v>
      </c>
    </row>
    <row r="328" spans="1:11" x14ac:dyDescent="0.4">
      <c r="A328" s="18">
        <v>44608</v>
      </c>
      <c r="B328" s="9">
        <v>446.6</v>
      </c>
      <c r="C328" s="11">
        <f t="shared" si="23"/>
        <v>458.81199999999984</v>
      </c>
      <c r="D328" s="11">
        <f t="shared" si="22"/>
        <v>444.51615000000055</v>
      </c>
      <c r="E328" s="9"/>
      <c r="F328" s="9"/>
      <c r="G328" s="9">
        <f t="shared" ca="1" si="24"/>
        <v>458.81199999999984</v>
      </c>
      <c r="H328" s="9">
        <f t="shared" ca="1" si="25"/>
        <v>444.51615000000055</v>
      </c>
      <c r="I328" s="12">
        <f ca="1">IF(AND('Data Analysis Addin'!$G328&lt;='Data Analysis Addin'!$H328,G329&gt;H329), 1, 0)</f>
        <v>0</v>
      </c>
      <c r="J328" s="3">
        <f t="shared" ca="1" si="26"/>
        <v>0</v>
      </c>
      <c r="K328" s="19">
        <f>YEAR('Data Analysis Addin'!$A328)</f>
        <v>2022</v>
      </c>
    </row>
    <row r="329" spans="1:11" x14ac:dyDescent="0.4">
      <c r="A329" s="16">
        <v>44609</v>
      </c>
      <c r="B329" s="8">
        <v>437.06</v>
      </c>
      <c r="C329" s="11">
        <f t="shared" si="23"/>
        <v>458.1875999999998</v>
      </c>
      <c r="D329" s="11">
        <f t="shared" si="22"/>
        <v>444.62270000000046</v>
      </c>
      <c r="E329" s="8"/>
      <c r="F329" s="8"/>
      <c r="G329" s="8">
        <f t="shared" ca="1" si="24"/>
        <v>458.1875999999998</v>
      </c>
      <c r="H329" s="8">
        <f t="shared" ca="1" si="25"/>
        <v>444.62270000000046</v>
      </c>
      <c r="I329" s="12">
        <f ca="1">IF(AND('Data Analysis Addin'!$G329&lt;='Data Analysis Addin'!$H329,G330&gt;H330), 1, 0)</f>
        <v>0</v>
      </c>
      <c r="J329" s="2">
        <f t="shared" ca="1" si="26"/>
        <v>0</v>
      </c>
      <c r="K329" s="17">
        <f>YEAR('Data Analysis Addin'!$A329)</f>
        <v>2022</v>
      </c>
    </row>
    <row r="330" spans="1:11" x14ac:dyDescent="0.4">
      <c r="A330" s="18">
        <v>44610</v>
      </c>
      <c r="B330" s="9">
        <v>434.23</v>
      </c>
      <c r="C330" s="11">
        <f t="shared" si="23"/>
        <v>457.48179999999985</v>
      </c>
      <c r="D330" s="11">
        <f t="shared" ref="D330:D393" si="27">AVERAGE(B131:B330)</f>
        <v>444.69850000000059</v>
      </c>
      <c r="E330" s="9"/>
      <c r="F330" s="9"/>
      <c r="G330" s="9">
        <f t="shared" ca="1" si="24"/>
        <v>457.48179999999985</v>
      </c>
      <c r="H330" s="9">
        <f t="shared" ca="1" si="25"/>
        <v>444.69850000000059</v>
      </c>
      <c r="I330" s="12">
        <f ca="1">IF(AND('Data Analysis Addin'!$G330&lt;='Data Analysis Addin'!$H330,G331&gt;H331), 1, 0)</f>
        <v>0</v>
      </c>
      <c r="J330" s="3">
        <f t="shared" ca="1" si="26"/>
        <v>0</v>
      </c>
      <c r="K330" s="19">
        <f>YEAR('Data Analysis Addin'!$A330)</f>
        <v>2022</v>
      </c>
    </row>
    <row r="331" spans="1:11" x14ac:dyDescent="0.4">
      <c r="A331" s="16">
        <v>44614</v>
      </c>
      <c r="B331" s="8">
        <v>429.57</v>
      </c>
      <c r="C331" s="11">
        <f t="shared" si="23"/>
        <v>456.74619999999987</v>
      </c>
      <c r="D331" s="11">
        <f t="shared" si="27"/>
        <v>444.73575000000051</v>
      </c>
      <c r="E331" s="8"/>
      <c r="F331" s="8"/>
      <c r="G331" s="8">
        <f t="shared" ca="1" si="24"/>
        <v>456.74619999999987</v>
      </c>
      <c r="H331" s="8">
        <f t="shared" ca="1" si="25"/>
        <v>444.73575000000051</v>
      </c>
      <c r="I331" s="12">
        <f ca="1">IF(AND('Data Analysis Addin'!$G331&lt;='Data Analysis Addin'!$H331,G332&gt;H332), 1, 0)</f>
        <v>0</v>
      </c>
      <c r="J331" s="2">
        <f t="shared" ca="1" si="26"/>
        <v>0</v>
      </c>
      <c r="K331" s="17">
        <f>YEAR('Data Analysis Addin'!$A331)</f>
        <v>2022</v>
      </c>
    </row>
    <row r="332" spans="1:11" x14ac:dyDescent="0.4">
      <c r="A332" s="18">
        <v>44615</v>
      </c>
      <c r="B332" s="9">
        <v>421.95</v>
      </c>
      <c r="C332" s="11">
        <f t="shared" si="23"/>
        <v>455.77039999999994</v>
      </c>
      <c r="D332" s="11">
        <f t="shared" si="27"/>
        <v>444.75580000000048</v>
      </c>
      <c r="E332" s="9"/>
      <c r="F332" s="9"/>
      <c r="G332" s="9">
        <f t="shared" ca="1" si="24"/>
        <v>455.77039999999994</v>
      </c>
      <c r="H332" s="9">
        <f t="shared" ca="1" si="25"/>
        <v>444.75580000000048</v>
      </c>
      <c r="I332" s="12">
        <f ca="1">IF(AND('Data Analysis Addin'!$G332&lt;='Data Analysis Addin'!$H332,G333&gt;H333), 1, 0)</f>
        <v>0</v>
      </c>
      <c r="J332" s="3">
        <f t="shared" ca="1" si="26"/>
        <v>0</v>
      </c>
      <c r="K332" s="19">
        <f>YEAR('Data Analysis Addin'!$A332)</f>
        <v>2022</v>
      </c>
    </row>
    <row r="333" spans="1:11" x14ac:dyDescent="0.4">
      <c r="A333" s="16">
        <v>44616</v>
      </c>
      <c r="B333" s="8">
        <v>428.3</v>
      </c>
      <c r="C333" s="11">
        <f t="shared" si="23"/>
        <v>455.00499999999988</v>
      </c>
      <c r="D333" s="11">
        <f t="shared" si="27"/>
        <v>444.82625000000041</v>
      </c>
      <c r="E333" s="8"/>
      <c r="F333" s="8"/>
      <c r="G333" s="8">
        <f t="shared" ca="1" si="24"/>
        <v>455.00499999999988</v>
      </c>
      <c r="H333" s="8">
        <f t="shared" ca="1" si="25"/>
        <v>444.82625000000041</v>
      </c>
      <c r="I333" s="12">
        <f ca="1">IF(AND('Data Analysis Addin'!$G333&lt;='Data Analysis Addin'!$H333,G334&gt;H334), 1, 0)</f>
        <v>0</v>
      </c>
      <c r="J333" s="2">
        <f t="shared" ca="1" si="26"/>
        <v>0</v>
      </c>
      <c r="K333" s="17">
        <f>YEAR('Data Analysis Addin'!$A333)</f>
        <v>2022</v>
      </c>
    </row>
    <row r="334" spans="1:11" x14ac:dyDescent="0.4">
      <c r="A334" s="18">
        <v>44617</v>
      </c>
      <c r="B334" s="9">
        <v>437.75</v>
      </c>
      <c r="C334" s="11">
        <f t="shared" si="23"/>
        <v>454.49279999999993</v>
      </c>
      <c r="D334" s="11">
        <f t="shared" si="27"/>
        <v>444.98795000000035</v>
      </c>
      <c r="E334" s="9"/>
      <c r="F334" s="9"/>
      <c r="G334" s="9">
        <f t="shared" ca="1" si="24"/>
        <v>454.49279999999993</v>
      </c>
      <c r="H334" s="9">
        <f t="shared" ca="1" si="25"/>
        <v>444.98795000000035</v>
      </c>
      <c r="I334" s="12">
        <f ca="1">IF(AND('Data Analysis Addin'!$G334&lt;='Data Analysis Addin'!$H334,G335&gt;H335), 1, 0)</f>
        <v>0</v>
      </c>
      <c r="J334" s="3">
        <f t="shared" ca="1" si="26"/>
        <v>0</v>
      </c>
      <c r="K334" s="19">
        <f>YEAR('Data Analysis Addin'!$A334)</f>
        <v>2022</v>
      </c>
    </row>
    <row r="335" spans="1:11" x14ac:dyDescent="0.4">
      <c r="A335" s="16">
        <v>44620</v>
      </c>
      <c r="B335" s="8">
        <v>436.63</v>
      </c>
      <c r="C335" s="11">
        <f t="shared" si="23"/>
        <v>453.81339999999994</v>
      </c>
      <c r="D335" s="11">
        <f t="shared" si="27"/>
        <v>445.11970000000036</v>
      </c>
      <c r="E335" s="8"/>
      <c r="F335" s="8"/>
      <c r="G335" s="8">
        <f t="shared" ca="1" si="24"/>
        <v>453.81339999999994</v>
      </c>
      <c r="H335" s="8">
        <f t="shared" ca="1" si="25"/>
        <v>445.11970000000036</v>
      </c>
      <c r="I335" s="12">
        <f ca="1">IF(AND('Data Analysis Addin'!$G335&lt;='Data Analysis Addin'!$H335,G336&gt;H336), 1, 0)</f>
        <v>0</v>
      </c>
      <c r="J335" s="2">
        <f t="shared" ca="1" si="26"/>
        <v>0</v>
      </c>
      <c r="K335" s="17">
        <f>YEAR('Data Analysis Addin'!$A335)</f>
        <v>2022</v>
      </c>
    </row>
    <row r="336" spans="1:11" x14ac:dyDescent="0.4">
      <c r="A336" s="18">
        <v>44621</v>
      </c>
      <c r="B336" s="9">
        <v>429.98</v>
      </c>
      <c r="C336" s="11">
        <f t="shared" si="23"/>
        <v>453.084</v>
      </c>
      <c r="D336" s="11">
        <f t="shared" si="27"/>
        <v>445.18670000000037</v>
      </c>
      <c r="E336" s="9"/>
      <c r="F336" s="9"/>
      <c r="G336" s="9">
        <f t="shared" ca="1" si="24"/>
        <v>453.084</v>
      </c>
      <c r="H336" s="9">
        <f t="shared" ca="1" si="25"/>
        <v>445.18670000000037</v>
      </c>
      <c r="I336" s="12">
        <f ca="1">IF(AND('Data Analysis Addin'!$G336&lt;='Data Analysis Addin'!$H336,G337&gt;H337), 1, 0)</f>
        <v>0</v>
      </c>
      <c r="J336" s="3">
        <f t="shared" ca="1" si="26"/>
        <v>0</v>
      </c>
      <c r="K336" s="19">
        <f>YEAR('Data Analysis Addin'!$A336)</f>
        <v>2022</v>
      </c>
    </row>
    <row r="337" spans="1:11" x14ac:dyDescent="0.4">
      <c r="A337" s="16">
        <v>44622</v>
      </c>
      <c r="B337" s="8">
        <v>437.89</v>
      </c>
      <c r="C337" s="11">
        <f t="shared" si="23"/>
        <v>452.64439999999996</v>
      </c>
      <c r="D337" s="11">
        <f t="shared" si="27"/>
        <v>445.29855000000032</v>
      </c>
      <c r="E337" s="8"/>
      <c r="F337" s="8"/>
      <c r="G337" s="8">
        <f t="shared" ca="1" si="24"/>
        <v>452.64439999999996</v>
      </c>
      <c r="H337" s="8">
        <f t="shared" ca="1" si="25"/>
        <v>445.29855000000032</v>
      </c>
      <c r="I337" s="12">
        <f ca="1">IF(AND('Data Analysis Addin'!$G337&lt;='Data Analysis Addin'!$H337,G338&gt;H338), 1, 0)</f>
        <v>0</v>
      </c>
      <c r="J337" s="2">
        <f t="shared" ca="1" si="26"/>
        <v>0</v>
      </c>
      <c r="K337" s="17">
        <f>YEAR('Data Analysis Addin'!$A337)</f>
        <v>2022</v>
      </c>
    </row>
    <row r="338" spans="1:11" x14ac:dyDescent="0.4">
      <c r="A338" s="18">
        <v>44623</v>
      </c>
      <c r="B338" s="9">
        <v>435.71</v>
      </c>
      <c r="C338" s="11">
        <f t="shared" si="23"/>
        <v>452.25900000000001</v>
      </c>
      <c r="D338" s="11">
        <f t="shared" si="27"/>
        <v>445.41740000000033</v>
      </c>
      <c r="E338" s="9"/>
      <c r="F338" s="9"/>
      <c r="G338" s="9">
        <f t="shared" ca="1" si="24"/>
        <v>452.25900000000001</v>
      </c>
      <c r="H338" s="9">
        <f t="shared" ca="1" si="25"/>
        <v>445.41740000000033</v>
      </c>
      <c r="I338" s="12">
        <f ca="1">IF(AND('Data Analysis Addin'!$G338&lt;='Data Analysis Addin'!$H338,G339&gt;H339), 1, 0)</f>
        <v>0</v>
      </c>
      <c r="J338" s="3">
        <f t="shared" ca="1" si="26"/>
        <v>0</v>
      </c>
      <c r="K338" s="19">
        <f>YEAR('Data Analysis Addin'!$A338)</f>
        <v>2022</v>
      </c>
    </row>
    <row r="339" spans="1:11" x14ac:dyDescent="0.4">
      <c r="A339" s="16">
        <v>44624</v>
      </c>
      <c r="B339" s="8">
        <v>432.17</v>
      </c>
      <c r="C339" s="11">
        <f t="shared" si="23"/>
        <v>451.64119999999997</v>
      </c>
      <c r="D339" s="11">
        <f t="shared" si="27"/>
        <v>445.52395000000035</v>
      </c>
      <c r="E339" s="8"/>
      <c r="F339" s="8"/>
      <c r="G339" s="8">
        <f t="shared" ca="1" si="24"/>
        <v>451.64119999999997</v>
      </c>
      <c r="H339" s="8">
        <f t="shared" ca="1" si="25"/>
        <v>445.52395000000035</v>
      </c>
      <c r="I339" s="12">
        <f ca="1">IF(AND('Data Analysis Addin'!$G339&lt;='Data Analysis Addin'!$H339,G340&gt;H340), 1, 0)</f>
        <v>0</v>
      </c>
      <c r="J339" s="2">
        <f t="shared" ca="1" si="26"/>
        <v>0</v>
      </c>
      <c r="K339" s="17">
        <f>YEAR('Data Analysis Addin'!$A339)</f>
        <v>2022</v>
      </c>
    </row>
    <row r="340" spans="1:11" x14ac:dyDescent="0.4">
      <c r="A340" s="18">
        <v>44627</v>
      </c>
      <c r="B340" s="9">
        <v>419.43</v>
      </c>
      <c r="C340" s="11">
        <f t="shared" si="23"/>
        <v>450.67599999999993</v>
      </c>
      <c r="D340" s="11">
        <f t="shared" si="27"/>
        <v>445.54470000000032</v>
      </c>
      <c r="E340" s="9"/>
      <c r="F340" s="9"/>
      <c r="G340" s="9">
        <f t="shared" ca="1" si="24"/>
        <v>450.67599999999993</v>
      </c>
      <c r="H340" s="9">
        <f t="shared" ca="1" si="25"/>
        <v>445.54470000000032</v>
      </c>
      <c r="I340" s="12">
        <f ca="1">IF(AND('Data Analysis Addin'!$G340&lt;='Data Analysis Addin'!$H340,G341&gt;H341), 1, 0)</f>
        <v>0</v>
      </c>
      <c r="J340" s="3">
        <f t="shared" ca="1" si="26"/>
        <v>0</v>
      </c>
      <c r="K340" s="19">
        <f>YEAR('Data Analysis Addin'!$A340)</f>
        <v>2022</v>
      </c>
    </row>
    <row r="341" spans="1:11" x14ac:dyDescent="0.4">
      <c r="A341" s="16">
        <v>44628</v>
      </c>
      <c r="B341" s="8">
        <v>416.25</v>
      </c>
      <c r="C341" s="11">
        <f t="shared" si="23"/>
        <v>449.58899999999994</v>
      </c>
      <c r="D341" s="11">
        <f t="shared" si="27"/>
        <v>445.55125000000038</v>
      </c>
      <c r="E341" s="8"/>
      <c r="F341" s="8"/>
      <c r="G341" s="8">
        <f t="shared" ca="1" si="24"/>
        <v>449.58899999999994</v>
      </c>
      <c r="H341" s="8">
        <f t="shared" ca="1" si="25"/>
        <v>445.55125000000038</v>
      </c>
      <c r="I341" s="12">
        <f ca="1">IF(AND('Data Analysis Addin'!$G341&lt;='Data Analysis Addin'!$H341,G342&gt;H342), 1, 0)</f>
        <v>0</v>
      </c>
      <c r="J341" s="2">
        <f t="shared" ca="1" si="26"/>
        <v>0</v>
      </c>
      <c r="K341" s="17">
        <f>YEAR('Data Analysis Addin'!$A341)</f>
        <v>2022</v>
      </c>
    </row>
    <row r="342" spans="1:11" x14ac:dyDescent="0.4">
      <c r="A342" s="18">
        <v>44629</v>
      </c>
      <c r="B342" s="9">
        <v>427.41</v>
      </c>
      <c r="C342" s="11">
        <f t="shared" si="23"/>
        <v>448.59199999999998</v>
      </c>
      <c r="D342" s="11">
        <f t="shared" si="27"/>
        <v>445.59245000000027</v>
      </c>
      <c r="E342" s="9"/>
      <c r="F342" s="9"/>
      <c r="G342" s="9">
        <f t="shared" ca="1" si="24"/>
        <v>448.59199999999998</v>
      </c>
      <c r="H342" s="9">
        <f t="shared" ca="1" si="25"/>
        <v>445.59245000000027</v>
      </c>
      <c r="I342" s="12">
        <f ca="1">IF(AND('Data Analysis Addin'!$G342&lt;='Data Analysis Addin'!$H342,G343&gt;H343), 1, 0)</f>
        <v>0</v>
      </c>
      <c r="J342" s="3">
        <f t="shared" ca="1" si="26"/>
        <v>0</v>
      </c>
      <c r="K342" s="19">
        <f>YEAR('Data Analysis Addin'!$A342)</f>
        <v>2022</v>
      </c>
    </row>
    <row r="343" spans="1:11" x14ac:dyDescent="0.4">
      <c r="A343" s="16">
        <v>44630</v>
      </c>
      <c r="B343" s="8">
        <v>425.48</v>
      </c>
      <c r="C343" s="11">
        <f t="shared" si="23"/>
        <v>447.56419999999997</v>
      </c>
      <c r="D343" s="11">
        <f t="shared" si="27"/>
        <v>445.62865000000028</v>
      </c>
      <c r="E343" s="8"/>
      <c r="F343" s="8"/>
      <c r="G343" s="8">
        <f t="shared" ca="1" si="24"/>
        <v>447.56419999999997</v>
      </c>
      <c r="H343" s="8">
        <f t="shared" ca="1" si="25"/>
        <v>445.62865000000028</v>
      </c>
      <c r="I343" s="12">
        <f ca="1">IF(AND('Data Analysis Addin'!$G343&lt;='Data Analysis Addin'!$H343,G344&gt;H344), 1, 0)</f>
        <v>0</v>
      </c>
      <c r="J343" s="2">
        <f t="shared" ca="1" si="26"/>
        <v>0</v>
      </c>
      <c r="K343" s="17">
        <f>YEAR('Data Analysis Addin'!$A343)</f>
        <v>2022</v>
      </c>
    </row>
    <row r="344" spans="1:11" x14ac:dyDescent="0.4">
      <c r="A344" s="18">
        <v>44631</v>
      </c>
      <c r="B344" s="9">
        <v>420.07</v>
      </c>
      <c r="C344" s="11">
        <f t="shared" si="23"/>
        <v>446.416</v>
      </c>
      <c r="D344" s="11">
        <f t="shared" si="27"/>
        <v>445.63365000000027</v>
      </c>
      <c r="E344" s="9"/>
      <c r="F344" s="9"/>
      <c r="G344" s="9">
        <f t="shared" ca="1" si="24"/>
        <v>446.416</v>
      </c>
      <c r="H344" s="9">
        <f t="shared" ca="1" si="25"/>
        <v>445.63365000000027</v>
      </c>
      <c r="I344" s="12">
        <f ca="1">IF(AND('Data Analysis Addin'!$G344&lt;='Data Analysis Addin'!$H344,G345&gt;H345), 1, 0)</f>
        <v>0</v>
      </c>
      <c r="J344" s="3">
        <f t="shared" ca="1" si="26"/>
        <v>0</v>
      </c>
      <c r="K344" s="19">
        <f>YEAR('Data Analysis Addin'!$A344)</f>
        <v>2022</v>
      </c>
    </row>
    <row r="345" spans="1:11" x14ac:dyDescent="0.4">
      <c r="A345" s="16">
        <v>44634</v>
      </c>
      <c r="B345" s="8">
        <v>417</v>
      </c>
      <c r="C345" s="11">
        <f t="shared" si="23"/>
        <v>445.2328</v>
      </c>
      <c r="D345" s="11">
        <f t="shared" si="27"/>
        <v>445.6222000000003</v>
      </c>
      <c r="E345" s="8"/>
      <c r="F345" s="8"/>
      <c r="G345" s="8">
        <f t="shared" ca="1" si="24"/>
        <v>445.2328</v>
      </c>
      <c r="H345" s="8">
        <f t="shared" ca="1" si="25"/>
        <v>445.6222000000003</v>
      </c>
      <c r="I345" s="12">
        <f ca="1">IF(AND('Data Analysis Addin'!$G345&lt;='Data Analysis Addin'!$H345,G346&gt;H346), 1, 0)</f>
        <v>0</v>
      </c>
      <c r="J345" s="2">
        <f t="shared" ca="1" si="26"/>
        <v>1</v>
      </c>
      <c r="K345" s="17">
        <f>YEAR('Data Analysis Addin'!$A345)</f>
        <v>2022</v>
      </c>
    </row>
    <row r="346" spans="1:11" x14ac:dyDescent="0.4">
      <c r="A346" s="18">
        <v>44635</v>
      </c>
      <c r="B346" s="9">
        <v>426.17</v>
      </c>
      <c r="C346" s="11">
        <f t="shared" si="23"/>
        <v>444.25699999999995</v>
      </c>
      <c r="D346" s="11">
        <f t="shared" si="27"/>
        <v>445.6528500000004</v>
      </c>
      <c r="E346" s="9"/>
      <c r="F346" s="9"/>
      <c r="G346" s="9">
        <f t="shared" ca="1" si="24"/>
        <v>444.25699999999995</v>
      </c>
      <c r="H346" s="9">
        <f t="shared" ca="1" si="25"/>
        <v>445.6528500000004</v>
      </c>
      <c r="I346" s="12">
        <f ca="1">IF(AND('Data Analysis Addin'!$G346&lt;='Data Analysis Addin'!$H346,G347&gt;H347), 1, 0)</f>
        <v>0</v>
      </c>
      <c r="J346" s="3">
        <f t="shared" ca="1" si="26"/>
        <v>1</v>
      </c>
      <c r="K346" s="19">
        <f>YEAR('Data Analysis Addin'!$A346)</f>
        <v>2022</v>
      </c>
    </row>
    <row r="347" spans="1:11" x14ac:dyDescent="0.4">
      <c r="A347" s="16">
        <v>44636</v>
      </c>
      <c r="B347" s="8">
        <v>435.62</v>
      </c>
      <c r="C347" s="11">
        <f t="shared" si="23"/>
        <v>443.41519999999997</v>
      </c>
      <c r="D347" s="11">
        <f t="shared" si="27"/>
        <v>445.73260000000033</v>
      </c>
      <c r="E347" s="8"/>
      <c r="F347" s="8"/>
      <c r="G347" s="8">
        <f t="shared" ca="1" si="24"/>
        <v>443.41519999999997</v>
      </c>
      <c r="H347" s="8">
        <f t="shared" ca="1" si="25"/>
        <v>445.73260000000033</v>
      </c>
      <c r="I347" s="12">
        <f ca="1">IF(AND('Data Analysis Addin'!$G347&lt;='Data Analysis Addin'!$H347,G348&gt;H348), 1, 0)</f>
        <v>0</v>
      </c>
      <c r="J347" s="2">
        <f t="shared" ca="1" si="26"/>
        <v>1</v>
      </c>
      <c r="K347" s="17">
        <f>YEAR('Data Analysis Addin'!$A347)</f>
        <v>2022</v>
      </c>
    </row>
    <row r="348" spans="1:11" x14ac:dyDescent="0.4">
      <c r="A348" s="18">
        <v>44637</v>
      </c>
      <c r="B348" s="9">
        <v>441.07</v>
      </c>
      <c r="C348" s="11">
        <f t="shared" si="23"/>
        <v>442.68559999999991</v>
      </c>
      <c r="D348" s="11">
        <f t="shared" si="27"/>
        <v>445.83630000000039</v>
      </c>
      <c r="E348" s="9"/>
      <c r="F348" s="9"/>
      <c r="G348" s="9">
        <f t="shared" ca="1" si="24"/>
        <v>442.68559999999991</v>
      </c>
      <c r="H348" s="9">
        <f t="shared" ca="1" si="25"/>
        <v>445.83630000000039</v>
      </c>
      <c r="I348" s="12">
        <f ca="1">IF(AND('Data Analysis Addin'!$G348&lt;='Data Analysis Addin'!$H348,G349&gt;H349), 1, 0)</f>
        <v>0</v>
      </c>
      <c r="J348" s="3">
        <f t="shared" ca="1" si="26"/>
        <v>1</v>
      </c>
      <c r="K348" s="19">
        <f>YEAR('Data Analysis Addin'!$A348)</f>
        <v>2022</v>
      </c>
    </row>
    <row r="349" spans="1:11" x14ac:dyDescent="0.4">
      <c r="A349" s="16">
        <v>44638</v>
      </c>
      <c r="B349" s="8">
        <v>444.52</v>
      </c>
      <c r="C349" s="11">
        <f t="shared" si="23"/>
        <v>442.20839999999987</v>
      </c>
      <c r="D349" s="11">
        <f t="shared" si="27"/>
        <v>445.96505000000042</v>
      </c>
      <c r="E349" s="8"/>
      <c r="F349" s="8"/>
      <c r="G349" s="8">
        <f t="shared" ca="1" si="24"/>
        <v>442.20839999999987</v>
      </c>
      <c r="H349" s="8">
        <f t="shared" ca="1" si="25"/>
        <v>445.96505000000042</v>
      </c>
      <c r="I349" s="12">
        <f ca="1">IF(AND('Data Analysis Addin'!$G349&lt;='Data Analysis Addin'!$H349,G350&gt;H350), 1, 0)</f>
        <v>0</v>
      </c>
      <c r="J349" s="2">
        <f t="shared" ca="1" si="26"/>
        <v>1</v>
      </c>
      <c r="K349" s="17">
        <f>YEAR('Data Analysis Addin'!$A349)</f>
        <v>2022</v>
      </c>
    </row>
    <row r="350" spans="1:11" x14ac:dyDescent="0.4">
      <c r="A350" s="18">
        <v>44641</v>
      </c>
      <c r="B350" s="9">
        <v>444.39</v>
      </c>
      <c r="C350" s="11">
        <f t="shared" si="23"/>
        <v>441.73739999999992</v>
      </c>
      <c r="D350" s="11">
        <f t="shared" si="27"/>
        <v>446.07400000000035</v>
      </c>
      <c r="E350" s="9"/>
      <c r="F350" s="9"/>
      <c r="G350" s="9">
        <f t="shared" ca="1" si="24"/>
        <v>441.73739999999992</v>
      </c>
      <c r="H350" s="9">
        <f t="shared" ca="1" si="25"/>
        <v>446.07400000000035</v>
      </c>
      <c r="I350" s="12">
        <f ca="1">IF(AND('Data Analysis Addin'!$G350&lt;='Data Analysis Addin'!$H350,G351&gt;H351), 1, 0)</f>
        <v>0</v>
      </c>
      <c r="J350" s="3">
        <f t="shared" ca="1" si="26"/>
        <v>1</v>
      </c>
      <c r="K350" s="19">
        <f>YEAR('Data Analysis Addin'!$A350)</f>
        <v>2022</v>
      </c>
    </row>
    <row r="351" spans="1:11" x14ac:dyDescent="0.4">
      <c r="A351" s="16">
        <v>44642</v>
      </c>
      <c r="B351" s="8">
        <v>449.59</v>
      </c>
      <c r="C351" s="11">
        <f t="shared" si="23"/>
        <v>441.40739999999988</v>
      </c>
      <c r="D351" s="11">
        <f t="shared" si="27"/>
        <v>446.21100000000035</v>
      </c>
      <c r="E351" s="8"/>
      <c r="F351" s="8"/>
      <c r="G351" s="8">
        <f t="shared" ca="1" si="24"/>
        <v>441.40739999999988</v>
      </c>
      <c r="H351" s="8">
        <f t="shared" ca="1" si="25"/>
        <v>446.21100000000035</v>
      </c>
      <c r="I351" s="12">
        <f ca="1">IF(AND('Data Analysis Addin'!$G351&lt;='Data Analysis Addin'!$H351,G352&gt;H352), 1, 0)</f>
        <v>0</v>
      </c>
      <c r="J351" s="2">
        <f t="shared" ca="1" si="26"/>
        <v>1</v>
      </c>
      <c r="K351" s="17">
        <f>YEAR('Data Analysis Addin'!$A351)</f>
        <v>2022</v>
      </c>
    </row>
    <row r="352" spans="1:11" x14ac:dyDescent="0.4">
      <c r="A352" s="18">
        <v>44643</v>
      </c>
      <c r="B352" s="9">
        <v>443.8</v>
      </c>
      <c r="C352" s="11">
        <f t="shared" si="23"/>
        <v>440.97319999999985</v>
      </c>
      <c r="D352" s="11">
        <f t="shared" si="27"/>
        <v>446.31860000000034</v>
      </c>
      <c r="E352" s="9"/>
      <c r="F352" s="9"/>
      <c r="G352" s="9">
        <f t="shared" ca="1" si="24"/>
        <v>440.97319999999985</v>
      </c>
      <c r="H352" s="9">
        <f t="shared" ca="1" si="25"/>
        <v>446.31860000000034</v>
      </c>
      <c r="I352" s="12">
        <f ca="1">IF(AND('Data Analysis Addin'!$G352&lt;='Data Analysis Addin'!$H352,G353&gt;H353), 1, 0)</f>
        <v>0</v>
      </c>
      <c r="J352" s="3">
        <f t="shared" ca="1" si="26"/>
        <v>1</v>
      </c>
      <c r="K352" s="19">
        <f>YEAR('Data Analysis Addin'!$A352)</f>
        <v>2022</v>
      </c>
    </row>
    <row r="353" spans="1:11" x14ac:dyDescent="0.4">
      <c r="A353" s="16">
        <v>44644</v>
      </c>
      <c r="B353" s="8">
        <v>450.49</v>
      </c>
      <c r="C353" s="11">
        <f t="shared" si="23"/>
        <v>440.58799999999991</v>
      </c>
      <c r="D353" s="11">
        <f t="shared" si="27"/>
        <v>446.46280000000036</v>
      </c>
      <c r="E353" s="8"/>
      <c r="F353" s="8"/>
      <c r="G353" s="8">
        <f t="shared" ca="1" si="24"/>
        <v>440.58799999999991</v>
      </c>
      <c r="H353" s="8">
        <f t="shared" ca="1" si="25"/>
        <v>446.46280000000036</v>
      </c>
      <c r="I353" s="12">
        <f ca="1">IF(AND('Data Analysis Addin'!$G353&lt;='Data Analysis Addin'!$H353,G354&gt;H354), 1, 0)</f>
        <v>0</v>
      </c>
      <c r="J353" s="2">
        <f t="shared" ca="1" si="26"/>
        <v>1</v>
      </c>
      <c r="K353" s="17">
        <f>YEAR('Data Analysis Addin'!$A353)</f>
        <v>2022</v>
      </c>
    </row>
    <row r="354" spans="1:11" x14ac:dyDescent="0.4">
      <c r="A354" s="18">
        <v>44645</v>
      </c>
      <c r="B354" s="9">
        <v>452.69</v>
      </c>
      <c r="C354" s="11">
        <f t="shared" si="23"/>
        <v>440.22139999999985</v>
      </c>
      <c r="D354" s="11">
        <f t="shared" si="27"/>
        <v>446.60820000000035</v>
      </c>
      <c r="E354" s="9"/>
      <c r="F354" s="9"/>
      <c r="G354" s="9">
        <f t="shared" ca="1" si="24"/>
        <v>440.22139999999985</v>
      </c>
      <c r="H354" s="9">
        <f t="shared" ca="1" si="25"/>
        <v>446.60820000000035</v>
      </c>
      <c r="I354" s="12">
        <f ca="1">IF(AND('Data Analysis Addin'!$G354&lt;='Data Analysis Addin'!$H354,G355&gt;H355), 1, 0)</f>
        <v>0</v>
      </c>
      <c r="J354" s="3">
        <f t="shared" ca="1" si="26"/>
        <v>1</v>
      </c>
      <c r="K354" s="19">
        <f>YEAR('Data Analysis Addin'!$A354)</f>
        <v>2022</v>
      </c>
    </row>
    <row r="355" spans="1:11" x14ac:dyDescent="0.4">
      <c r="A355" s="16">
        <v>44648</v>
      </c>
      <c r="B355" s="8">
        <v>455.91</v>
      </c>
      <c r="C355" s="11">
        <f t="shared" si="23"/>
        <v>440.04899999999986</v>
      </c>
      <c r="D355" s="11">
        <f t="shared" si="27"/>
        <v>446.76620000000037</v>
      </c>
      <c r="E355" s="8"/>
      <c r="F355" s="8"/>
      <c r="G355" s="8">
        <f t="shared" ca="1" si="24"/>
        <v>440.04899999999986</v>
      </c>
      <c r="H355" s="8">
        <f t="shared" ca="1" si="25"/>
        <v>446.76620000000037</v>
      </c>
      <c r="I355" s="12">
        <f ca="1">IF(AND('Data Analysis Addin'!$G355&lt;='Data Analysis Addin'!$H355,G356&gt;H356), 1, 0)</f>
        <v>0</v>
      </c>
      <c r="J355" s="2">
        <f t="shared" ca="1" si="26"/>
        <v>1</v>
      </c>
      <c r="K355" s="17">
        <f>YEAR('Data Analysis Addin'!$A355)</f>
        <v>2022</v>
      </c>
    </row>
    <row r="356" spans="1:11" x14ac:dyDescent="0.4">
      <c r="A356" s="18">
        <v>44649</v>
      </c>
      <c r="B356" s="9">
        <v>461.55</v>
      </c>
      <c r="C356" s="11">
        <f t="shared" si="23"/>
        <v>439.98559999999981</v>
      </c>
      <c r="D356" s="11">
        <f t="shared" si="27"/>
        <v>446.94765000000041</v>
      </c>
      <c r="E356" s="9"/>
      <c r="F356" s="9"/>
      <c r="G356" s="9">
        <f t="shared" ca="1" si="24"/>
        <v>439.98559999999981</v>
      </c>
      <c r="H356" s="9">
        <f t="shared" ca="1" si="25"/>
        <v>446.94765000000041</v>
      </c>
      <c r="I356" s="12">
        <f ca="1">IF(AND('Data Analysis Addin'!$G356&lt;='Data Analysis Addin'!$H356,G357&gt;H357), 1, 0)</f>
        <v>0</v>
      </c>
      <c r="J356" s="3">
        <f t="shared" ca="1" si="26"/>
        <v>1</v>
      </c>
      <c r="K356" s="19">
        <f>YEAR('Data Analysis Addin'!$A356)</f>
        <v>2022</v>
      </c>
    </row>
    <row r="357" spans="1:11" x14ac:dyDescent="0.4">
      <c r="A357" s="16">
        <v>44650</v>
      </c>
      <c r="B357" s="8">
        <v>458.7</v>
      </c>
      <c r="C357" s="11">
        <f t="shared" si="23"/>
        <v>440.02979999999991</v>
      </c>
      <c r="D357" s="11">
        <f t="shared" si="27"/>
        <v>447.11875000000043</v>
      </c>
      <c r="E357" s="8"/>
      <c r="F357" s="8"/>
      <c r="G357" s="8">
        <f t="shared" ca="1" si="24"/>
        <v>440.02979999999991</v>
      </c>
      <c r="H357" s="8">
        <f t="shared" ca="1" si="25"/>
        <v>447.11875000000043</v>
      </c>
      <c r="I357" s="12">
        <f ca="1">IF(AND('Data Analysis Addin'!$G357&lt;='Data Analysis Addin'!$H357,G358&gt;H358), 1, 0)</f>
        <v>0</v>
      </c>
      <c r="J357" s="2">
        <f t="shared" ca="1" si="26"/>
        <v>1</v>
      </c>
      <c r="K357" s="17">
        <f>YEAR('Data Analysis Addin'!$A357)</f>
        <v>2022</v>
      </c>
    </row>
    <row r="358" spans="1:11" x14ac:dyDescent="0.4">
      <c r="A358" s="18">
        <v>44651</v>
      </c>
      <c r="B358" s="9">
        <v>451.64</v>
      </c>
      <c r="C358" s="11">
        <f t="shared" si="23"/>
        <v>440.02759999999989</v>
      </c>
      <c r="D358" s="11">
        <f t="shared" si="27"/>
        <v>447.26640000000037</v>
      </c>
      <c r="E358" s="9"/>
      <c r="F358" s="9"/>
      <c r="G358" s="9">
        <f t="shared" ca="1" si="24"/>
        <v>440.02759999999989</v>
      </c>
      <c r="H358" s="9">
        <f t="shared" ca="1" si="25"/>
        <v>447.26640000000037</v>
      </c>
      <c r="I358" s="12">
        <f ca="1">IF(AND('Data Analysis Addin'!$G358&lt;='Data Analysis Addin'!$H358,G359&gt;H359), 1, 0)</f>
        <v>0</v>
      </c>
      <c r="J358" s="3">
        <f t="shared" ca="1" si="26"/>
        <v>1</v>
      </c>
      <c r="K358" s="19">
        <f>YEAR('Data Analysis Addin'!$A358)</f>
        <v>2022</v>
      </c>
    </row>
    <row r="359" spans="1:11" x14ac:dyDescent="0.4">
      <c r="A359" s="16">
        <v>44652</v>
      </c>
      <c r="B359" s="8">
        <v>452.92</v>
      </c>
      <c r="C359" s="11">
        <f t="shared" si="23"/>
        <v>440.15099999999984</v>
      </c>
      <c r="D359" s="11">
        <f t="shared" si="27"/>
        <v>447.42115000000041</v>
      </c>
      <c r="E359" s="8"/>
      <c r="F359" s="8"/>
      <c r="G359" s="8">
        <f t="shared" ca="1" si="24"/>
        <v>440.15099999999984</v>
      </c>
      <c r="H359" s="8">
        <f t="shared" ca="1" si="25"/>
        <v>447.42115000000041</v>
      </c>
      <c r="I359" s="12">
        <f ca="1">IF(AND('Data Analysis Addin'!$G359&lt;='Data Analysis Addin'!$H359,G360&gt;H360), 1, 0)</f>
        <v>0</v>
      </c>
      <c r="J359" s="2">
        <f t="shared" ca="1" si="26"/>
        <v>1</v>
      </c>
      <c r="K359" s="17">
        <f>YEAR('Data Analysis Addin'!$A359)</f>
        <v>2022</v>
      </c>
    </row>
    <row r="360" spans="1:11" x14ac:dyDescent="0.4">
      <c r="A360" s="18">
        <v>44655</v>
      </c>
      <c r="B360" s="9">
        <v>456.8</v>
      </c>
      <c r="C360" s="11">
        <f t="shared" si="23"/>
        <v>440.52739999999983</v>
      </c>
      <c r="D360" s="11">
        <f t="shared" si="27"/>
        <v>447.63055000000037</v>
      </c>
      <c r="E360" s="9"/>
      <c r="F360" s="9"/>
      <c r="G360" s="9">
        <f t="shared" ca="1" si="24"/>
        <v>440.52739999999983</v>
      </c>
      <c r="H360" s="9">
        <f t="shared" ca="1" si="25"/>
        <v>447.63055000000037</v>
      </c>
      <c r="I360" s="12">
        <f ca="1">IF(AND('Data Analysis Addin'!$G360&lt;='Data Analysis Addin'!$H360,G361&gt;H361), 1, 0)</f>
        <v>0</v>
      </c>
      <c r="J360" s="3">
        <f t="shared" ca="1" si="26"/>
        <v>1</v>
      </c>
      <c r="K360" s="19">
        <f>YEAR('Data Analysis Addin'!$A360)</f>
        <v>2022</v>
      </c>
    </row>
    <row r="361" spans="1:11" x14ac:dyDescent="0.4">
      <c r="A361" s="16">
        <v>44656</v>
      </c>
      <c r="B361" s="8">
        <v>451.03</v>
      </c>
      <c r="C361" s="11">
        <f t="shared" si="23"/>
        <v>440.75119999999981</v>
      </c>
      <c r="D361" s="11">
        <f t="shared" si="27"/>
        <v>447.78140000000036</v>
      </c>
      <c r="E361" s="8"/>
      <c r="F361" s="8"/>
      <c r="G361" s="8">
        <f t="shared" ca="1" si="24"/>
        <v>440.75119999999981</v>
      </c>
      <c r="H361" s="8">
        <f t="shared" ca="1" si="25"/>
        <v>447.78140000000036</v>
      </c>
      <c r="I361" s="12">
        <f ca="1">IF(AND('Data Analysis Addin'!$G361&lt;='Data Analysis Addin'!$H361,G362&gt;H362), 1, 0)</f>
        <v>0</v>
      </c>
      <c r="J361" s="2">
        <f t="shared" ca="1" si="26"/>
        <v>1</v>
      </c>
      <c r="K361" s="17">
        <f>YEAR('Data Analysis Addin'!$A361)</f>
        <v>2022</v>
      </c>
    </row>
    <row r="362" spans="1:11" x14ac:dyDescent="0.4">
      <c r="A362" s="18">
        <v>44657</v>
      </c>
      <c r="B362" s="9">
        <v>446.52</v>
      </c>
      <c r="C362" s="11">
        <f t="shared" si="23"/>
        <v>440.99219999999985</v>
      </c>
      <c r="D362" s="11">
        <f t="shared" si="27"/>
        <v>447.89845000000037</v>
      </c>
      <c r="E362" s="9"/>
      <c r="F362" s="9"/>
      <c r="G362" s="9">
        <f t="shared" ca="1" si="24"/>
        <v>440.99219999999985</v>
      </c>
      <c r="H362" s="9">
        <f t="shared" ca="1" si="25"/>
        <v>447.89845000000037</v>
      </c>
      <c r="I362" s="12">
        <f ca="1">IF(AND('Data Analysis Addin'!$G362&lt;='Data Analysis Addin'!$H362,G363&gt;H363), 1, 0)</f>
        <v>0</v>
      </c>
      <c r="J362" s="3">
        <f t="shared" ca="1" si="26"/>
        <v>1</v>
      </c>
      <c r="K362" s="19">
        <f>YEAR('Data Analysis Addin'!$A362)</f>
        <v>2022</v>
      </c>
    </row>
    <row r="363" spans="1:11" x14ac:dyDescent="0.4">
      <c r="A363" s="16">
        <v>44658</v>
      </c>
      <c r="B363" s="8">
        <v>448.77</v>
      </c>
      <c r="C363" s="11">
        <f t="shared" si="23"/>
        <v>441.29999999999984</v>
      </c>
      <c r="D363" s="11">
        <f t="shared" si="27"/>
        <v>448.02930000000038</v>
      </c>
      <c r="E363" s="8"/>
      <c r="F363" s="8"/>
      <c r="G363" s="8">
        <f t="shared" ca="1" si="24"/>
        <v>441.29999999999984</v>
      </c>
      <c r="H363" s="8">
        <f t="shared" ca="1" si="25"/>
        <v>448.02930000000038</v>
      </c>
      <c r="I363" s="12">
        <f ca="1">IF(AND('Data Analysis Addin'!$G363&lt;='Data Analysis Addin'!$H363,G364&gt;H364), 1, 0)</f>
        <v>0</v>
      </c>
      <c r="J363" s="2">
        <f t="shared" ca="1" si="26"/>
        <v>1</v>
      </c>
      <c r="K363" s="17">
        <f>YEAR('Data Analysis Addin'!$A363)</f>
        <v>2022</v>
      </c>
    </row>
    <row r="364" spans="1:11" x14ac:dyDescent="0.4">
      <c r="A364" s="18">
        <v>44659</v>
      </c>
      <c r="B364" s="9">
        <v>447.57</v>
      </c>
      <c r="C364" s="11">
        <f t="shared" si="23"/>
        <v>441.62659999999988</v>
      </c>
      <c r="D364" s="11">
        <f t="shared" si="27"/>
        <v>448.14165000000042</v>
      </c>
      <c r="E364" s="9"/>
      <c r="F364" s="9"/>
      <c r="G364" s="9">
        <f t="shared" ca="1" si="24"/>
        <v>441.62659999999988</v>
      </c>
      <c r="H364" s="9">
        <f t="shared" ca="1" si="25"/>
        <v>448.14165000000042</v>
      </c>
      <c r="I364" s="12">
        <f ca="1">IF(AND('Data Analysis Addin'!$G364&lt;='Data Analysis Addin'!$H364,G365&gt;H365), 1, 0)</f>
        <v>0</v>
      </c>
      <c r="J364" s="3">
        <f t="shared" ca="1" si="26"/>
        <v>1</v>
      </c>
      <c r="K364" s="19">
        <f>YEAR('Data Analysis Addin'!$A364)</f>
        <v>2022</v>
      </c>
    </row>
    <row r="365" spans="1:11" x14ac:dyDescent="0.4">
      <c r="A365" s="16">
        <v>44662</v>
      </c>
      <c r="B365" s="8">
        <v>439.92</v>
      </c>
      <c r="C365" s="11">
        <f t="shared" si="23"/>
        <v>441.58599999999984</v>
      </c>
      <c r="D365" s="11">
        <f t="shared" si="27"/>
        <v>448.20820000000043</v>
      </c>
      <c r="E365" s="8"/>
      <c r="F365" s="8"/>
      <c r="G365" s="8">
        <f t="shared" ca="1" si="24"/>
        <v>441.58599999999984</v>
      </c>
      <c r="H365" s="8">
        <f t="shared" ca="1" si="25"/>
        <v>448.20820000000043</v>
      </c>
      <c r="I365" s="12">
        <f ca="1">IF(AND('Data Analysis Addin'!$G365&lt;='Data Analysis Addin'!$H365,G366&gt;H366), 1, 0)</f>
        <v>0</v>
      </c>
      <c r="J365" s="2">
        <f t="shared" ca="1" si="26"/>
        <v>1</v>
      </c>
      <c r="K365" s="17">
        <f>YEAR('Data Analysis Addin'!$A365)</f>
        <v>2022</v>
      </c>
    </row>
    <row r="366" spans="1:11" x14ac:dyDescent="0.4">
      <c r="A366" s="18">
        <v>44663</v>
      </c>
      <c r="B366" s="9">
        <v>438.29</v>
      </c>
      <c r="C366" s="11">
        <f t="shared" si="23"/>
        <v>441.35359999999986</v>
      </c>
      <c r="D366" s="11">
        <f t="shared" si="27"/>
        <v>448.26230000000032</v>
      </c>
      <c r="E366" s="9"/>
      <c r="F366" s="9"/>
      <c r="G366" s="9">
        <f t="shared" ca="1" si="24"/>
        <v>441.35359999999986</v>
      </c>
      <c r="H366" s="9">
        <f t="shared" ca="1" si="25"/>
        <v>448.26230000000032</v>
      </c>
      <c r="I366" s="12">
        <f ca="1">IF(AND('Data Analysis Addin'!$G366&lt;='Data Analysis Addin'!$H366,G367&gt;H367), 1, 0)</f>
        <v>0</v>
      </c>
      <c r="J366" s="3">
        <f t="shared" ca="1" si="26"/>
        <v>1</v>
      </c>
      <c r="K366" s="19">
        <f>YEAR('Data Analysis Addin'!$A366)</f>
        <v>2022</v>
      </c>
    </row>
    <row r="367" spans="1:11" x14ac:dyDescent="0.4">
      <c r="A367" s="16">
        <v>44664</v>
      </c>
      <c r="B367" s="8">
        <v>443.31</v>
      </c>
      <c r="C367" s="11">
        <f t="shared" si="23"/>
        <v>441.16079999999994</v>
      </c>
      <c r="D367" s="11">
        <f t="shared" si="27"/>
        <v>448.34035000000034</v>
      </c>
      <c r="E367" s="8"/>
      <c r="F367" s="8"/>
      <c r="G367" s="8">
        <f t="shared" ca="1" si="24"/>
        <v>441.16079999999994</v>
      </c>
      <c r="H367" s="8">
        <f t="shared" ca="1" si="25"/>
        <v>448.34035000000034</v>
      </c>
      <c r="I367" s="12">
        <f ca="1">IF(AND('Data Analysis Addin'!$G367&lt;='Data Analysis Addin'!$H367,G368&gt;H368), 1, 0)</f>
        <v>0</v>
      </c>
      <c r="J367" s="2">
        <f t="shared" ca="1" si="26"/>
        <v>1</v>
      </c>
      <c r="K367" s="17">
        <f>YEAR('Data Analysis Addin'!$A367)</f>
        <v>2022</v>
      </c>
    </row>
    <row r="368" spans="1:11" x14ac:dyDescent="0.4">
      <c r="A368" s="18">
        <v>44665</v>
      </c>
      <c r="B368" s="9">
        <v>437.79</v>
      </c>
      <c r="C368" s="11">
        <f t="shared" si="23"/>
        <v>440.76959999999991</v>
      </c>
      <c r="D368" s="11">
        <f t="shared" si="27"/>
        <v>448.38900000000029</v>
      </c>
      <c r="E368" s="9"/>
      <c r="F368" s="9"/>
      <c r="G368" s="9">
        <f t="shared" ca="1" si="24"/>
        <v>440.76959999999991</v>
      </c>
      <c r="H368" s="9">
        <f t="shared" ca="1" si="25"/>
        <v>448.38900000000029</v>
      </c>
      <c r="I368" s="12">
        <f ca="1">IF(AND('Data Analysis Addin'!$G368&lt;='Data Analysis Addin'!$H368,G369&gt;H369), 1, 0)</f>
        <v>0</v>
      </c>
      <c r="J368" s="3">
        <f t="shared" ca="1" si="26"/>
        <v>1</v>
      </c>
      <c r="K368" s="19">
        <f>YEAR('Data Analysis Addin'!$A368)</f>
        <v>2022</v>
      </c>
    </row>
    <row r="369" spans="1:11" x14ac:dyDescent="0.4">
      <c r="A369" s="16">
        <v>44669</v>
      </c>
      <c r="B369" s="8">
        <v>437.97</v>
      </c>
      <c r="C369" s="11">
        <f t="shared" si="23"/>
        <v>440.59699999999998</v>
      </c>
      <c r="D369" s="11">
        <f t="shared" si="27"/>
        <v>448.42670000000027</v>
      </c>
      <c r="E369" s="8"/>
      <c r="F369" s="8"/>
      <c r="G369" s="8">
        <f t="shared" ca="1" si="24"/>
        <v>440.59699999999998</v>
      </c>
      <c r="H369" s="8">
        <f t="shared" ca="1" si="25"/>
        <v>448.42670000000027</v>
      </c>
      <c r="I369" s="12">
        <f ca="1">IF(AND('Data Analysis Addin'!$G369&lt;='Data Analysis Addin'!$H369,G370&gt;H370), 1, 0)</f>
        <v>0</v>
      </c>
      <c r="J369" s="2">
        <f t="shared" ca="1" si="26"/>
        <v>1</v>
      </c>
      <c r="K369" s="17">
        <f>YEAR('Data Analysis Addin'!$A369)</f>
        <v>2022</v>
      </c>
    </row>
    <row r="370" spans="1:11" x14ac:dyDescent="0.4">
      <c r="A370" s="18">
        <v>44670</v>
      </c>
      <c r="B370" s="9">
        <v>445.04</v>
      </c>
      <c r="C370" s="11">
        <f t="shared" si="23"/>
        <v>440.52379999999999</v>
      </c>
      <c r="D370" s="11">
        <f t="shared" si="27"/>
        <v>448.48330000000016</v>
      </c>
      <c r="E370" s="9"/>
      <c r="F370" s="9"/>
      <c r="G370" s="9">
        <f t="shared" ca="1" si="24"/>
        <v>440.52379999999999</v>
      </c>
      <c r="H370" s="9">
        <f t="shared" ca="1" si="25"/>
        <v>448.48330000000016</v>
      </c>
      <c r="I370" s="12">
        <f ca="1">IF(AND('Data Analysis Addin'!$G370&lt;='Data Analysis Addin'!$H370,G371&gt;H371), 1, 0)</f>
        <v>0</v>
      </c>
      <c r="J370" s="3">
        <f t="shared" ca="1" si="26"/>
        <v>1</v>
      </c>
      <c r="K370" s="19">
        <f>YEAR('Data Analysis Addin'!$A370)</f>
        <v>2022</v>
      </c>
    </row>
    <row r="371" spans="1:11" x14ac:dyDescent="0.4">
      <c r="A371" s="16">
        <v>44671</v>
      </c>
      <c r="B371" s="8">
        <v>444.71</v>
      </c>
      <c r="C371" s="11">
        <f t="shared" si="23"/>
        <v>440.47280000000001</v>
      </c>
      <c r="D371" s="11">
        <f t="shared" si="27"/>
        <v>448.54220000000021</v>
      </c>
      <c r="E371" s="8"/>
      <c r="F371" s="8"/>
      <c r="G371" s="8">
        <f t="shared" ca="1" si="24"/>
        <v>440.47280000000001</v>
      </c>
      <c r="H371" s="8">
        <f t="shared" ca="1" si="25"/>
        <v>448.54220000000021</v>
      </c>
      <c r="I371" s="12">
        <f ca="1">IF(AND('Data Analysis Addin'!$G371&lt;='Data Analysis Addin'!$H371,G372&gt;H372), 1, 0)</f>
        <v>0</v>
      </c>
      <c r="J371" s="2">
        <f t="shared" ca="1" si="26"/>
        <v>1</v>
      </c>
      <c r="K371" s="17">
        <f>YEAR('Data Analysis Addin'!$A371)</f>
        <v>2022</v>
      </c>
    </row>
    <row r="372" spans="1:11" x14ac:dyDescent="0.4">
      <c r="A372" s="18">
        <v>44672</v>
      </c>
      <c r="B372" s="9">
        <v>438.06</v>
      </c>
      <c r="C372" s="11">
        <f t="shared" ref="C372:C435" si="28">AVERAGE(B323:B372)</f>
        <v>440.21520000000004</v>
      </c>
      <c r="D372" s="11">
        <f t="shared" si="27"/>
        <v>448.56020000000018</v>
      </c>
      <c r="E372" s="9"/>
      <c r="F372" s="9"/>
      <c r="G372" s="9">
        <f t="shared" ca="1" si="24"/>
        <v>440.21520000000004</v>
      </c>
      <c r="H372" s="9">
        <f t="shared" ca="1" si="25"/>
        <v>448.56020000000018</v>
      </c>
      <c r="I372" s="12">
        <f ca="1">IF(AND('Data Analysis Addin'!$G372&lt;='Data Analysis Addin'!$H372,G373&gt;H373), 1, 0)</f>
        <v>0</v>
      </c>
      <c r="J372" s="3">
        <f t="shared" ca="1" si="26"/>
        <v>1</v>
      </c>
      <c r="K372" s="19">
        <f>YEAR('Data Analysis Addin'!$A372)</f>
        <v>2022</v>
      </c>
    </row>
    <row r="373" spans="1:11" x14ac:dyDescent="0.4">
      <c r="A373" s="16">
        <v>44673</v>
      </c>
      <c r="B373" s="8">
        <v>426.04</v>
      </c>
      <c r="C373" s="11">
        <f t="shared" si="28"/>
        <v>439.58520000000004</v>
      </c>
      <c r="D373" s="11">
        <f t="shared" si="27"/>
        <v>448.53580000000011</v>
      </c>
      <c r="E373" s="8"/>
      <c r="F373" s="8"/>
      <c r="G373" s="8">
        <f t="shared" ca="1" si="24"/>
        <v>439.58520000000004</v>
      </c>
      <c r="H373" s="8">
        <f t="shared" ca="1" si="25"/>
        <v>448.53580000000011</v>
      </c>
      <c r="I373" s="12">
        <f ca="1">IF(AND('Data Analysis Addin'!$G373&lt;='Data Analysis Addin'!$H373,G374&gt;H374), 1, 0)</f>
        <v>0</v>
      </c>
      <c r="J373" s="2">
        <f t="shared" ca="1" si="26"/>
        <v>1</v>
      </c>
      <c r="K373" s="17">
        <f>YEAR('Data Analysis Addin'!$A373)</f>
        <v>2022</v>
      </c>
    </row>
    <row r="374" spans="1:11" x14ac:dyDescent="0.4">
      <c r="A374" s="18">
        <v>44676</v>
      </c>
      <c r="B374" s="9">
        <v>428.51</v>
      </c>
      <c r="C374" s="11">
        <f t="shared" si="28"/>
        <v>439.16900000000004</v>
      </c>
      <c r="D374" s="11">
        <f t="shared" si="27"/>
        <v>448.5007500000001</v>
      </c>
      <c r="E374" s="9"/>
      <c r="F374" s="9"/>
      <c r="G374" s="9">
        <f t="shared" ca="1" si="24"/>
        <v>439.16900000000004</v>
      </c>
      <c r="H374" s="9">
        <f t="shared" ca="1" si="25"/>
        <v>448.5007500000001</v>
      </c>
      <c r="I374" s="12">
        <f ca="1">IF(AND('Data Analysis Addin'!$G374&lt;='Data Analysis Addin'!$H374,G375&gt;H375), 1, 0)</f>
        <v>0</v>
      </c>
      <c r="J374" s="3">
        <f t="shared" ca="1" si="26"/>
        <v>1</v>
      </c>
      <c r="K374" s="19">
        <f>YEAR('Data Analysis Addin'!$A374)</f>
        <v>2022</v>
      </c>
    </row>
    <row r="375" spans="1:11" x14ac:dyDescent="0.4">
      <c r="A375" s="16">
        <v>44677</v>
      </c>
      <c r="B375" s="8">
        <v>416.1</v>
      </c>
      <c r="C375" s="11">
        <f t="shared" si="28"/>
        <v>438.68180000000001</v>
      </c>
      <c r="D375" s="11">
        <f t="shared" si="27"/>
        <v>448.39585000000011</v>
      </c>
      <c r="E375" s="8"/>
      <c r="F375" s="8"/>
      <c r="G375" s="8">
        <f t="shared" ca="1" si="24"/>
        <v>438.68180000000001</v>
      </c>
      <c r="H375" s="8">
        <f t="shared" ca="1" si="25"/>
        <v>448.39585000000011</v>
      </c>
      <c r="I375" s="12">
        <f ca="1">IF(AND('Data Analysis Addin'!$G375&lt;='Data Analysis Addin'!$H375,G376&gt;H376), 1, 0)</f>
        <v>0</v>
      </c>
      <c r="J375" s="2">
        <f t="shared" ca="1" si="26"/>
        <v>1</v>
      </c>
      <c r="K375" s="17">
        <f>YEAR('Data Analysis Addin'!$A375)</f>
        <v>2022</v>
      </c>
    </row>
    <row r="376" spans="1:11" x14ac:dyDescent="0.4">
      <c r="A376" s="18">
        <v>44678</v>
      </c>
      <c r="B376" s="9">
        <v>417.27</v>
      </c>
      <c r="C376" s="11">
        <f t="shared" si="28"/>
        <v>438.24680000000006</v>
      </c>
      <c r="D376" s="11">
        <f t="shared" si="27"/>
        <v>448.30425000000008</v>
      </c>
      <c r="E376" s="9"/>
      <c r="F376" s="9"/>
      <c r="G376" s="9">
        <f t="shared" ca="1" si="24"/>
        <v>438.24680000000006</v>
      </c>
      <c r="H376" s="9">
        <f t="shared" ca="1" si="25"/>
        <v>448.30425000000008</v>
      </c>
      <c r="I376" s="12">
        <f ca="1">IF(AND('Data Analysis Addin'!$G376&lt;='Data Analysis Addin'!$H376,G377&gt;H377), 1, 0)</f>
        <v>0</v>
      </c>
      <c r="J376" s="3">
        <f t="shared" ca="1" si="26"/>
        <v>1</v>
      </c>
      <c r="K376" s="19">
        <f>YEAR('Data Analysis Addin'!$A376)</f>
        <v>2022</v>
      </c>
    </row>
    <row r="377" spans="1:11" x14ac:dyDescent="0.4">
      <c r="A377" s="16">
        <v>44679</v>
      </c>
      <c r="B377" s="8">
        <v>427.81</v>
      </c>
      <c r="C377" s="11">
        <f t="shared" si="28"/>
        <v>437.88100000000009</v>
      </c>
      <c r="D377" s="11">
        <f t="shared" si="27"/>
        <v>448.26210000000015</v>
      </c>
      <c r="E377" s="8"/>
      <c r="F377" s="8"/>
      <c r="G377" s="8">
        <f t="shared" ca="1" si="24"/>
        <v>437.88100000000009</v>
      </c>
      <c r="H377" s="8">
        <f t="shared" ca="1" si="25"/>
        <v>448.26210000000015</v>
      </c>
      <c r="I377" s="12">
        <f ca="1">IF(AND('Data Analysis Addin'!$G377&lt;='Data Analysis Addin'!$H377,G378&gt;H378), 1, 0)</f>
        <v>0</v>
      </c>
      <c r="J377" s="2">
        <f t="shared" ca="1" si="26"/>
        <v>1</v>
      </c>
      <c r="K377" s="17">
        <f>YEAR('Data Analysis Addin'!$A377)</f>
        <v>2022</v>
      </c>
    </row>
    <row r="378" spans="1:11" x14ac:dyDescent="0.4">
      <c r="A378" s="18">
        <v>44680</v>
      </c>
      <c r="B378" s="9">
        <v>412</v>
      </c>
      <c r="C378" s="11">
        <f t="shared" si="28"/>
        <v>437.18900000000008</v>
      </c>
      <c r="D378" s="11">
        <f t="shared" si="27"/>
        <v>448.14835000000016</v>
      </c>
      <c r="E378" s="9"/>
      <c r="F378" s="9"/>
      <c r="G378" s="9">
        <f t="shared" ca="1" si="24"/>
        <v>437.18900000000008</v>
      </c>
      <c r="H378" s="9">
        <f t="shared" ca="1" si="25"/>
        <v>448.14835000000016</v>
      </c>
      <c r="I378" s="12">
        <f ca="1">IF(AND('Data Analysis Addin'!$G378&lt;='Data Analysis Addin'!$H378,G379&gt;H379), 1, 0)</f>
        <v>0</v>
      </c>
      <c r="J378" s="3">
        <f t="shared" ca="1" si="26"/>
        <v>1</v>
      </c>
      <c r="K378" s="19">
        <f>YEAR('Data Analysis Addin'!$A378)</f>
        <v>2022</v>
      </c>
    </row>
    <row r="379" spans="1:11" x14ac:dyDescent="0.4">
      <c r="A379" s="16">
        <v>44683</v>
      </c>
      <c r="B379" s="8">
        <v>414.48</v>
      </c>
      <c r="C379" s="11">
        <f t="shared" si="28"/>
        <v>436.73740000000004</v>
      </c>
      <c r="D379" s="11">
        <f t="shared" si="27"/>
        <v>448.06405000000012</v>
      </c>
      <c r="E379" s="8"/>
      <c r="F379" s="8"/>
      <c r="G379" s="8">
        <f t="shared" ca="1" si="24"/>
        <v>436.73740000000004</v>
      </c>
      <c r="H379" s="8">
        <f t="shared" ca="1" si="25"/>
        <v>448.06405000000012</v>
      </c>
      <c r="I379" s="12">
        <f ca="1">IF(AND('Data Analysis Addin'!$G379&lt;='Data Analysis Addin'!$H379,G380&gt;H380), 1, 0)</f>
        <v>0</v>
      </c>
      <c r="J379" s="2">
        <f t="shared" ca="1" si="26"/>
        <v>1</v>
      </c>
      <c r="K379" s="17">
        <f>YEAR('Data Analysis Addin'!$A379)</f>
        <v>2022</v>
      </c>
    </row>
    <row r="380" spans="1:11" x14ac:dyDescent="0.4">
      <c r="A380" s="18">
        <v>44684</v>
      </c>
      <c r="B380" s="9">
        <v>416.38</v>
      </c>
      <c r="C380" s="11">
        <f t="shared" si="28"/>
        <v>436.38040000000001</v>
      </c>
      <c r="D380" s="11">
        <f t="shared" si="27"/>
        <v>448.0211000000001</v>
      </c>
      <c r="E380" s="9"/>
      <c r="F380" s="9"/>
      <c r="G380" s="9">
        <f t="shared" ca="1" si="24"/>
        <v>436.38040000000001</v>
      </c>
      <c r="H380" s="9">
        <f t="shared" ca="1" si="25"/>
        <v>448.0211000000001</v>
      </c>
      <c r="I380" s="12">
        <f ca="1">IF(AND('Data Analysis Addin'!$G380&lt;='Data Analysis Addin'!$H380,G381&gt;H381), 1, 0)</f>
        <v>0</v>
      </c>
      <c r="J380" s="3">
        <f t="shared" ca="1" si="26"/>
        <v>1</v>
      </c>
      <c r="K380" s="19">
        <f>YEAR('Data Analysis Addin'!$A380)</f>
        <v>2022</v>
      </c>
    </row>
    <row r="381" spans="1:11" x14ac:dyDescent="0.4">
      <c r="A381" s="16">
        <v>44685</v>
      </c>
      <c r="B381" s="8">
        <v>429.06</v>
      </c>
      <c r="C381" s="11">
        <f t="shared" si="28"/>
        <v>436.37020000000007</v>
      </c>
      <c r="D381" s="11">
        <f t="shared" si="27"/>
        <v>448.01110000000006</v>
      </c>
      <c r="E381" s="8"/>
      <c r="F381" s="8"/>
      <c r="G381" s="8">
        <f t="shared" ca="1" si="24"/>
        <v>436.37020000000007</v>
      </c>
      <c r="H381" s="8">
        <f t="shared" ca="1" si="25"/>
        <v>448.01110000000006</v>
      </c>
      <c r="I381" s="12">
        <f ca="1">IF(AND('Data Analysis Addin'!$G381&lt;='Data Analysis Addin'!$H381,G382&gt;H382), 1, 0)</f>
        <v>0</v>
      </c>
      <c r="J381" s="2">
        <f t="shared" ca="1" si="26"/>
        <v>1</v>
      </c>
      <c r="K381" s="17">
        <f>YEAR('Data Analysis Addin'!$A381)</f>
        <v>2022</v>
      </c>
    </row>
    <row r="382" spans="1:11" x14ac:dyDescent="0.4">
      <c r="A382" s="18">
        <v>44686</v>
      </c>
      <c r="B382" s="9">
        <v>413.81</v>
      </c>
      <c r="C382" s="11">
        <f t="shared" si="28"/>
        <v>436.20740000000006</v>
      </c>
      <c r="D382" s="11">
        <f t="shared" si="27"/>
        <v>447.9074</v>
      </c>
      <c r="E382" s="9"/>
      <c r="F382" s="9"/>
      <c r="G382" s="9">
        <f t="shared" ca="1" si="24"/>
        <v>436.20740000000006</v>
      </c>
      <c r="H382" s="9">
        <f t="shared" ca="1" si="25"/>
        <v>447.9074</v>
      </c>
      <c r="I382" s="12">
        <f ca="1">IF(AND('Data Analysis Addin'!$G382&lt;='Data Analysis Addin'!$H382,G383&gt;H383), 1, 0)</f>
        <v>0</v>
      </c>
      <c r="J382" s="3">
        <f t="shared" ca="1" si="26"/>
        <v>1</v>
      </c>
      <c r="K382" s="19">
        <f>YEAR('Data Analysis Addin'!$A382)</f>
        <v>2022</v>
      </c>
    </row>
    <row r="383" spans="1:11" x14ac:dyDescent="0.4">
      <c r="A383" s="16">
        <v>44687</v>
      </c>
      <c r="B383" s="8">
        <v>411.34</v>
      </c>
      <c r="C383" s="11">
        <f t="shared" si="28"/>
        <v>435.86820000000012</v>
      </c>
      <c r="D383" s="11">
        <f t="shared" si="27"/>
        <v>447.78679999999991</v>
      </c>
      <c r="E383" s="8"/>
      <c r="F383" s="8"/>
      <c r="G383" s="8">
        <f t="shared" ca="1" si="24"/>
        <v>435.86820000000012</v>
      </c>
      <c r="H383" s="8">
        <f t="shared" ca="1" si="25"/>
        <v>447.78679999999991</v>
      </c>
      <c r="I383" s="12">
        <f ca="1">IF(AND('Data Analysis Addin'!$G383&lt;='Data Analysis Addin'!$H383,G384&gt;H384), 1, 0)</f>
        <v>0</v>
      </c>
      <c r="J383" s="2">
        <f t="shared" ca="1" si="26"/>
        <v>1</v>
      </c>
      <c r="K383" s="17">
        <f>YEAR('Data Analysis Addin'!$A383)</f>
        <v>2022</v>
      </c>
    </row>
    <row r="384" spans="1:11" x14ac:dyDescent="0.4">
      <c r="A384" s="18">
        <v>44690</v>
      </c>
      <c r="B384" s="9">
        <v>398.17</v>
      </c>
      <c r="C384" s="11">
        <f t="shared" si="28"/>
        <v>435.07660000000004</v>
      </c>
      <c r="D384" s="11">
        <f t="shared" si="27"/>
        <v>447.57794999999993</v>
      </c>
      <c r="E384" s="9"/>
      <c r="F384" s="9"/>
      <c r="G384" s="9">
        <f t="shared" ca="1" si="24"/>
        <v>435.07660000000004</v>
      </c>
      <c r="H384" s="9">
        <f t="shared" ca="1" si="25"/>
        <v>447.57794999999993</v>
      </c>
      <c r="I384" s="12">
        <f ca="1">IF(AND('Data Analysis Addin'!$G384&lt;='Data Analysis Addin'!$H384,G385&gt;H385), 1, 0)</f>
        <v>0</v>
      </c>
      <c r="J384" s="3">
        <f t="shared" ca="1" si="26"/>
        <v>1</v>
      </c>
      <c r="K384" s="19">
        <f>YEAR('Data Analysis Addin'!$A384)</f>
        <v>2022</v>
      </c>
    </row>
    <row r="385" spans="1:11" x14ac:dyDescent="0.4">
      <c r="A385" s="16">
        <v>44691</v>
      </c>
      <c r="B385" s="8">
        <v>399.09</v>
      </c>
      <c r="C385" s="11">
        <f t="shared" si="28"/>
        <v>434.32580000000002</v>
      </c>
      <c r="D385" s="11">
        <f t="shared" si="27"/>
        <v>447.36829999999986</v>
      </c>
      <c r="E385" s="8"/>
      <c r="F385" s="8"/>
      <c r="G385" s="8">
        <f t="shared" ca="1" si="24"/>
        <v>434.32580000000002</v>
      </c>
      <c r="H385" s="8">
        <f t="shared" ca="1" si="25"/>
        <v>447.36829999999986</v>
      </c>
      <c r="I385" s="12">
        <f ca="1">IF(AND('Data Analysis Addin'!$G385&lt;='Data Analysis Addin'!$H385,G386&gt;H386), 1, 0)</f>
        <v>0</v>
      </c>
      <c r="J385" s="2">
        <f t="shared" ca="1" si="26"/>
        <v>1</v>
      </c>
      <c r="K385" s="17">
        <f>YEAR('Data Analysis Addin'!$A385)</f>
        <v>2022</v>
      </c>
    </row>
    <row r="386" spans="1:11" x14ac:dyDescent="0.4">
      <c r="A386" s="18">
        <v>44692</v>
      </c>
      <c r="B386" s="9">
        <v>392.75</v>
      </c>
      <c r="C386" s="11">
        <f t="shared" si="28"/>
        <v>433.58120000000002</v>
      </c>
      <c r="D386" s="11">
        <f t="shared" si="27"/>
        <v>447.13699999999989</v>
      </c>
      <c r="E386" s="9"/>
      <c r="F386" s="9"/>
      <c r="G386" s="9">
        <f t="shared" ca="1" si="24"/>
        <v>433.58120000000002</v>
      </c>
      <c r="H386" s="9">
        <f t="shared" ca="1" si="25"/>
        <v>447.13699999999989</v>
      </c>
      <c r="I386" s="12">
        <f ca="1">IF(AND('Data Analysis Addin'!$G386&lt;='Data Analysis Addin'!$H386,G387&gt;H387), 1, 0)</f>
        <v>0</v>
      </c>
      <c r="J386" s="3">
        <f t="shared" ca="1" si="26"/>
        <v>1</v>
      </c>
      <c r="K386" s="19">
        <f>YEAR('Data Analysis Addin'!$A386)</f>
        <v>2022</v>
      </c>
    </row>
    <row r="387" spans="1:11" x14ac:dyDescent="0.4">
      <c r="A387" s="16">
        <v>44693</v>
      </c>
      <c r="B387" s="8">
        <v>392.34</v>
      </c>
      <c r="C387" s="11">
        <f t="shared" si="28"/>
        <v>432.67020000000014</v>
      </c>
      <c r="D387" s="11">
        <f t="shared" si="27"/>
        <v>446.90454999999986</v>
      </c>
      <c r="E387" s="8"/>
      <c r="F387" s="8"/>
      <c r="G387" s="8">
        <f t="shared" ref="G387:G450" ca="1" si="29">AVERAGE(OFFSET($B387,0,0,-(MIN(ROW()-ROW($B$3)+1,n_50)),1))</f>
        <v>432.67020000000014</v>
      </c>
      <c r="H387" s="8">
        <f t="shared" ref="H387:H450" ca="1" si="30">AVERAGE(OFFSET($B387,0,0,-(MIN(ROW()-ROW($B$3)+1,n_200)),1))</f>
        <v>446.90454999999986</v>
      </c>
      <c r="I387" s="12">
        <f ca="1">IF(AND('Data Analysis Addin'!$G387&lt;='Data Analysis Addin'!$H387,G388&gt;H388), 1, 0)</f>
        <v>0</v>
      </c>
      <c r="J387" s="2">
        <f t="shared" ref="J387:J450" ca="1" si="31">IF($G387&lt;$H387,1,0)</f>
        <v>1</v>
      </c>
      <c r="K387" s="17">
        <f>YEAR('Data Analysis Addin'!$A387)</f>
        <v>2022</v>
      </c>
    </row>
    <row r="388" spans="1:11" x14ac:dyDescent="0.4">
      <c r="A388" s="18">
        <v>44694</v>
      </c>
      <c r="B388" s="9">
        <v>401.72</v>
      </c>
      <c r="C388" s="11">
        <f t="shared" si="28"/>
        <v>431.99040000000014</v>
      </c>
      <c r="D388" s="11">
        <f t="shared" si="27"/>
        <v>446.70989999999983</v>
      </c>
      <c r="E388" s="9"/>
      <c r="F388" s="9"/>
      <c r="G388" s="9">
        <f t="shared" ca="1" si="29"/>
        <v>431.99040000000014</v>
      </c>
      <c r="H388" s="9">
        <f t="shared" ca="1" si="30"/>
        <v>446.70989999999983</v>
      </c>
      <c r="I388" s="12">
        <f ca="1">IF(AND('Data Analysis Addin'!$G388&lt;='Data Analysis Addin'!$H388,G389&gt;H389), 1, 0)</f>
        <v>0</v>
      </c>
      <c r="J388" s="3">
        <f t="shared" ca="1" si="31"/>
        <v>1</v>
      </c>
      <c r="K388" s="19">
        <f>YEAR('Data Analysis Addin'!$A388)</f>
        <v>2022</v>
      </c>
    </row>
    <row r="389" spans="1:11" x14ac:dyDescent="0.4">
      <c r="A389" s="16">
        <v>44697</v>
      </c>
      <c r="B389" s="8">
        <v>400.09</v>
      </c>
      <c r="C389" s="11">
        <f t="shared" si="28"/>
        <v>431.3488000000001</v>
      </c>
      <c r="D389" s="11">
        <f t="shared" si="27"/>
        <v>446.51779999999985</v>
      </c>
      <c r="E389" s="8"/>
      <c r="F389" s="8"/>
      <c r="G389" s="8">
        <f t="shared" ca="1" si="29"/>
        <v>431.3488000000001</v>
      </c>
      <c r="H389" s="8">
        <f t="shared" ca="1" si="30"/>
        <v>446.51779999999985</v>
      </c>
      <c r="I389" s="12">
        <f ca="1">IF(AND('Data Analysis Addin'!$G389&lt;='Data Analysis Addin'!$H389,G390&gt;H390), 1, 0)</f>
        <v>0</v>
      </c>
      <c r="J389" s="2">
        <f t="shared" ca="1" si="31"/>
        <v>1</v>
      </c>
      <c r="K389" s="17">
        <f>YEAR('Data Analysis Addin'!$A389)</f>
        <v>2022</v>
      </c>
    </row>
    <row r="390" spans="1:11" x14ac:dyDescent="0.4">
      <c r="A390" s="18">
        <v>44698</v>
      </c>
      <c r="B390" s="9">
        <v>408.32</v>
      </c>
      <c r="C390" s="11">
        <f t="shared" si="28"/>
        <v>431.12660000000011</v>
      </c>
      <c r="D390" s="11">
        <f t="shared" si="27"/>
        <v>446.37144999999987</v>
      </c>
      <c r="E390" s="9"/>
      <c r="F390" s="9"/>
      <c r="G390" s="9">
        <f t="shared" ca="1" si="29"/>
        <v>431.12660000000011</v>
      </c>
      <c r="H390" s="9">
        <f t="shared" ca="1" si="30"/>
        <v>446.37144999999987</v>
      </c>
      <c r="I390" s="12">
        <f ca="1">IF(AND('Data Analysis Addin'!$G390&lt;='Data Analysis Addin'!$H390,G391&gt;H391), 1, 0)</f>
        <v>0</v>
      </c>
      <c r="J390" s="3">
        <f t="shared" ca="1" si="31"/>
        <v>1</v>
      </c>
      <c r="K390" s="19">
        <f>YEAR('Data Analysis Addin'!$A390)</f>
        <v>2022</v>
      </c>
    </row>
    <row r="391" spans="1:11" x14ac:dyDescent="0.4">
      <c r="A391" s="16">
        <v>44699</v>
      </c>
      <c r="B391" s="8">
        <v>391.86</v>
      </c>
      <c r="C391" s="11">
        <f t="shared" si="28"/>
        <v>430.63880000000012</v>
      </c>
      <c r="D391" s="11">
        <f t="shared" si="27"/>
        <v>446.12499999999994</v>
      </c>
      <c r="E391" s="8"/>
      <c r="F391" s="8"/>
      <c r="G391" s="8">
        <f t="shared" ca="1" si="29"/>
        <v>430.63880000000012</v>
      </c>
      <c r="H391" s="8">
        <f t="shared" ca="1" si="30"/>
        <v>446.12499999999994</v>
      </c>
      <c r="I391" s="12">
        <f ca="1">IF(AND('Data Analysis Addin'!$G391&lt;='Data Analysis Addin'!$H391,G392&gt;H392), 1, 0)</f>
        <v>0</v>
      </c>
      <c r="J391" s="2">
        <f t="shared" ca="1" si="31"/>
        <v>1</v>
      </c>
      <c r="K391" s="17">
        <f>YEAR('Data Analysis Addin'!$A391)</f>
        <v>2022</v>
      </c>
    </row>
    <row r="392" spans="1:11" x14ac:dyDescent="0.4">
      <c r="A392" s="18">
        <v>44700</v>
      </c>
      <c r="B392" s="9">
        <v>389.46</v>
      </c>
      <c r="C392" s="11">
        <f t="shared" si="28"/>
        <v>429.8798000000001</v>
      </c>
      <c r="D392" s="11">
        <f t="shared" si="27"/>
        <v>445.87739999999997</v>
      </c>
      <c r="E392" s="9"/>
      <c r="F392" s="9"/>
      <c r="G392" s="9">
        <f t="shared" ca="1" si="29"/>
        <v>429.8798000000001</v>
      </c>
      <c r="H392" s="9">
        <f t="shared" ca="1" si="30"/>
        <v>445.87739999999997</v>
      </c>
      <c r="I392" s="12">
        <f ca="1">IF(AND('Data Analysis Addin'!$G392&lt;='Data Analysis Addin'!$H392,G393&gt;H393), 1, 0)</f>
        <v>0</v>
      </c>
      <c r="J392" s="3">
        <f t="shared" ca="1" si="31"/>
        <v>1</v>
      </c>
      <c r="K392" s="19">
        <f>YEAR('Data Analysis Addin'!$A392)</f>
        <v>2022</v>
      </c>
    </row>
    <row r="393" spans="1:11" x14ac:dyDescent="0.4">
      <c r="A393" s="16">
        <v>44701</v>
      </c>
      <c r="B393" s="8">
        <v>389.63</v>
      </c>
      <c r="C393" s="11">
        <f t="shared" si="28"/>
        <v>429.16280000000006</v>
      </c>
      <c r="D393" s="11">
        <f t="shared" si="27"/>
        <v>445.61674999999997</v>
      </c>
      <c r="E393" s="8"/>
      <c r="F393" s="8"/>
      <c r="G393" s="8">
        <f t="shared" ca="1" si="29"/>
        <v>429.16280000000006</v>
      </c>
      <c r="H393" s="8">
        <f t="shared" ca="1" si="30"/>
        <v>445.61674999999997</v>
      </c>
      <c r="I393" s="12">
        <f ca="1">IF(AND('Data Analysis Addin'!$G393&lt;='Data Analysis Addin'!$H393,G394&gt;H394), 1, 0)</f>
        <v>0</v>
      </c>
      <c r="J393" s="2">
        <f t="shared" ca="1" si="31"/>
        <v>1</v>
      </c>
      <c r="K393" s="17">
        <f>YEAR('Data Analysis Addin'!$A393)</f>
        <v>2022</v>
      </c>
    </row>
    <row r="394" spans="1:11" x14ac:dyDescent="0.4">
      <c r="A394" s="18">
        <v>44704</v>
      </c>
      <c r="B394" s="9">
        <v>396.92</v>
      </c>
      <c r="C394" s="11">
        <f t="shared" si="28"/>
        <v>428.69979999999998</v>
      </c>
      <c r="D394" s="11">
        <f t="shared" ref="D394:D457" si="32">AVERAGE(B195:B394)</f>
        <v>445.38889999999992</v>
      </c>
      <c r="E394" s="9"/>
      <c r="F394" s="9"/>
      <c r="G394" s="9">
        <f t="shared" ca="1" si="29"/>
        <v>428.69979999999998</v>
      </c>
      <c r="H394" s="9">
        <f t="shared" ca="1" si="30"/>
        <v>445.38889999999992</v>
      </c>
      <c r="I394" s="12">
        <f ca="1">IF(AND('Data Analysis Addin'!$G394&lt;='Data Analysis Addin'!$H394,G395&gt;H395), 1, 0)</f>
        <v>0</v>
      </c>
      <c r="J394" s="3">
        <f t="shared" ca="1" si="31"/>
        <v>1</v>
      </c>
      <c r="K394" s="19">
        <f>YEAR('Data Analysis Addin'!$A394)</f>
        <v>2022</v>
      </c>
    </row>
    <row r="395" spans="1:11" x14ac:dyDescent="0.4">
      <c r="A395" s="16">
        <v>44705</v>
      </c>
      <c r="B395" s="8">
        <v>393.89</v>
      </c>
      <c r="C395" s="11">
        <f t="shared" si="28"/>
        <v>428.23759999999993</v>
      </c>
      <c r="D395" s="11">
        <f t="shared" si="32"/>
        <v>445.14769999999999</v>
      </c>
      <c r="E395" s="8"/>
      <c r="F395" s="8"/>
      <c r="G395" s="8">
        <f t="shared" ca="1" si="29"/>
        <v>428.23759999999993</v>
      </c>
      <c r="H395" s="8">
        <f t="shared" ca="1" si="30"/>
        <v>445.14769999999999</v>
      </c>
      <c r="I395" s="12">
        <f ca="1">IF(AND('Data Analysis Addin'!$G395&lt;='Data Analysis Addin'!$H395,G396&gt;H396), 1, 0)</f>
        <v>0</v>
      </c>
      <c r="J395" s="2">
        <f t="shared" ca="1" si="31"/>
        <v>1</v>
      </c>
      <c r="K395" s="17">
        <f>YEAR('Data Analysis Addin'!$A395)</f>
        <v>2022</v>
      </c>
    </row>
    <row r="396" spans="1:11" x14ac:dyDescent="0.4">
      <c r="A396" s="18">
        <v>44706</v>
      </c>
      <c r="B396" s="9">
        <v>397.37</v>
      </c>
      <c r="C396" s="11">
        <f t="shared" si="28"/>
        <v>427.66159999999996</v>
      </c>
      <c r="D396" s="11">
        <f t="shared" si="32"/>
        <v>444.9211499999999</v>
      </c>
      <c r="E396" s="9"/>
      <c r="F396" s="9"/>
      <c r="G396" s="9">
        <f t="shared" ca="1" si="29"/>
        <v>427.66159999999996</v>
      </c>
      <c r="H396" s="9">
        <f t="shared" ca="1" si="30"/>
        <v>444.9211499999999</v>
      </c>
      <c r="I396" s="12">
        <f ca="1">IF(AND('Data Analysis Addin'!$G396&lt;='Data Analysis Addin'!$H396,G397&gt;H397), 1, 0)</f>
        <v>0</v>
      </c>
      <c r="J396" s="3">
        <f t="shared" ca="1" si="31"/>
        <v>1</v>
      </c>
      <c r="K396" s="19">
        <f>YEAR('Data Analysis Addin'!$A396)</f>
        <v>2022</v>
      </c>
    </row>
    <row r="397" spans="1:11" x14ac:dyDescent="0.4">
      <c r="A397" s="16">
        <v>44707</v>
      </c>
      <c r="B397" s="8">
        <v>405.31</v>
      </c>
      <c r="C397" s="11">
        <f t="shared" si="28"/>
        <v>427.05540000000002</v>
      </c>
      <c r="D397" s="11">
        <f t="shared" si="32"/>
        <v>444.72879999999992</v>
      </c>
      <c r="E397" s="8"/>
      <c r="F397" s="8"/>
      <c r="G397" s="8">
        <f t="shared" ca="1" si="29"/>
        <v>427.05540000000002</v>
      </c>
      <c r="H397" s="8">
        <f t="shared" ca="1" si="30"/>
        <v>444.72879999999992</v>
      </c>
      <c r="I397" s="12">
        <f ca="1">IF(AND('Data Analysis Addin'!$G397&lt;='Data Analysis Addin'!$H397,G398&gt;H398), 1, 0)</f>
        <v>0</v>
      </c>
      <c r="J397" s="2">
        <f t="shared" ca="1" si="31"/>
        <v>1</v>
      </c>
      <c r="K397" s="17">
        <f>YEAR('Data Analysis Addin'!$A397)</f>
        <v>2022</v>
      </c>
    </row>
    <row r="398" spans="1:11" x14ac:dyDescent="0.4">
      <c r="A398" s="18">
        <v>44708</v>
      </c>
      <c r="B398" s="9">
        <v>415.26</v>
      </c>
      <c r="C398" s="11">
        <f t="shared" si="28"/>
        <v>426.53919999999999</v>
      </c>
      <c r="D398" s="11">
        <f t="shared" si="32"/>
        <v>444.57954999999987</v>
      </c>
      <c r="E398" s="9"/>
      <c r="F398" s="9"/>
      <c r="G398" s="9">
        <f t="shared" ca="1" si="29"/>
        <v>426.53919999999999</v>
      </c>
      <c r="H398" s="9">
        <f t="shared" ca="1" si="30"/>
        <v>444.57954999999987</v>
      </c>
      <c r="I398" s="12">
        <f ca="1">IF(AND('Data Analysis Addin'!$G398&lt;='Data Analysis Addin'!$H398,G399&gt;H399), 1, 0)</f>
        <v>0</v>
      </c>
      <c r="J398" s="3">
        <f t="shared" ca="1" si="31"/>
        <v>1</v>
      </c>
      <c r="K398" s="19">
        <f>YEAR('Data Analysis Addin'!$A398)</f>
        <v>2022</v>
      </c>
    </row>
    <row r="399" spans="1:11" x14ac:dyDescent="0.4">
      <c r="A399" s="16">
        <v>44712</v>
      </c>
      <c r="B399" s="8">
        <v>412.93</v>
      </c>
      <c r="C399" s="11">
        <f t="shared" si="28"/>
        <v>425.90739999999988</v>
      </c>
      <c r="D399" s="11">
        <f t="shared" si="32"/>
        <v>444.41459999999984</v>
      </c>
      <c r="E399" s="8"/>
      <c r="F399" s="8"/>
      <c r="G399" s="8">
        <f t="shared" ca="1" si="29"/>
        <v>425.90739999999988</v>
      </c>
      <c r="H399" s="8">
        <f t="shared" ca="1" si="30"/>
        <v>444.41459999999984</v>
      </c>
      <c r="I399" s="12">
        <f ca="1">IF(AND('Data Analysis Addin'!$G399&lt;='Data Analysis Addin'!$H399,G400&gt;H400), 1, 0)</f>
        <v>0</v>
      </c>
      <c r="J399" s="2">
        <f t="shared" ca="1" si="31"/>
        <v>1</v>
      </c>
      <c r="K399" s="17">
        <f>YEAR('Data Analysis Addin'!$A399)</f>
        <v>2022</v>
      </c>
    </row>
    <row r="400" spans="1:11" x14ac:dyDescent="0.4">
      <c r="A400" s="18">
        <v>44713</v>
      </c>
      <c r="B400" s="9">
        <v>409.59</v>
      </c>
      <c r="C400" s="11">
        <f t="shared" si="28"/>
        <v>425.21139999999991</v>
      </c>
      <c r="D400" s="11">
        <f t="shared" si="32"/>
        <v>444.2276999999998</v>
      </c>
      <c r="E400" s="9"/>
      <c r="F400" s="9"/>
      <c r="G400" s="9">
        <f t="shared" ca="1" si="29"/>
        <v>425.21139999999991</v>
      </c>
      <c r="H400" s="9">
        <f t="shared" ca="1" si="30"/>
        <v>444.2276999999998</v>
      </c>
      <c r="I400" s="12">
        <f ca="1">IF(AND('Data Analysis Addin'!$G400&lt;='Data Analysis Addin'!$H400,G401&gt;H401), 1, 0)</f>
        <v>0</v>
      </c>
      <c r="J400" s="3">
        <f t="shared" ca="1" si="31"/>
        <v>1</v>
      </c>
      <c r="K400" s="19">
        <f>YEAR('Data Analysis Addin'!$A400)</f>
        <v>2022</v>
      </c>
    </row>
    <row r="401" spans="1:11" x14ac:dyDescent="0.4">
      <c r="A401" s="16">
        <v>44714</v>
      </c>
      <c r="B401" s="8">
        <v>417.39</v>
      </c>
      <c r="C401" s="11">
        <f t="shared" si="28"/>
        <v>424.56739999999991</v>
      </c>
      <c r="D401" s="11">
        <f t="shared" si="32"/>
        <v>444.09444999999977</v>
      </c>
      <c r="E401" s="8"/>
      <c r="F401" s="8"/>
      <c r="G401" s="8">
        <f t="shared" ca="1" si="29"/>
        <v>424.56739999999991</v>
      </c>
      <c r="H401" s="8">
        <f t="shared" ca="1" si="30"/>
        <v>444.09444999999977</v>
      </c>
      <c r="I401" s="12">
        <f ca="1">IF(AND('Data Analysis Addin'!$G401&lt;='Data Analysis Addin'!$H401,G402&gt;H402), 1, 0)</f>
        <v>0</v>
      </c>
      <c r="J401" s="2">
        <f t="shared" ca="1" si="31"/>
        <v>1</v>
      </c>
      <c r="K401" s="17">
        <f>YEAR('Data Analysis Addin'!$A401)</f>
        <v>2022</v>
      </c>
    </row>
    <row r="402" spans="1:11" x14ac:dyDescent="0.4">
      <c r="A402" s="18">
        <v>44715</v>
      </c>
      <c r="B402" s="9">
        <v>410.54</v>
      </c>
      <c r="C402" s="11">
        <f t="shared" si="28"/>
        <v>423.90219999999994</v>
      </c>
      <c r="D402" s="11">
        <f t="shared" si="32"/>
        <v>443.95124999999979</v>
      </c>
      <c r="E402" s="9"/>
      <c r="F402" s="9"/>
      <c r="G402" s="9">
        <f t="shared" ca="1" si="29"/>
        <v>423.90219999999994</v>
      </c>
      <c r="H402" s="9">
        <f t="shared" ca="1" si="30"/>
        <v>443.95124999999979</v>
      </c>
      <c r="I402" s="12">
        <f ca="1">IF(AND('Data Analysis Addin'!$G402&lt;='Data Analysis Addin'!$H402,G403&gt;H403), 1, 0)</f>
        <v>0</v>
      </c>
      <c r="J402" s="3">
        <f t="shared" ca="1" si="31"/>
        <v>1</v>
      </c>
      <c r="K402" s="19">
        <f>YEAR('Data Analysis Addin'!$A402)</f>
        <v>2022</v>
      </c>
    </row>
    <row r="403" spans="1:11" x14ac:dyDescent="0.4">
      <c r="A403" s="16">
        <v>44718</v>
      </c>
      <c r="B403" s="8">
        <v>411.79</v>
      </c>
      <c r="C403" s="11">
        <f t="shared" si="28"/>
        <v>423.12819999999999</v>
      </c>
      <c r="D403" s="11">
        <f t="shared" si="32"/>
        <v>443.81089999999972</v>
      </c>
      <c r="E403" s="8"/>
      <c r="F403" s="8"/>
      <c r="G403" s="8">
        <f t="shared" ca="1" si="29"/>
        <v>423.12819999999999</v>
      </c>
      <c r="H403" s="8">
        <f t="shared" ca="1" si="30"/>
        <v>443.81089999999972</v>
      </c>
      <c r="I403" s="12">
        <f ca="1">IF(AND('Data Analysis Addin'!$G403&lt;='Data Analysis Addin'!$H403,G404&gt;H404), 1, 0)</f>
        <v>0</v>
      </c>
      <c r="J403" s="2">
        <f t="shared" ca="1" si="31"/>
        <v>1</v>
      </c>
      <c r="K403" s="17">
        <f>YEAR('Data Analysis Addin'!$A403)</f>
        <v>2022</v>
      </c>
    </row>
    <row r="404" spans="1:11" x14ac:dyDescent="0.4">
      <c r="A404" s="18">
        <v>44719</v>
      </c>
      <c r="B404" s="9">
        <v>415.74</v>
      </c>
      <c r="C404" s="11">
        <f t="shared" si="28"/>
        <v>422.38919999999996</v>
      </c>
      <c r="D404" s="11">
        <f t="shared" si="32"/>
        <v>443.67279999999977</v>
      </c>
      <c r="E404" s="9"/>
      <c r="F404" s="9"/>
      <c r="G404" s="9">
        <f t="shared" ca="1" si="29"/>
        <v>422.38919999999996</v>
      </c>
      <c r="H404" s="9">
        <f t="shared" ca="1" si="30"/>
        <v>443.67279999999977</v>
      </c>
      <c r="I404" s="12">
        <f ca="1">IF(AND('Data Analysis Addin'!$G404&lt;='Data Analysis Addin'!$H404,G405&gt;H405), 1, 0)</f>
        <v>0</v>
      </c>
      <c r="J404" s="3">
        <f t="shared" ca="1" si="31"/>
        <v>1</v>
      </c>
      <c r="K404" s="19">
        <f>YEAR('Data Analysis Addin'!$A404)</f>
        <v>2022</v>
      </c>
    </row>
    <row r="405" spans="1:11" x14ac:dyDescent="0.4">
      <c r="A405" s="16">
        <v>44720</v>
      </c>
      <c r="B405" s="8">
        <v>411.22</v>
      </c>
      <c r="C405" s="11">
        <f t="shared" si="28"/>
        <v>421.49540000000002</v>
      </c>
      <c r="D405" s="11">
        <f t="shared" si="32"/>
        <v>443.49259999999975</v>
      </c>
      <c r="E405" s="8"/>
      <c r="F405" s="8"/>
      <c r="G405" s="8">
        <f t="shared" ca="1" si="29"/>
        <v>421.49540000000002</v>
      </c>
      <c r="H405" s="8">
        <f t="shared" ca="1" si="30"/>
        <v>443.49259999999975</v>
      </c>
      <c r="I405" s="12">
        <f ca="1">IF(AND('Data Analysis Addin'!$G405&lt;='Data Analysis Addin'!$H405,G406&gt;H406), 1, 0)</f>
        <v>0</v>
      </c>
      <c r="J405" s="2">
        <f t="shared" ca="1" si="31"/>
        <v>1</v>
      </c>
      <c r="K405" s="17">
        <f>YEAR('Data Analysis Addin'!$A405)</f>
        <v>2022</v>
      </c>
    </row>
    <row r="406" spans="1:11" x14ac:dyDescent="0.4">
      <c r="A406" s="18">
        <v>44721</v>
      </c>
      <c r="B406" s="9">
        <v>401.44</v>
      </c>
      <c r="C406" s="11">
        <f t="shared" si="28"/>
        <v>420.29320000000001</v>
      </c>
      <c r="D406" s="11">
        <f t="shared" si="32"/>
        <v>443.25994999999972</v>
      </c>
      <c r="E406" s="9"/>
      <c r="F406" s="9"/>
      <c r="G406" s="9">
        <f t="shared" ca="1" si="29"/>
        <v>420.29320000000001</v>
      </c>
      <c r="H406" s="9">
        <f t="shared" ca="1" si="30"/>
        <v>443.25994999999972</v>
      </c>
      <c r="I406" s="12">
        <f ca="1">IF(AND('Data Analysis Addin'!$G406&lt;='Data Analysis Addin'!$H406,G407&gt;H407), 1, 0)</f>
        <v>0</v>
      </c>
      <c r="J406" s="3">
        <f t="shared" ca="1" si="31"/>
        <v>1</v>
      </c>
      <c r="K406" s="19">
        <f>YEAR('Data Analysis Addin'!$A406)</f>
        <v>2022</v>
      </c>
    </row>
    <row r="407" spans="1:11" x14ac:dyDescent="0.4">
      <c r="A407" s="16">
        <v>44722</v>
      </c>
      <c r="B407" s="8">
        <v>389.8</v>
      </c>
      <c r="C407" s="11">
        <f t="shared" si="28"/>
        <v>418.91519999999997</v>
      </c>
      <c r="D407" s="11">
        <f t="shared" si="32"/>
        <v>442.96439999999978</v>
      </c>
      <c r="E407" s="8"/>
      <c r="F407" s="8"/>
      <c r="G407" s="8">
        <f t="shared" ca="1" si="29"/>
        <v>418.91519999999997</v>
      </c>
      <c r="H407" s="8">
        <f t="shared" ca="1" si="30"/>
        <v>442.96439999999978</v>
      </c>
      <c r="I407" s="12">
        <f ca="1">IF(AND('Data Analysis Addin'!$G407&lt;='Data Analysis Addin'!$H407,G408&gt;H408), 1, 0)</f>
        <v>0</v>
      </c>
      <c r="J407" s="2">
        <f t="shared" ca="1" si="31"/>
        <v>1</v>
      </c>
      <c r="K407" s="17">
        <f>YEAR('Data Analysis Addin'!$A407)</f>
        <v>2022</v>
      </c>
    </row>
    <row r="408" spans="1:11" x14ac:dyDescent="0.4">
      <c r="A408" s="18">
        <v>44725</v>
      </c>
      <c r="B408" s="9">
        <v>375</v>
      </c>
      <c r="C408" s="11">
        <f t="shared" si="28"/>
        <v>417.38239999999996</v>
      </c>
      <c r="D408" s="11">
        <f t="shared" si="32"/>
        <v>442.60809999999975</v>
      </c>
      <c r="E408" s="9"/>
      <c r="F408" s="9"/>
      <c r="G408" s="9">
        <f t="shared" ca="1" si="29"/>
        <v>417.38239999999996</v>
      </c>
      <c r="H408" s="9">
        <f t="shared" ca="1" si="30"/>
        <v>442.60809999999975</v>
      </c>
      <c r="I408" s="12">
        <f ca="1">IF(AND('Data Analysis Addin'!$G408&lt;='Data Analysis Addin'!$H408,G409&gt;H409), 1, 0)</f>
        <v>0</v>
      </c>
      <c r="J408" s="3">
        <f t="shared" ca="1" si="31"/>
        <v>1</v>
      </c>
      <c r="K408" s="19">
        <f>YEAR('Data Analysis Addin'!$A408)</f>
        <v>2022</v>
      </c>
    </row>
    <row r="409" spans="1:11" x14ac:dyDescent="0.4">
      <c r="A409" s="16">
        <v>44726</v>
      </c>
      <c r="B409" s="8">
        <v>373.87</v>
      </c>
      <c r="C409" s="11">
        <f t="shared" si="28"/>
        <v>415.8014</v>
      </c>
      <c r="D409" s="11">
        <f t="shared" si="32"/>
        <v>442.22619999999972</v>
      </c>
      <c r="E409" s="8"/>
      <c r="F409" s="8"/>
      <c r="G409" s="8">
        <f t="shared" ca="1" si="29"/>
        <v>415.8014</v>
      </c>
      <c r="H409" s="8">
        <f t="shared" ca="1" si="30"/>
        <v>442.22619999999972</v>
      </c>
      <c r="I409" s="12">
        <f ca="1">IF(AND('Data Analysis Addin'!$G409&lt;='Data Analysis Addin'!$H409,G410&gt;H410), 1, 0)</f>
        <v>0</v>
      </c>
      <c r="J409" s="2">
        <f t="shared" ca="1" si="31"/>
        <v>1</v>
      </c>
      <c r="K409" s="17">
        <f>YEAR('Data Analysis Addin'!$A409)</f>
        <v>2022</v>
      </c>
    </row>
    <row r="410" spans="1:11" x14ac:dyDescent="0.4">
      <c r="A410" s="18">
        <v>44727</v>
      </c>
      <c r="B410" s="9">
        <v>379.2</v>
      </c>
      <c r="C410" s="11">
        <f t="shared" si="28"/>
        <v>414.24940000000004</v>
      </c>
      <c r="D410" s="11">
        <f t="shared" si="32"/>
        <v>441.86104999999975</v>
      </c>
      <c r="E410" s="9"/>
      <c r="F410" s="9"/>
      <c r="G410" s="9">
        <f t="shared" ca="1" si="29"/>
        <v>414.24940000000004</v>
      </c>
      <c r="H410" s="9">
        <f t="shared" ca="1" si="30"/>
        <v>441.86104999999975</v>
      </c>
      <c r="I410" s="12">
        <f ca="1">IF(AND('Data Analysis Addin'!$G410&lt;='Data Analysis Addin'!$H410,G411&gt;H411), 1, 0)</f>
        <v>0</v>
      </c>
      <c r="J410" s="3">
        <f t="shared" ca="1" si="31"/>
        <v>1</v>
      </c>
      <c r="K410" s="19">
        <f>YEAR('Data Analysis Addin'!$A410)</f>
        <v>2022</v>
      </c>
    </row>
    <row r="411" spans="1:11" x14ac:dyDescent="0.4">
      <c r="A411" s="16">
        <v>44728</v>
      </c>
      <c r="B411" s="8">
        <v>366.65</v>
      </c>
      <c r="C411" s="11">
        <f t="shared" si="28"/>
        <v>412.56180000000006</v>
      </c>
      <c r="D411" s="11">
        <f t="shared" si="32"/>
        <v>441.43649999999974</v>
      </c>
      <c r="E411" s="8"/>
      <c r="F411" s="8"/>
      <c r="G411" s="8">
        <f t="shared" ca="1" si="29"/>
        <v>412.56180000000006</v>
      </c>
      <c r="H411" s="8">
        <f t="shared" ca="1" si="30"/>
        <v>441.43649999999974</v>
      </c>
      <c r="I411" s="12">
        <f ca="1">IF(AND('Data Analysis Addin'!$G411&lt;='Data Analysis Addin'!$H411,G412&gt;H412), 1, 0)</f>
        <v>0</v>
      </c>
      <c r="J411" s="2">
        <f t="shared" ca="1" si="31"/>
        <v>1</v>
      </c>
      <c r="K411" s="17">
        <f>YEAR('Data Analysis Addin'!$A411)</f>
        <v>2022</v>
      </c>
    </row>
    <row r="412" spans="1:11" x14ac:dyDescent="0.4">
      <c r="A412" s="18">
        <v>44729</v>
      </c>
      <c r="B412" s="9">
        <v>365.86</v>
      </c>
      <c r="C412" s="11">
        <f t="shared" si="28"/>
        <v>410.94860000000006</v>
      </c>
      <c r="D412" s="11">
        <f t="shared" si="32"/>
        <v>441.00679999999977</v>
      </c>
      <c r="E412" s="9"/>
      <c r="F412" s="9"/>
      <c r="G412" s="9">
        <f t="shared" ca="1" si="29"/>
        <v>410.94860000000006</v>
      </c>
      <c r="H412" s="9">
        <f t="shared" ca="1" si="30"/>
        <v>441.00679999999977</v>
      </c>
      <c r="I412" s="12">
        <f ca="1">IF(AND('Data Analysis Addin'!$G412&lt;='Data Analysis Addin'!$H412,G413&gt;H413), 1, 0)</f>
        <v>0</v>
      </c>
      <c r="J412" s="3">
        <f t="shared" ca="1" si="31"/>
        <v>1</v>
      </c>
      <c r="K412" s="19">
        <f>YEAR('Data Analysis Addin'!$A412)</f>
        <v>2022</v>
      </c>
    </row>
    <row r="413" spans="1:11" x14ac:dyDescent="0.4">
      <c r="A413" s="16">
        <v>44733</v>
      </c>
      <c r="B413" s="8">
        <v>375.07</v>
      </c>
      <c r="C413" s="11">
        <f t="shared" si="28"/>
        <v>409.47460000000007</v>
      </c>
      <c r="D413" s="11">
        <f t="shared" si="32"/>
        <v>440.61619999999982</v>
      </c>
      <c r="E413" s="8"/>
      <c r="F413" s="8"/>
      <c r="G413" s="8">
        <f t="shared" ca="1" si="29"/>
        <v>409.47460000000007</v>
      </c>
      <c r="H413" s="8">
        <f t="shared" ca="1" si="30"/>
        <v>440.61619999999982</v>
      </c>
      <c r="I413" s="12">
        <f ca="1">IF(AND('Data Analysis Addin'!$G413&lt;='Data Analysis Addin'!$H413,G414&gt;H414), 1, 0)</f>
        <v>0</v>
      </c>
      <c r="J413" s="2">
        <f t="shared" ca="1" si="31"/>
        <v>1</v>
      </c>
      <c r="K413" s="17">
        <f>YEAR('Data Analysis Addin'!$A413)</f>
        <v>2022</v>
      </c>
    </row>
    <row r="414" spans="1:11" x14ac:dyDescent="0.4">
      <c r="A414" s="18">
        <v>44734</v>
      </c>
      <c r="B414" s="9">
        <v>374.39</v>
      </c>
      <c r="C414" s="11">
        <f t="shared" si="28"/>
        <v>408.01100000000008</v>
      </c>
      <c r="D414" s="11">
        <f t="shared" si="32"/>
        <v>440.22274999999979</v>
      </c>
      <c r="E414" s="9"/>
      <c r="F414" s="9"/>
      <c r="G414" s="9">
        <f t="shared" ca="1" si="29"/>
        <v>408.01100000000008</v>
      </c>
      <c r="H414" s="9">
        <f t="shared" ca="1" si="30"/>
        <v>440.22274999999979</v>
      </c>
      <c r="I414" s="12">
        <f ca="1">IF(AND('Data Analysis Addin'!$G414&lt;='Data Analysis Addin'!$H414,G415&gt;H415), 1, 0)</f>
        <v>0</v>
      </c>
      <c r="J414" s="3">
        <f t="shared" ca="1" si="31"/>
        <v>1</v>
      </c>
      <c r="K414" s="19">
        <f>YEAR('Data Analysis Addin'!$A414)</f>
        <v>2022</v>
      </c>
    </row>
    <row r="415" spans="1:11" x14ac:dyDescent="0.4">
      <c r="A415" s="16">
        <v>44735</v>
      </c>
      <c r="B415" s="8">
        <v>378.06</v>
      </c>
      <c r="C415" s="11">
        <f t="shared" si="28"/>
        <v>406.77380000000005</v>
      </c>
      <c r="D415" s="11">
        <f t="shared" si="32"/>
        <v>439.85574999999977</v>
      </c>
      <c r="E415" s="8"/>
      <c r="F415" s="8"/>
      <c r="G415" s="8">
        <f t="shared" ca="1" si="29"/>
        <v>406.77380000000005</v>
      </c>
      <c r="H415" s="8">
        <f t="shared" ca="1" si="30"/>
        <v>439.85574999999977</v>
      </c>
      <c r="I415" s="12">
        <f ca="1">IF(AND('Data Analysis Addin'!$G415&lt;='Data Analysis Addin'!$H415,G416&gt;H416), 1, 0)</f>
        <v>0</v>
      </c>
      <c r="J415" s="2">
        <f t="shared" ca="1" si="31"/>
        <v>1</v>
      </c>
      <c r="K415" s="17">
        <f>YEAR('Data Analysis Addin'!$A415)</f>
        <v>2022</v>
      </c>
    </row>
    <row r="416" spans="1:11" x14ac:dyDescent="0.4">
      <c r="A416" s="18">
        <v>44736</v>
      </c>
      <c r="B416" s="9">
        <v>390.08</v>
      </c>
      <c r="C416" s="11">
        <f t="shared" si="28"/>
        <v>405.80960000000005</v>
      </c>
      <c r="D416" s="11">
        <f t="shared" si="32"/>
        <v>439.55159999999972</v>
      </c>
      <c r="E416" s="9"/>
      <c r="F416" s="9"/>
      <c r="G416" s="9">
        <f t="shared" ca="1" si="29"/>
        <v>405.80960000000005</v>
      </c>
      <c r="H416" s="9">
        <f t="shared" ca="1" si="30"/>
        <v>439.55159999999972</v>
      </c>
      <c r="I416" s="12">
        <f ca="1">IF(AND('Data Analysis Addin'!$G416&lt;='Data Analysis Addin'!$H416,G417&gt;H417), 1, 0)</f>
        <v>0</v>
      </c>
      <c r="J416" s="3">
        <f t="shared" ca="1" si="31"/>
        <v>1</v>
      </c>
      <c r="K416" s="19">
        <f>YEAR('Data Analysis Addin'!$A416)</f>
        <v>2022</v>
      </c>
    </row>
    <row r="417" spans="1:11" x14ac:dyDescent="0.4">
      <c r="A417" s="16">
        <v>44739</v>
      </c>
      <c r="B417" s="8">
        <v>388.59</v>
      </c>
      <c r="C417" s="11">
        <f t="shared" si="28"/>
        <v>404.7152000000001</v>
      </c>
      <c r="D417" s="11">
        <f t="shared" si="32"/>
        <v>439.24964999999969</v>
      </c>
      <c r="E417" s="8"/>
      <c r="F417" s="8"/>
      <c r="G417" s="8">
        <f t="shared" ca="1" si="29"/>
        <v>404.7152000000001</v>
      </c>
      <c r="H417" s="8">
        <f t="shared" ca="1" si="30"/>
        <v>439.24964999999969</v>
      </c>
      <c r="I417" s="12">
        <f ca="1">IF(AND('Data Analysis Addin'!$G417&lt;='Data Analysis Addin'!$H417,G418&gt;H418), 1, 0)</f>
        <v>0</v>
      </c>
      <c r="J417" s="2">
        <f t="shared" ca="1" si="31"/>
        <v>1</v>
      </c>
      <c r="K417" s="17">
        <f>YEAR('Data Analysis Addin'!$A417)</f>
        <v>2022</v>
      </c>
    </row>
    <row r="418" spans="1:11" x14ac:dyDescent="0.4">
      <c r="A418" s="18">
        <v>44740</v>
      </c>
      <c r="B418" s="9">
        <v>380.65</v>
      </c>
      <c r="C418" s="11">
        <f t="shared" si="28"/>
        <v>403.57240000000013</v>
      </c>
      <c r="D418" s="11">
        <f t="shared" si="32"/>
        <v>438.92569999999961</v>
      </c>
      <c r="E418" s="9"/>
      <c r="F418" s="9"/>
      <c r="G418" s="9">
        <f t="shared" ca="1" si="29"/>
        <v>403.57240000000013</v>
      </c>
      <c r="H418" s="9">
        <f t="shared" ca="1" si="30"/>
        <v>438.92569999999961</v>
      </c>
      <c r="I418" s="12">
        <f ca="1">IF(AND('Data Analysis Addin'!$G418&lt;='Data Analysis Addin'!$H418,G419&gt;H419), 1, 0)</f>
        <v>0</v>
      </c>
      <c r="J418" s="3">
        <f t="shared" ca="1" si="31"/>
        <v>1</v>
      </c>
      <c r="K418" s="19">
        <f>YEAR('Data Analysis Addin'!$A418)</f>
        <v>2022</v>
      </c>
    </row>
    <row r="419" spans="1:11" x14ac:dyDescent="0.4">
      <c r="A419" s="16">
        <v>44741</v>
      </c>
      <c r="B419" s="8">
        <v>380.34</v>
      </c>
      <c r="C419" s="11">
        <f t="shared" si="28"/>
        <v>402.41980000000012</v>
      </c>
      <c r="D419" s="11">
        <f t="shared" si="32"/>
        <v>438.59449999999958</v>
      </c>
      <c r="E419" s="8"/>
      <c r="F419" s="8"/>
      <c r="G419" s="8">
        <f t="shared" ca="1" si="29"/>
        <v>402.41980000000012</v>
      </c>
      <c r="H419" s="8">
        <f t="shared" ca="1" si="30"/>
        <v>438.59449999999958</v>
      </c>
      <c r="I419" s="12">
        <f ca="1">IF(AND('Data Analysis Addin'!$G419&lt;='Data Analysis Addin'!$H419,G420&gt;H420), 1, 0)</f>
        <v>0</v>
      </c>
      <c r="J419" s="2">
        <f t="shared" ca="1" si="31"/>
        <v>1</v>
      </c>
      <c r="K419" s="17">
        <f>YEAR('Data Analysis Addin'!$A419)</f>
        <v>2022</v>
      </c>
    </row>
    <row r="420" spans="1:11" x14ac:dyDescent="0.4">
      <c r="A420" s="18">
        <v>44742</v>
      </c>
      <c r="B420" s="9">
        <v>377.25</v>
      </c>
      <c r="C420" s="11">
        <f t="shared" si="28"/>
        <v>401.06400000000014</v>
      </c>
      <c r="D420" s="11">
        <f t="shared" si="32"/>
        <v>438.25989999999956</v>
      </c>
      <c r="E420" s="9"/>
      <c r="F420" s="9"/>
      <c r="G420" s="9">
        <f t="shared" ca="1" si="29"/>
        <v>401.06400000000014</v>
      </c>
      <c r="H420" s="9">
        <f t="shared" ca="1" si="30"/>
        <v>438.25989999999956</v>
      </c>
      <c r="I420" s="12">
        <f ca="1">IF(AND('Data Analysis Addin'!$G420&lt;='Data Analysis Addin'!$H420,G421&gt;H421), 1, 0)</f>
        <v>0</v>
      </c>
      <c r="J420" s="3">
        <f t="shared" ca="1" si="31"/>
        <v>1</v>
      </c>
      <c r="K420" s="19">
        <f>YEAR('Data Analysis Addin'!$A420)</f>
        <v>2022</v>
      </c>
    </row>
    <row r="421" spans="1:11" x14ac:dyDescent="0.4">
      <c r="A421" s="16">
        <v>44743</v>
      </c>
      <c r="B421" s="8">
        <v>381.24</v>
      </c>
      <c r="C421" s="11">
        <f t="shared" si="28"/>
        <v>399.79460000000012</v>
      </c>
      <c r="D421" s="11">
        <f t="shared" si="32"/>
        <v>437.92669999999964</v>
      </c>
      <c r="E421" s="8"/>
      <c r="F421" s="8"/>
      <c r="G421" s="8">
        <f t="shared" ca="1" si="29"/>
        <v>399.79460000000012</v>
      </c>
      <c r="H421" s="8">
        <f t="shared" ca="1" si="30"/>
        <v>437.92669999999964</v>
      </c>
      <c r="I421" s="12">
        <f ca="1">IF(AND('Data Analysis Addin'!$G421&lt;='Data Analysis Addin'!$H421,G422&gt;H422), 1, 0)</f>
        <v>0</v>
      </c>
      <c r="J421" s="2">
        <f t="shared" ca="1" si="31"/>
        <v>1</v>
      </c>
      <c r="K421" s="17">
        <f>YEAR('Data Analysis Addin'!$A421)</f>
        <v>2022</v>
      </c>
    </row>
    <row r="422" spans="1:11" x14ac:dyDescent="0.4">
      <c r="A422" s="18">
        <v>44747</v>
      </c>
      <c r="B422" s="9">
        <v>381.96</v>
      </c>
      <c r="C422" s="11">
        <f t="shared" si="28"/>
        <v>398.67260000000016</v>
      </c>
      <c r="D422" s="11">
        <f t="shared" si="32"/>
        <v>437.60064999999963</v>
      </c>
      <c r="E422" s="9"/>
      <c r="F422" s="9"/>
      <c r="G422" s="9">
        <f t="shared" ca="1" si="29"/>
        <v>398.67260000000016</v>
      </c>
      <c r="H422" s="9">
        <f t="shared" ca="1" si="30"/>
        <v>437.60064999999963</v>
      </c>
      <c r="I422" s="12">
        <f ca="1">IF(AND('Data Analysis Addin'!$G422&lt;='Data Analysis Addin'!$H422,G423&gt;H423), 1, 0)</f>
        <v>0</v>
      </c>
      <c r="J422" s="3">
        <f t="shared" ca="1" si="31"/>
        <v>1</v>
      </c>
      <c r="K422" s="19">
        <f>YEAR('Data Analysis Addin'!$A422)</f>
        <v>2022</v>
      </c>
    </row>
    <row r="423" spans="1:11" x14ac:dyDescent="0.4">
      <c r="A423" s="16">
        <v>44748</v>
      </c>
      <c r="B423" s="8">
        <v>383.25</v>
      </c>
      <c r="C423" s="11">
        <f t="shared" si="28"/>
        <v>397.81680000000017</v>
      </c>
      <c r="D423" s="11">
        <f t="shared" si="32"/>
        <v>437.30989999999963</v>
      </c>
      <c r="E423" s="8"/>
      <c r="F423" s="8"/>
      <c r="G423" s="8">
        <f t="shared" ca="1" si="29"/>
        <v>397.81680000000017</v>
      </c>
      <c r="H423" s="8">
        <f t="shared" ca="1" si="30"/>
        <v>437.30989999999963</v>
      </c>
      <c r="I423" s="12">
        <f ca="1">IF(AND('Data Analysis Addin'!$G423&lt;='Data Analysis Addin'!$H423,G424&gt;H424), 1, 0)</f>
        <v>0</v>
      </c>
      <c r="J423" s="2">
        <f t="shared" ca="1" si="31"/>
        <v>1</v>
      </c>
      <c r="K423" s="17">
        <f>YEAR('Data Analysis Addin'!$A423)</f>
        <v>2022</v>
      </c>
    </row>
    <row r="424" spans="1:11" x14ac:dyDescent="0.4">
      <c r="A424" s="18">
        <v>44749</v>
      </c>
      <c r="B424" s="9">
        <v>388.99</v>
      </c>
      <c r="C424" s="11">
        <f t="shared" si="28"/>
        <v>397.02640000000014</v>
      </c>
      <c r="D424" s="11">
        <f t="shared" si="32"/>
        <v>437.08464999999967</v>
      </c>
      <c r="E424" s="9"/>
      <c r="F424" s="9"/>
      <c r="G424" s="9">
        <f t="shared" ca="1" si="29"/>
        <v>397.02640000000014</v>
      </c>
      <c r="H424" s="9">
        <f t="shared" ca="1" si="30"/>
        <v>437.08464999999967</v>
      </c>
      <c r="I424" s="12">
        <f ca="1">IF(AND('Data Analysis Addin'!$G424&lt;='Data Analysis Addin'!$H424,G425&gt;H425), 1, 0)</f>
        <v>0</v>
      </c>
      <c r="J424" s="3">
        <f t="shared" ca="1" si="31"/>
        <v>1</v>
      </c>
      <c r="K424" s="19">
        <f>YEAR('Data Analysis Addin'!$A424)</f>
        <v>2022</v>
      </c>
    </row>
    <row r="425" spans="1:11" x14ac:dyDescent="0.4">
      <c r="A425" s="16">
        <v>44750</v>
      </c>
      <c r="B425" s="8">
        <v>388.67</v>
      </c>
      <c r="C425" s="11">
        <f t="shared" si="28"/>
        <v>396.47780000000006</v>
      </c>
      <c r="D425" s="11">
        <f t="shared" si="32"/>
        <v>436.85984999999965</v>
      </c>
      <c r="E425" s="8"/>
      <c r="F425" s="8"/>
      <c r="G425" s="8">
        <f t="shared" ca="1" si="29"/>
        <v>396.47780000000006</v>
      </c>
      <c r="H425" s="8">
        <f t="shared" ca="1" si="30"/>
        <v>436.85984999999965</v>
      </c>
      <c r="I425" s="12">
        <f ca="1">IF(AND('Data Analysis Addin'!$G425&lt;='Data Analysis Addin'!$H425,G426&gt;H426), 1, 0)</f>
        <v>0</v>
      </c>
      <c r="J425" s="2">
        <f t="shared" ca="1" si="31"/>
        <v>1</v>
      </c>
      <c r="K425" s="17">
        <f>YEAR('Data Analysis Addin'!$A425)</f>
        <v>2022</v>
      </c>
    </row>
    <row r="426" spans="1:11" x14ac:dyDescent="0.4">
      <c r="A426" s="18">
        <v>44753</v>
      </c>
      <c r="B426" s="9">
        <v>384.23</v>
      </c>
      <c r="C426" s="11">
        <f t="shared" si="28"/>
        <v>395.81700000000006</v>
      </c>
      <c r="D426" s="11">
        <f t="shared" si="32"/>
        <v>436.59169999999961</v>
      </c>
      <c r="E426" s="9"/>
      <c r="F426" s="9"/>
      <c r="G426" s="9">
        <f t="shared" ca="1" si="29"/>
        <v>395.81700000000006</v>
      </c>
      <c r="H426" s="9">
        <f t="shared" ca="1" si="30"/>
        <v>436.59169999999961</v>
      </c>
      <c r="I426" s="12">
        <f ca="1">IF(AND('Data Analysis Addin'!$G426&lt;='Data Analysis Addin'!$H426,G427&gt;H427), 1, 0)</f>
        <v>0</v>
      </c>
      <c r="J426" s="3">
        <f t="shared" ca="1" si="31"/>
        <v>1</v>
      </c>
      <c r="K426" s="19">
        <f>YEAR('Data Analysis Addin'!$A426)</f>
        <v>2022</v>
      </c>
    </row>
    <row r="427" spans="1:11" x14ac:dyDescent="0.4">
      <c r="A427" s="16">
        <v>44754</v>
      </c>
      <c r="B427" s="8">
        <v>380.83</v>
      </c>
      <c r="C427" s="11">
        <f t="shared" si="28"/>
        <v>394.87740000000008</v>
      </c>
      <c r="D427" s="11">
        <f t="shared" si="32"/>
        <v>436.27994999999964</v>
      </c>
      <c r="E427" s="8"/>
      <c r="F427" s="8"/>
      <c r="G427" s="8">
        <f t="shared" ca="1" si="29"/>
        <v>394.87740000000008</v>
      </c>
      <c r="H427" s="8">
        <f t="shared" ca="1" si="30"/>
        <v>436.27994999999964</v>
      </c>
      <c r="I427" s="12">
        <f ca="1">IF(AND('Data Analysis Addin'!$G427&lt;='Data Analysis Addin'!$H427,G428&gt;H428), 1, 0)</f>
        <v>0</v>
      </c>
      <c r="J427" s="2">
        <f t="shared" ca="1" si="31"/>
        <v>1</v>
      </c>
      <c r="K427" s="17">
        <f>YEAR('Data Analysis Addin'!$A427)</f>
        <v>2022</v>
      </c>
    </row>
    <row r="428" spans="1:11" x14ac:dyDescent="0.4">
      <c r="A428" s="18">
        <v>44755</v>
      </c>
      <c r="B428" s="9">
        <v>378.83</v>
      </c>
      <c r="C428" s="11">
        <f t="shared" si="28"/>
        <v>394.21400000000011</v>
      </c>
      <c r="D428" s="11">
        <f t="shared" si="32"/>
        <v>435.95454999999964</v>
      </c>
      <c r="E428" s="9"/>
      <c r="F428" s="9"/>
      <c r="G428" s="9">
        <f t="shared" ca="1" si="29"/>
        <v>394.21400000000011</v>
      </c>
      <c r="H428" s="9">
        <f t="shared" ca="1" si="30"/>
        <v>435.95454999999964</v>
      </c>
      <c r="I428" s="12">
        <f ca="1">IF(AND('Data Analysis Addin'!$G428&lt;='Data Analysis Addin'!$H428,G429&gt;H429), 1, 0)</f>
        <v>0</v>
      </c>
      <c r="J428" s="3">
        <f t="shared" ca="1" si="31"/>
        <v>1</v>
      </c>
      <c r="K428" s="19">
        <f>YEAR('Data Analysis Addin'!$A428)</f>
        <v>2022</v>
      </c>
    </row>
    <row r="429" spans="1:11" x14ac:dyDescent="0.4">
      <c r="A429" s="16">
        <v>44756</v>
      </c>
      <c r="B429" s="8">
        <v>377.91</v>
      </c>
      <c r="C429" s="11">
        <f t="shared" si="28"/>
        <v>393.4826000000001</v>
      </c>
      <c r="D429" s="11">
        <f t="shared" si="32"/>
        <v>435.63089999999977</v>
      </c>
      <c r="E429" s="8"/>
      <c r="F429" s="8"/>
      <c r="G429" s="8">
        <f t="shared" ca="1" si="29"/>
        <v>393.4826000000001</v>
      </c>
      <c r="H429" s="8">
        <f t="shared" ca="1" si="30"/>
        <v>435.63089999999977</v>
      </c>
      <c r="I429" s="12">
        <f ca="1">IF(AND('Data Analysis Addin'!$G429&lt;='Data Analysis Addin'!$H429,G430&gt;H430), 1, 0)</f>
        <v>0</v>
      </c>
      <c r="J429" s="2">
        <f t="shared" ca="1" si="31"/>
        <v>1</v>
      </c>
      <c r="K429" s="17">
        <f>YEAR('Data Analysis Addin'!$A429)</f>
        <v>2022</v>
      </c>
    </row>
    <row r="430" spans="1:11" x14ac:dyDescent="0.4">
      <c r="A430" s="18">
        <v>44757</v>
      </c>
      <c r="B430" s="9">
        <v>385.13</v>
      </c>
      <c r="C430" s="11">
        <f t="shared" si="28"/>
        <v>392.85760000000016</v>
      </c>
      <c r="D430" s="11">
        <f t="shared" si="32"/>
        <v>435.38794999999971</v>
      </c>
      <c r="E430" s="9"/>
      <c r="F430" s="9"/>
      <c r="G430" s="9">
        <f t="shared" ca="1" si="29"/>
        <v>392.85760000000016</v>
      </c>
      <c r="H430" s="9">
        <f t="shared" ca="1" si="30"/>
        <v>435.38794999999971</v>
      </c>
      <c r="I430" s="12">
        <f ca="1">IF(AND('Data Analysis Addin'!$G430&lt;='Data Analysis Addin'!$H430,G431&gt;H431), 1, 0)</f>
        <v>0</v>
      </c>
      <c r="J430" s="3">
        <f t="shared" ca="1" si="31"/>
        <v>1</v>
      </c>
      <c r="K430" s="19">
        <f>YEAR('Data Analysis Addin'!$A430)</f>
        <v>2022</v>
      </c>
    </row>
    <row r="431" spans="1:11" x14ac:dyDescent="0.4">
      <c r="A431" s="16">
        <v>44760</v>
      </c>
      <c r="B431" s="8">
        <v>381.95</v>
      </c>
      <c r="C431" s="11">
        <f t="shared" si="28"/>
        <v>391.91540000000015</v>
      </c>
      <c r="D431" s="11">
        <f t="shared" si="32"/>
        <v>435.12544999999972</v>
      </c>
      <c r="E431" s="8"/>
      <c r="F431" s="8"/>
      <c r="G431" s="8">
        <f t="shared" ca="1" si="29"/>
        <v>391.91540000000015</v>
      </c>
      <c r="H431" s="8">
        <f t="shared" ca="1" si="30"/>
        <v>435.12544999999972</v>
      </c>
      <c r="I431" s="12">
        <f ca="1">IF(AND('Data Analysis Addin'!$G431&lt;='Data Analysis Addin'!$H431,G432&gt;H432), 1, 0)</f>
        <v>0</v>
      </c>
      <c r="J431" s="2">
        <f t="shared" ca="1" si="31"/>
        <v>1</v>
      </c>
      <c r="K431" s="17">
        <f>YEAR('Data Analysis Addin'!$A431)</f>
        <v>2022</v>
      </c>
    </row>
    <row r="432" spans="1:11" x14ac:dyDescent="0.4">
      <c r="A432" s="18">
        <v>44761</v>
      </c>
      <c r="B432" s="9">
        <v>392.27</v>
      </c>
      <c r="C432" s="11">
        <f t="shared" si="28"/>
        <v>391.48460000000006</v>
      </c>
      <c r="D432" s="11">
        <f t="shared" si="32"/>
        <v>434.94109999999966</v>
      </c>
      <c r="E432" s="9"/>
      <c r="F432" s="9"/>
      <c r="G432" s="9">
        <f t="shared" ca="1" si="29"/>
        <v>391.48460000000006</v>
      </c>
      <c r="H432" s="9">
        <f t="shared" ca="1" si="30"/>
        <v>434.94109999999966</v>
      </c>
      <c r="I432" s="12">
        <f ca="1">IF(AND('Data Analysis Addin'!$G432&lt;='Data Analysis Addin'!$H432,G433&gt;H433), 1, 0)</f>
        <v>0</v>
      </c>
      <c r="J432" s="3">
        <f t="shared" ca="1" si="31"/>
        <v>1</v>
      </c>
      <c r="K432" s="19">
        <f>YEAR('Data Analysis Addin'!$A432)</f>
        <v>2022</v>
      </c>
    </row>
    <row r="433" spans="1:11" x14ac:dyDescent="0.4">
      <c r="A433" s="16">
        <v>44762</v>
      </c>
      <c r="B433" s="8">
        <v>394.77</v>
      </c>
      <c r="C433" s="11">
        <f t="shared" si="28"/>
        <v>391.15320000000008</v>
      </c>
      <c r="D433" s="11">
        <f t="shared" si="32"/>
        <v>434.74374999999981</v>
      </c>
      <c r="E433" s="8"/>
      <c r="F433" s="8"/>
      <c r="G433" s="8">
        <f t="shared" ca="1" si="29"/>
        <v>391.15320000000008</v>
      </c>
      <c r="H433" s="8">
        <f t="shared" ca="1" si="30"/>
        <v>434.74374999999981</v>
      </c>
      <c r="I433" s="12">
        <f ca="1">IF(AND('Data Analysis Addin'!$G433&lt;='Data Analysis Addin'!$H433,G434&gt;H434), 1, 0)</f>
        <v>0</v>
      </c>
      <c r="J433" s="2">
        <f t="shared" ca="1" si="31"/>
        <v>1</v>
      </c>
      <c r="K433" s="17">
        <f>YEAR('Data Analysis Addin'!$A433)</f>
        <v>2022</v>
      </c>
    </row>
    <row r="434" spans="1:11" x14ac:dyDescent="0.4">
      <c r="A434" s="18">
        <v>44763</v>
      </c>
      <c r="B434" s="9">
        <v>398.79</v>
      </c>
      <c r="C434" s="11">
        <f t="shared" si="28"/>
        <v>391.1656000000001</v>
      </c>
      <c r="D434" s="11">
        <f t="shared" si="32"/>
        <v>434.5944999999997</v>
      </c>
      <c r="E434" s="9"/>
      <c r="F434" s="9"/>
      <c r="G434" s="9">
        <f t="shared" ca="1" si="29"/>
        <v>391.1656000000001</v>
      </c>
      <c r="H434" s="9">
        <f t="shared" ca="1" si="30"/>
        <v>434.5944999999997</v>
      </c>
      <c r="I434" s="12">
        <f ca="1">IF(AND('Data Analysis Addin'!$G434&lt;='Data Analysis Addin'!$H434,G435&gt;H435), 1, 0)</f>
        <v>0</v>
      </c>
      <c r="J434" s="3">
        <f t="shared" ca="1" si="31"/>
        <v>1</v>
      </c>
      <c r="K434" s="19">
        <f>YEAR('Data Analysis Addin'!$A434)</f>
        <v>2022</v>
      </c>
    </row>
    <row r="435" spans="1:11" x14ac:dyDescent="0.4">
      <c r="A435" s="16">
        <v>44764</v>
      </c>
      <c r="B435" s="8">
        <v>395.09</v>
      </c>
      <c r="C435" s="11">
        <f t="shared" si="28"/>
        <v>391.08560000000011</v>
      </c>
      <c r="D435" s="11">
        <f t="shared" si="32"/>
        <v>434.40444999999971</v>
      </c>
      <c r="E435" s="8"/>
      <c r="F435" s="8"/>
      <c r="G435" s="8">
        <f t="shared" ca="1" si="29"/>
        <v>391.08560000000011</v>
      </c>
      <c r="H435" s="8">
        <f t="shared" ca="1" si="30"/>
        <v>434.40444999999971</v>
      </c>
      <c r="I435" s="12">
        <f ca="1">IF(AND('Data Analysis Addin'!$G435&lt;='Data Analysis Addin'!$H435,G436&gt;H436), 1, 0)</f>
        <v>0</v>
      </c>
      <c r="J435" s="2">
        <f t="shared" ca="1" si="31"/>
        <v>1</v>
      </c>
      <c r="K435" s="17">
        <f>YEAR('Data Analysis Addin'!$A435)</f>
        <v>2022</v>
      </c>
    </row>
    <row r="436" spans="1:11" x14ac:dyDescent="0.4">
      <c r="A436" s="18">
        <v>44767</v>
      </c>
      <c r="B436" s="9">
        <v>395.57</v>
      </c>
      <c r="C436" s="11">
        <f t="shared" ref="C436:C499" si="33">AVERAGE(B387:B436)</f>
        <v>391.14200000000005</v>
      </c>
      <c r="D436" s="11">
        <f t="shared" si="32"/>
        <v>434.20779999999979</v>
      </c>
      <c r="E436" s="9"/>
      <c r="F436" s="9"/>
      <c r="G436" s="9">
        <f t="shared" ca="1" si="29"/>
        <v>391.14200000000005</v>
      </c>
      <c r="H436" s="9">
        <f t="shared" ca="1" si="30"/>
        <v>434.20779999999979</v>
      </c>
      <c r="I436" s="12">
        <f ca="1">IF(AND('Data Analysis Addin'!$G436&lt;='Data Analysis Addin'!$H436,G437&gt;H437), 1, 0)</f>
        <v>0</v>
      </c>
      <c r="J436" s="3">
        <f t="shared" ca="1" si="31"/>
        <v>1</v>
      </c>
      <c r="K436" s="19">
        <f>YEAR('Data Analysis Addin'!$A436)</f>
        <v>2022</v>
      </c>
    </row>
    <row r="437" spans="1:11" x14ac:dyDescent="0.4">
      <c r="A437" s="16">
        <v>44768</v>
      </c>
      <c r="B437" s="8">
        <v>390.89</v>
      </c>
      <c r="C437" s="11">
        <f t="shared" si="33"/>
        <v>391.11300000000006</v>
      </c>
      <c r="D437" s="11">
        <f t="shared" si="32"/>
        <v>433.96894999999972</v>
      </c>
      <c r="E437" s="8"/>
      <c r="F437" s="8"/>
      <c r="G437" s="8">
        <f t="shared" ca="1" si="29"/>
        <v>391.11300000000006</v>
      </c>
      <c r="H437" s="8">
        <f t="shared" ca="1" si="30"/>
        <v>433.96894999999972</v>
      </c>
      <c r="I437" s="12">
        <f ca="1">IF(AND('Data Analysis Addin'!$G437&lt;='Data Analysis Addin'!$H437,G438&gt;H438), 1, 0)</f>
        <v>0</v>
      </c>
      <c r="J437" s="2">
        <f t="shared" ca="1" si="31"/>
        <v>1</v>
      </c>
      <c r="K437" s="17">
        <f>YEAR('Data Analysis Addin'!$A437)</f>
        <v>2022</v>
      </c>
    </row>
    <row r="438" spans="1:11" x14ac:dyDescent="0.4">
      <c r="A438" s="18">
        <v>44769</v>
      </c>
      <c r="B438" s="9">
        <v>401.04</v>
      </c>
      <c r="C438" s="11">
        <f t="shared" si="33"/>
        <v>391.0994</v>
      </c>
      <c r="D438" s="11">
        <f t="shared" si="32"/>
        <v>433.78484999999972</v>
      </c>
      <c r="E438" s="9"/>
      <c r="F438" s="9"/>
      <c r="G438" s="9">
        <f t="shared" ca="1" si="29"/>
        <v>391.0994</v>
      </c>
      <c r="H438" s="9">
        <f t="shared" ca="1" si="30"/>
        <v>433.78484999999972</v>
      </c>
      <c r="I438" s="12">
        <f ca="1">IF(AND('Data Analysis Addin'!$G438&lt;='Data Analysis Addin'!$H438,G439&gt;H439), 1, 0)</f>
        <v>0</v>
      </c>
      <c r="J438" s="3">
        <f t="shared" ca="1" si="31"/>
        <v>1</v>
      </c>
      <c r="K438" s="19">
        <f>YEAR('Data Analysis Addin'!$A438)</f>
        <v>2022</v>
      </c>
    </row>
    <row r="439" spans="1:11" x14ac:dyDescent="0.4">
      <c r="A439" s="16">
        <v>44770</v>
      </c>
      <c r="B439" s="8">
        <v>406.07</v>
      </c>
      <c r="C439" s="11">
        <f t="shared" si="33"/>
        <v>391.21899999999994</v>
      </c>
      <c r="D439" s="11">
        <f t="shared" si="32"/>
        <v>433.64174999999972</v>
      </c>
      <c r="E439" s="8"/>
      <c r="F439" s="8"/>
      <c r="G439" s="8">
        <f t="shared" ca="1" si="29"/>
        <v>391.21899999999994</v>
      </c>
      <c r="H439" s="8">
        <f t="shared" ca="1" si="30"/>
        <v>433.64174999999972</v>
      </c>
      <c r="I439" s="12">
        <f ca="1">IF(AND('Data Analysis Addin'!$G439&lt;='Data Analysis Addin'!$H439,G440&gt;H440), 1, 0)</f>
        <v>0</v>
      </c>
      <c r="J439" s="2">
        <f t="shared" ca="1" si="31"/>
        <v>1</v>
      </c>
      <c r="K439" s="17">
        <f>YEAR('Data Analysis Addin'!$A439)</f>
        <v>2022</v>
      </c>
    </row>
    <row r="440" spans="1:11" x14ac:dyDescent="0.4">
      <c r="A440" s="18">
        <v>44771</v>
      </c>
      <c r="B440" s="9">
        <v>411.99</v>
      </c>
      <c r="C440" s="11">
        <f t="shared" si="33"/>
        <v>391.29239999999999</v>
      </c>
      <c r="D440" s="11">
        <f t="shared" si="32"/>
        <v>433.53359999999969</v>
      </c>
      <c r="E440" s="9"/>
      <c r="F440" s="9"/>
      <c r="G440" s="9">
        <f t="shared" ca="1" si="29"/>
        <v>391.29239999999999</v>
      </c>
      <c r="H440" s="9">
        <f t="shared" ca="1" si="30"/>
        <v>433.53359999999969</v>
      </c>
      <c r="I440" s="12">
        <f ca="1">IF(AND('Data Analysis Addin'!$G440&lt;='Data Analysis Addin'!$H440,G441&gt;H441), 1, 0)</f>
        <v>0</v>
      </c>
      <c r="J440" s="3">
        <f t="shared" ca="1" si="31"/>
        <v>1</v>
      </c>
      <c r="K440" s="19">
        <f>YEAR('Data Analysis Addin'!$A440)</f>
        <v>2022</v>
      </c>
    </row>
    <row r="441" spans="1:11" x14ac:dyDescent="0.4">
      <c r="A441" s="16">
        <v>44774</v>
      </c>
      <c r="B441" s="8">
        <v>410.77</v>
      </c>
      <c r="C441" s="11">
        <f t="shared" si="33"/>
        <v>391.67059999999998</v>
      </c>
      <c r="D441" s="11">
        <f t="shared" si="32"/>
        <v>433.41154999999975</v>
      </c>
      <c r="E441" s="8"/>
      <c r="F441" s="8"/>
      <c r="G441" s="8">
        <f t="shared" ca="1" si="29"/>
        <v>391.67059999999998</v>
      </c>
      <c r="H441" s="8">
        <f t="shared" ca="1" si="30"/>
        <v>433.41154999999975</v>
      </c>
      <c r="I441" s="12">
        <f ca="1">IF(AND('Data Analysis Addin'!$G441&lt;='Data Analysis Addin'!$H441,G442&gt;H442), 1, 0)</f>
        <v>0</v>
      </c>
      <c r="J441" s="2">
        <f t="shared" ca="1" si="31"/>
        <v>1</v>
      </c>
      <c r="K441" s="17">
        <f>YEAR('Data Analysis Addin'!$A441)</f>
        <v>2022</v>
      </c>
    </row>
    <row r="442" spans="1:11" x14ac:dyDescent="0.4">
      <c r="A442" s="18">
        <v>44775</v>
      </c>
      <c r="B442" s="9">
        <v>408.06</v>
      </c>
      <c r="C442" s="11">
        <f t="shared" si="33"/>
        <v>392.04259999999999</v>
      </c>
      <c r="D442" s="11">
        <f t="shared" si="32"/>
        <v>433.23934999999977</v>
      </c>
      <c r="E442" s="9"/>
      <c r="F442" s="9"/>
      <c r="G442" s="9">
        <f t="shared" ca="1" si="29"/>
        <v>392.04259999999999</v>
      </c>
      <c r="H442" s="9">
        <f t="shared" ca="1" si="30"/>
        <v>433.23934999999977</v>
      </c>
      <c r="I442" s="12">
        <f ca="1">IF(AND('Data Analysis Addin'!$G442&lt;='Data Analysis Addin'!$H442,G443&gt;H443), 1, 0)</f>
        <v>0</v>
      </c>
      <c r="J442" s="3">
        <f t="shared" ca="1" si="31"/>
        <v>1</v>
      </c>
      <c r="K442" s="19">
        <f>YEAR('Data Analysis Addin'!$A442)</f>
        <v>2022</v>
      </c>
    </row>
    <row r="443" spans="1:11" x14ac:dyDescent="0.4">
      <c r="A443" s="16">
        <v>44776</v>
      </c>
      <c r="B443" s="8">
        <v>414.45</v>
      </c>
      <c r="C443" s="11">
        <f t="shared" si="33"/>
        <v>392.53899999999999</v>
      </c>
      <c r="D443" s="11">
        <f t="shared" si="32"/>
        <v>433.08224999999976</v>
      </c>
      <c r="E443" s="8"/>
      <c r="F443" s="8"/>
      <c r="G443" s="8">
        <f t="shared" ca="1" si="29"/>
        <v>392.53899999999999</v>
      </c>
      <c r="H443" s="8">
        <f t="shared" ca="1" si="30"/>
        <v>433.08224999999976</v>
      </c>
      <c r="I443" s="12">
        <f ca="1">IF(AND('Data Analysis Addin'!$G443&lt;='Data Analysis Addin'!$H443,G444&gt;H444), 1, 0)</f>
        <v>0</v>
      </c>
      <c r="J443" s="2">
        <f t="shared" ca="1" si="31"/>
        <v>1</v>
      </c>
      <c r="K443" s="17">
        <f>YEAR('Data Analysis Addin'!$A443)</f>
        <v>2022</v>
      </c>
    </row>
    <row r="444" spans="1:11" x14ac:dyDescent="0.4">
      <c r="A444" s="18">
        <v>44777</v>
      </c>
      <c r="B444" s="9">
        <v>414.17</v>
      </c>
      <c r="C444" s="11">
        <f t="shared" si="33"/>
        <v>392.88400000000001</v>
      </c>
      <c r="D444" s="11">
        <f t="shared" si="32"/>
        <v>432.91714999999976</v>
      </c>
      <c r="E444" s="9"/>
      <c r="F444" s="9"/>
      <c r="G444" s="9">
        <f t="shared" ca="1" si="29"/>
        <v>392.88400000000001</v>
      </c>
      <c r="H444" s="9">
        <f t="shared" ca="1" si="30"/>
        <v>432.91714999999976</v>
      </c>
      <c r="I444" s="12">
        <f ca="1">IF(AND('Data Analysis Addin'!$G444&lt;='Data Analysis Addin'!$H444,G445&gt;H445), 1, 0)</f>
        <v>0</v>
      </c>
      <c r="J444" s="3">
        <f t="shared" ca="1" si="31"/>
        <v>1</v>
      </c>
      <c r="K444" s="19">
        <f>YEAR('Data Analysis Addin'!$A444)</f>
        <v>2022</v>
      </c>
    </row>
    <row r="445" spans="1:11" x14ac:dyDescent="0.4">
      <c r="A445" s="16">
        <v>44778</v>
      </c>
      <c r="B445" s="8">
        <v>413.47</v>
      </c>
      <c r="C445" s="11">
        <f t="shared" si="33"/>
        <v>393.27560000000005</v>
      </c>
      <c r="D445" s="11">
        <f t="shared" si="32"/>
        <v>432.73129999999975</v>
      </c>
      <c r="E445" s="8"/>
      <c r="F445" s="8"/>
      <c r="G445" s="8">
        <f t="shared" ca="1" si="29"/>
        <v>393.27560000000005</v>
      </c>
      <c r="H445" s="8">
        <f t="shared" ca="1" si="30"/>
        <v>432.73129999999975</v>
      </c>
      <c r="I445" s="12">
        <f ca="1">IF(AND('Data Analysis Addin'!$G445&lt;='Data Analysis Addin'!$H445,G446&gt;H446), 1, 0)</f>
        <v>0</v>
      </c>
      <c r="J445" s="2">
        <f t="shared" ca="1" si="31"/>
        <v>1</v>
      </c>
      <c r="K445" s="17">
        <f>YEAR('Data Analysis Addin'!$A445)</f>
        <v>2022</v>
      </c>
    </row>
    <row r="446" spans="1:11" x14ac:dyDescent="0.4">
      <c r="A446" s="18">
        <v>44781</v>
      </c>
      <c r="B446" s="9">
        <v>412.99</v>
      </c>
      <c r="C446" s="11">
        <f t="shared" si="33"/>
        <v>393.58800000000002</v>
      </c>
      <c r="D446" s="11">
        <f t="shared" si="32"/>
        <v>432.53419999999977</v>
      </c>
      <c r="E446" s="9"/>
      <c r="F446" s="9"/>
      <c r="G446" s="9">
        <f t="shared" ca="1" si="29"/>
        <v>393.58800000000002</v>
      </c>
      <c r="H446" s="9">
        <f t="shared" ca="1" si="30"/>
        <v>432.53419999999977</v>
      </c>
      <c r="I446" s="12">
        <f ca="1">IF(AND('Data Analysis Addin'!$G446&lt;='Data Analysis Addin'!$H446,G447&gt;H447), 1, 0)</f>
        <v>0</v>
      </c>
      <c r="J446" s="3">
        <f t="shared" ca="1" si="31"/>
        <v>1</v>
      </c>
      <c r="K446" s="19">
        <f>YEAR('Data Analysis Addin'!$A446)</f>
        <v>2022</v>
      </c>
    </row>
    <row r="447" spans="1:11" x14ac:dyDescent="0.4">
      <c r="A447" s="16">
        <v>44782</v>
      </c>
      <c r="B447" s="8">
        <v>411.35</v>
      </c>
      <c r="C447" s="11">
        <f t="shared" si="33"/>
        <v>393.70880000000011</v>
      </c>
      <c r="D447" s="11">
        <f t="shared" si="32"/>
        <v>432.32299999999981</v>
      </c>
      <c r="E447" s="8"/>
      <c r="F447" s="8"/>
      <c r="G447" s="8">
        <f t="shared" ca="1" si="29"/>
        <v>393.70880000000011</v>
      </c>
      <c r="H447" s="8">
        <f t="shared" ca="1" si="30"/>
        <v>432.32299999999981</v>
      </c>
      <c r="I447" s="12">
        <f ca="1">IF(AND('Data Analysis Addin'!$G447&lt;='Data Analysis Addin'!$H447,G448&gt;H448), 1, 0)</f>
        <v>0</v>
      </c>
      <c r="J447" s="2">
        <f t="shared" ca="1" si="31"/>
        <v>1</v>
      </c>
      <c r="K447" s="17">
        <f>YEAR('Data Analysis Addin'!$A447)</f>
        <v>2022</v>
      </c>
    </row>
    <row r="448" spans="1:11" x14ac:dyDescent="0.4">
      <c r="A448" s="18">
        <v>44783</v>
      </c>
      <c r="B448" s="9">
        <v>419.99</v>
      </c>
      <c r="C448" s="11">
        <f t="shared" si="33"/>
        <v>393.80340000000001</v>
      </c>
      <c r="D448" s="11">
        <f t="shared" si="32"/>
        <v>432.15734999999978</v>
      </c>
      <c r="E448" s="9"/>
      <c r="F448" s="9"/>
      <c r="G448" s="9">
        <f t="shared" ca="1" si="29"/>
        <v>393.80340000000001</v>
      </c>
      <c r="H448" s="9">
        <f t="shared" ca="1" si="30"/>
        <v>432.15734999999978</v>
      </c>
      <c r="I448" s="12">
        <f ca="1">IF(AND('Data Analysis Addin'!$G448&lt;='Data Analysis Addin'!$H448,G449&gt;H449), 1, 0)</f>
        <v>0</v>
      </c>
      <c r="J448" s="3">
        <f t="shared" ca="1" si="31"/>
        <v>1</v>
      </c>
      <c r="K448" s="19">
        <f>YEAR('Data Analysis Addin'!$A448)</f>
        <v>2022</v>
      </c>
    </row>
    <row r="449" spans="1:11" x14ac:dyDescent="0.4">
      <c r="A449" s="16">
        <v>44784</v>
      </c>
      <c r="B449" s="8">
        <v>419.99</v>
      </c>
      <c r="C449" s="11">
        <f t="shared" si="33"/>
        <v>393.94460000000004</v>
      </c>
      <c r="D449" s="11">
        <f t="shared" si="32"/>
        <v>431.97954999999985</v>
      </c>
      <c r="E449" s="8"/>
      <c r="F449" s="8"/>
      <c r="G449" s="8">
        <f t="shared" ca="1" si="29"/>
        <v>393.94460000000004</v>
      </c>
      <c r="H449" s="8">
        <f t="shared" ca="1" si="30"/>
        <v>431.97954999999985</v>
      </c>
      <c r="I449" s="12">
        <f ca="1">IF(AND('Data Analysis Addin'!$G449&lt;='Data Analysis Addin'!$H449,G450&gt;H450), 1, 0)</f>
        <v>0</v>
      </c>
      <c r="J449" s="2">
        <f t="shared" ca="1" si="31"/>
        <v>1</v>
      </c>
      <c r="K449" s="17">
        <f>YEAR('Data Analysis Addin'!$A449)</f>
        <v>2022</v>
      </c>
    </row>
    <row r="450" spans="1:11" x14ac:dyDescent="0.4">
      <c r="A450" s="18">
        <v>44785</v>
      </c>
      <c r="B450" s="9">
        <v>427.1</v>
      </c>
      <c r="C450" s="11">
        <f t="shared" si="33"/>
        <v>394.29480000000001</v>
      </c>
      <c r="D450" s="11">
        <f t="shared" si="32"/>
        <v>431.83524999999986</v>
      </c>
      <c r="E450" s="9"/>
      <c r="F450" s="9"/>
      <c r="G450" s="9">
        <f t="shared" ca="1" si="29"/>
        <v>394.29480000000001</v>
      </c>
      <c r="H450" s="9">
        <f t="shared" ca="1" si="30"/>
        <v>431.83524999999986</v>
      </c>
      <c r="I450" s="12">
        <f ca="1">IF(AND('Data Analysis Addin'!$G450&lt;='Data Analysis Addin'!$H450,G451&gt;H451), 1, 0)</f>
        <v>0</v>
      </c>
      <c r="J450" s="3">
        <f t="shared" ca="1" si="31"/>
        <v>1</v>
      </c>
      <c r="K450" s="19">
        <f>YEAR('Data Analysis Addin'!$A450)</f>
        <v>2022</v>
      </c>
    </row>
    <row r="451" spans="1:11" x14ac:dyDescent="0.4">
      <c r="A451" s="16">
        <v>44788</v>
      </c>
      <c r="B451" s="8">
        <v>428.86</v>
      </c>
      <c r="C451" s="11">
        <f t="shared" si="33"/>
        <v>394.52420000000006</v>
      </c>
      <c r="D451" s="11">
        <f t="shared" si="32"/>
        <v>431.70984999999996</v>
      </c>
      <c r="E451" s="8"/>
      <c r="F451" s="8"/>
      <c r="G451" s="8">
        <f t="shared" ref="G451:G514" ca="1" si="34">AVERAGE(OFFSET($B451,0,0,-(MIN(ROW()-ROW($B$3)+1,n_50)),1))</f>
        <v>394.52420000000006</v>
      </c>
      <c r="H451" s="8">
        <f t="shared" ref="H451:H514" ca="1" si="35">AVERAGE(OFFSET($B451,0,0,-(MIN(ROW()-ROW($B$3)+1,n_200)),1))</f>
        <v>431.70984999999996</v>
      </c>
      <c r="I451" s="12">
        <f ca="1">IF(AND('Data Analysis Addin'!$G451&lt;='Data Analysis Addin'!$H451,G452&gt;H452), 1, 0)</f>
        <v>0</v>
      </c>
      <c r="J451" s="2">
        <f t="shared" ref="J451:J514" ca="1" si="36">IF($G451&lt;$H451,1,0)</f>
        <v>1</v>
      </c>
      <c r="K451" s="17">
        <f>YEAR('Data Analysis Addin'!$A451)</f>
        <v>2022</v>
      </c>
    </row>
    <row r="452" spans="1:11" x14ac:dyDescent="0.4">
      <c r="A452" s="18">
        <v>44789</v>
      </c>
      <c r="B452" s="9">
        <v>429.7</v>
      </c>
      <c r="C452" s="11">
        <f t="shared" si="33"/>
        <v>394.90740000000011</v>
      </c>
      <c r="D452" s="11">
        <f t="shared" si="32"/>
        <v>431.56674999999996</v>
      </c>
      <c r="E452" s="9"/>
      <c r="F452" s="9"/>
      <c r="G452" s="9">
        <f t="shared" ca="1" si="34"/>
        <v>394.90740000000011</v>
      </c>
      <c r="H452" s="9">
        <f t="shared" ca="1" si="35"/>
        <v>431.56674999999996</v>
      </c>
      <c r="I452" s="12">
        <f ca="1">IF(AND('Data Analysis Addin'!$G452&lt;='Data Analysis Addin'!$H452,G453&gt;H453), 1, 0)</f>
        <v>0</v>
      </c>
      <c r="J452" s="3">
        <f t="shared" ca="1" si="36"/>
        <v>1</v>
      </c>
      <c r="K452" s="19">
        <f>YEAR('Data Analysis Addin'!$A452)</f>
        <v>2022</v>
      </c>
    </row>
    <row r="453" spans="1:11" x14ac:dyDescent="0.4">
      <c r="A453" s="16">
        <v>44790</v>
      </c>
      <c r="B453" s="8">
        <v>426.65</v>
      </c>
      <c r="C453" s="11">
        <f t="shared" si="33"/>
        <v>395.20460000000008</v>
      </c>
      <c r="D453" s="11">
        <f t="shared" si="32"/>
        <v>431.40374999999995</v>
      </c>
      <c r="E453" s="8"/>
      <c r="F453" s="8"/>
      <c r="G453" s="8">
        <f t="shared" ca="1" si="34"/>
        <v>395.20460000000008</v>
      </c>
      <c r="H453" s="8">
        <f t="shared" ca="1" si="35"/>
        <v>431.40374999999995</v>
      </c>
      <c r="I453" s="12">
        <f ca="1">IF(AND('Data Analysis Addin'!$G453&lt;='Data Analysis Addin'!$H453,G454&gt;H454), 1, 0)</f>
        <v>0</v>
      </c>
      <c r="J453" s="2">
        <f t="shared" ca="1" si="36"/>
        <v>1</v>
      </c>
      <c r="K453" s="17">
        <f>YEAR('Data Analysis Addin'!$A453)</f>
        <v>2022</v>
      </c>
    </row>
    <row r="454" spans="1:11" x14ac:dyDescent="0.4">
      <c r="A454" s="18">
        <v>44791</v>
      </c>
      <c r="B454" s="9">
        <v>427.89</v>
      </c>
      <c r="C454" s="11">
        <f t="shared" si="33"/>
        <v>395.44760000000008</v>
      </c>
      <c r="D454" s="11">
        <f t="shared" si="32"/>
        <v>431.24299999999994</v>
      </c>
      <c r="E454" s="9"/>
      <c r="F454" s="9"/>
      <c r="G454" s="9">
        <f t="shared" ca="1" si="34"/>
        <v>395.44760000000008</v>
      </c>
      <c r="H454" s="9">
        <f t="shared" ca="1" si="35"/>
        <v>431.24299999999994</v>
      </c>
      <c r="I454" s="12">
        <f ca="1">IF(AND('Data Analysis Addin'!$G454&lt;='Data Analysis Addin'!$H454,G455&gt;H455), 1, 0)</f>
        <v>0</v>
      </c>
      <c r="J454" s="3">
        <f t="shared" ca="1" si="36"/>
        <v>1</v>
      </c>
      <c r="K454" s="19">
        <f>YEAR('Data Analysis Addin'!$A454)</f>
        <v>2022</v>
      </c>
    </row>
    <row r="455" spans="1:11" x14ac:dyDescent="0.4">
      <c r="A455" s="16">
        <v>44792</v>
      </c>
      <c r="B455" s="8">
        <v>422.14</v>
      </c>
      <c r="C455" s="11">
        <f t="shared" si="33"/>
        <v>395.66600000000005</v>
      </c>
      <c r="D455" s="11">
        <f t="shared" si="32"/>
        <v>431.04419999999999</v>
      </c>
      <c r="E455" s="8"/>
      <c r="F455" s="8"/>
      <c r="G455" s="8">
        <f t="shared" ca="1" si="34"/>
        <v>395.66600000000005</v>
      </c>
      <c r="H455" s="8">
        <f t="shared" ca="1" si="35"/>
        <v>431.04419999999999</v>
      </c>
      <c r="I455" s="12">
        <f ca="1">IF(AND('Data Analysis Addin'!$G455&lt;='Data Analysis Addin'!$H455,G456&gt;H456), 1, 0)</f>
        <v>0</v>
      </c>
      <c r="J455" s="2">
        <f t="shared" ca="1" si="36"/>
        <v>1</v>
      </c>
      <c r="K455" s="17">
        <f>YEAR('Data Analysis Addin'!$A455)</f>
        <v>2022</v>
      </c>
    </row>
    <row r="456" spans="1:11" x14ac:dyDescent="0.4">
      <c r="A456" s="18">
        <v>44795</v>
      </c>
      <c r="B456" s="9">
        <v>413.35</v>
      </c>
      <c r="C456" s="11">
        <f t="shared" si="33"/>
        <v>395.90420000000006</v>
      </c>
      <c r="D456" s="11">
        <f t="shared" si="32"/>
        <v>430.78735</v>
      </c>
      <c r="E456" s="9"/>
      <c r="F456" s="9"/>
      <c r="G456" s="9">
        <f t="shared" ca="1" si="34"/>
        <v>395.90420000000006</v>
      </c>
      <c r="H456" s="9">
        <f t="shared" ca="1" si="35"/>
        <v>430.78735</v>
      </c>
      <c r="I456" s="12">
        <f ca="1">IF(AND('Data Analysis Addin'!$G456&lt;='Data Analysis Addin'!$H456,G457&gt;H457), 1, 0)</f>
        <v>0</v>
      </c>
      <c r="J456" s="3">
        <f t="shared" ca="1" si="36"/>
        <v>1</v>
      </c>
      <c r="K456" s="19">
        <f>YEAR('Data Analysis Addin'!$A456)</f>
        <v>2022</v>
      </c>
    </row>
    <row r="457" spans="1:11" x14ac:dyDescent="0.4">
      <c r="A457" s="16">
        <v>44796</v>
      </c>
      <c r="B457" s="8">
        <v>412.35</v>
      </c>
      <c r="C457" s="11">
        <f t="shared" si="33"/>
        <v>396.35519999999997</v>
      </c>
      <c r="D457" s="11">
        <f t="shared" si="32"/>
        <v>430.51455000000004</v>
      </c>
      <c r="E457" s="8"/>
      <c r="F457" s="8"/>
      <c r="G457" s="8">
        <f t="shared" ca="1" si="34"/>
        <v>396.35519999999997</v>
      </c>
      <c r="H457" s="8">
        <f t="shared" ca="1" si="35"/>
        <v>430.51455000000004</v>
      </c>
      <c r="I457" s="12">
        <f ca="1">IF(AND('Data Analysis Addin'!$G457&lt;='Data Analysis Addin'!$H457,G458&gt;H458), 1, 0)</f>
        <v>0</v>
      </c>
      <c r="J457" s="2">
        <f t="shared" ca="1" si="36"/>
        <v>1</v>
      </c>
      <c r="K457" s="17">
        <f>YEAR('Data Analysis Addin'!$A457)</f>
        <v>2022</v>
      </c>
    </row>
    <row r="458" spans="1:11" x14ac:dyDescent="0.4">
      <c r="A458" s="18">
        <v>44797</v>
      </c>
      <c r="B458" s="9">
        <v>413.67</v>
      </c>
      <c r="C458" s="11">
        <f t="shared" si="33"/>
        <v>397.12859999999995</v>
      </c>
      <c r="D458" s="11">
        <f t="shared" ref="D458:D521" si="37">AVERAGE(B259:B458)</f>
        <v>430.24025</v>
      </c>
      <c r="E458" s="9"/>
      <c r="F458" s="9"/>
      <c r="G458" s="9">
        <f t="shared" ca="1" si="34"/>
        <v>397.12859999999995</v>
      </c>
      <c r="H458" s="9">
        <f t="shared" ca="1" si="35"/>
        <v>430.24025</v>
      </c>
      <c r="I458" s="12">
        <f ca="1">IF(AND('Data Analysis Addin'!$G458&lt;='Data Analysis Addin'!$H458,G459&gt;H459), 1, 0)</f>
        <v>0</v>
      </c>
      <c r="J458" s="3">
        <f t="shared" ca="1" si="36"/>
        <v>1</v>
      </c>
      <c r="K458" s="19">
        <f>YEAR('Data Analysis Addin'!$A458)</f>
        <v>2022</v>
      </c>
    </row>
    <row r="459" spans="1:11" x14ac:dyDescent="0.4">
      <c r="A459" s="16">
        <v>44798</v>
      </c>
      <c r="B459" s="8">
        <v>419.51</v>
      </c>
      <c r="C459" s="11">
        <f t="shared" si="33"/>
        <v>398.0413999999999</v>
      </c>
      <c r="D459" s="11">
        <f t="shared" si="37"/>
        <v>429.99315000000001</v>
      </c>
      <c r="E459" s="8"/>
      <c r="F459" s="8"/>
      <c r="G459" s="8">
        <f t="shared" ca="1" si="34"/>
        <v>398.0413999999999</v>
      </c>
      <c r="H459" s="8">
        <f t="shared" ca="1" si="35"/>
        <v>429.99315000000001</v>
      </c>
      <c r="I459" s="12">
        <f ca="1">IF(AND('Data Analysis Addin'!$G459&lt;='Data Analysis Addin'!$H459,G460&gt;H460), 1, 0)</f>
        <v>0</v>
      </c>
      <c r="J459" s="2">
        <f t="shared" ca="1" si="36"/>
        <v>1</v>
      </c>
      <c r="K459" s="17">
        <f>YEAR('Data Analysis Addin'!$A459)</f>
        <v>2022</v>
      </c>
    </row>
    <row r="460" spans="1:11" x14ac:dyDescent="0.4">
      <c r="A460" s="18">
        <v>44799</v>
      </c>
      <c r="B460" s="9">
        <v>405.31</v>
      </c>
      <c r="C460" s="11">
        <f t="shared" si="33"/>
        <v>398.56359999999995</v>
      </c>
      <c r="D460" s="11">
        <f t="shared" si="37"/>
        <v>429.68279999999999</v>
      </c>
      <c r="E460" s="9"/>
      <c r="F460" s="9"/>
      <c r="G460" s="9">
        <f t="shared" ca="1" si="34"/>
        <v>398.56359999999995</v>
      </c>
      <c r="H460" s="9">
        <f t="shared" ca="1" si="35"/>
        <v>429.68279999999999</v>
      </c>
      <c r="I460" s="12">
        <f ca="1">IF(AND('Data Analysis Addin'!$G460&lt;='Data Analysis Addin'!$H460,G461&gt;H461), 1, 0)</f>
        <v>0</v>
      </c>
      <c r="J460" s="3">
        <f t="shared" ca="1" si="36"/>
        <v>1</v>
      </c>
      <c r="K460" s="19">
        <f>YEAR('Data Analysis Addin'!$A460)</f>
        <v>2022</v>
      </c>
    </row>
    <row r="461" spans="1:11" x14ac:dyDescent="0.4">
      <c r="A461" s="16">
        <v>44802</v>
      </c>
      <c r="B461" s="8">
        <v>402.63</v>
      </c>
      <c r="C461" s="11">
        <f t="shared" si="33"/>
        <v>399.28320000000002</v>
      </c>
      <c r="D461" s="11">
        <f t="shared" si="37"/>
        <v>429.37785000000008</v>
      </c>
      <c r="E461" s="8"/>
      <c r="F461" s="8"/>
      <c r="G461" s="8">
        <f t="shared" ca="1" si="34"/>
        <v>399.28320000000002</v>
      </c>
      <c r="H461" s="8">
        <f t="shared" ca="1" si="35"/>
        <v>429.37785000000008</v>
      </c>
      <c r="I461" s="12">
        <f ca="1">IF(AND('Data Analysis Addin'!$G461&lt;='Data Analysis Addin'!$H461,G462&gt;H462), 1, 0)</f>
        <v>0</v>
      </c>
      <c r="J461" s="2">
        <f t="shared" ca="1" si="36"/>
        <v>1</v>
      </c>
      <c r="K461" s="17">
        <f>YEAR('Data Analysis Addin'!$A461)</f>
        <v>2022</v>
      </c>
    </row>
    <row r="462" spans="1:11" x14ac:dyDescent="0.4">
      <c r="A462" s="18">
        <v>44803</v>
      </c>
      <c r="B462" s="9">
        <v>398.21</v>
      </c>
      <c r="C462" s="11">
        <f t="shared" si="33"/>
        <v>399.93019999999996</v>
      </c>
      <c r="D462" s="11">
        <f t="shared" si="37"/>
        <v>429.05005000000011</v>
      </c>
      <c r="E462" s="9"/>
      <c r="F462" s="9"/>
      <c r="G462" s="9">
        <f t="shared" ca="1" si="34"/>
        <v>399.93019999999996</v>
      </c>
      <c r="H462" s="9">
        <f t="shared" ca="1" si="35"/>
        <v>429.05005000000011</v>
      </c>
      <c r="I462" s="12">
        <f ca="1">IF(AND('Data Analysis Addin'!$G462&lt;='Data Analysis Addin'!$H462,G463&gt;H463), 1, 0)</f>
        <v>0</v>
      </c>
      <c r="J462" s="3">
        <f t="shared" ca="1" si="36"/>
        <v>1</v>
      </c>
      <c r="K462" s="19">
        <f>YEAR('Data Analysis Addin'!$A462)</f>
        <v>2022</v>
      </c>
    </row>
    <row r="463" spans="1:11" x14ac:dyDescent="0.4">
      <c r="A463" s="16">
        <v>44804</v>
      </c>
      <c r="B463" s="8">
        <v>395.18</v>
      </c>
      <c r="C463" s="11">
        <f t="shared" si="33"/>
        <v>400.33239999999989</v>
      </c>
      <c r="D463" s="11">
        <f t="shared" si="37"/>
        <v>428.68960000000004</v>
      </c>
      <c r="E463" s="8"/>
      <c r="F463" s="8"/>
      <c r="G463" s="8">
        <f t="shared" ca="1" si="34"/>
        <v>400.33239999999989</v>
      </c>
      <c r="H463" s="8">
        <f t="shared" ca="1" si="35"/>
        <v>428.68960000000004</v>
      </c>
      <c r="I463" s="12">
        <f ca="1">IF(AND('Data Analysis Addin'!$G463&lt;='Data Analysis Addin'!$H463,G464&gt;H464), 1, 0)</f>
        <v>0</v>
      </c>
      <c r="J463" s="2">
        <f t="shared" ca="1" si="36"/>
        <v>1</v>
      </c>
      <c r="K463" s="17">
        <f>YEAR('Data Analysis Addin'!$A463)</f>
        <v>2022</v>
      </c>
    </row>
    <row r="464" spans="1:11" x14ac:dyDescent="0.4">
      <c r="A464" s="18">
        <v>44805</v>
      </c>
      <c r="B464" s="9">
        <v>396.42</v>
      </c>
      <c r="C464" s="11">
        <f t="shared" si="33"/>
        <v>400.77299999999991</v>
      </c>
      <c r="D464" s="11">
        <f t="shared" si="37"/>
        <v>428.33455000000009</v>
      </c>
      <c r="E464" s="9"/>
      <c r="F464" s="9"/>
      <c r="G464" s="9">
        <f t="shared" ca="1" si="34"/>
        <v>400.77299999999991</v>
      </c>
      <c r="H464" s="9">
        <f t="shared" ca="1" si="35"/>
        <v>428.33455000000009</v>
      </c>
      <c r="I464" s="12">
        <f ca="1">IF(AND('Data Analysis Addin'!$G464&lt;='Data Analysis Addin'!$H464,G465&gt;H465), 1, 0)</f>
        <v>0</v>
      </c>
      <c r="J464" s="3">
        <f t="shared" ca="1" si="36"/>
        <v>1</v>
      </c>
      <c r="K464" s="19">
        <f>YEAR('Data Analysis Addin'!$A464)</f>
        <v>2022</v>
      </c>
    </row>
    <row r="465" spans="1:11" x14ac:dyDescent="0.4">
      <c r="A465" s="16">
        <v>44806</v>
      </c>
      <c r="B465" s="8">
        <v>392.24</v>
      </c>
      <c r="C465" s="11">
        <f t="shared" si="33"/>
        <v>401.05659999999995</v>
      </c>
      <c r="D465" s="11">
        <f t="shared" si="37"/>
        <v>427.94935000000004</v>
      </c>
      <c r="E465" s="8"/>
      <c r="F465" s="8"/>
      <c r="G465" s="8">
        <f t="shared" ca="1" si="34"/>
        <v>401.05659999999995</v>
      </c>
      <c r="H465" s="8">
        <f t="shared" ca="1" si="35"/>
        <v>427.94935000000004</v>
      </c>
      <c r="I465" s="12">
        <f ca="1">IF(AND('Data Analysis Addin'!$G465&lt;='Data Analysis Addin'!$H465,G466&gt;H466), 1, 0)</f>
        <v>0</v>
      </c>
      <c r="J465" s="2">
        <f t="shared" ca="1" si="36"/>
        <v>1</v>
      </c>
      <c r="K465" s="17">
        <f>YEAR('Data Analysis Addin'!$A465)</f>
        <v>2022</v>
      </c>
    </row>
    <row r="466" spans="1:11" x14ac:dyDescent="0.4">
      <c r="A466" s="18">
        <v>44810</v>
      </c>
      <c r="B466" s="9">
        <v>390.76</v>
      </c>
      <c r="C466" s="11">
        <f t="shared" si="33"/>
        <v>401.07019999999994</v>
      </c>
      <c r="D466" s="11">
        <f t="shared" si="37"/>
        <v>427.56245000000001</v>
      </c>
      <c r="E466" s="9"/>
      <c r="F466" s="9"/>
      <c r="G466" s="9">
        <f t="shared" ca="1" si="34"/>
        <v>401.07019999999994</v>
      </c>
      <c r="H466" s="9">
        <f t="shared" ca="1" si="35"/>
        <v>427.56245000000001</v>
      </c>
      <c r="I466" s="12">
        <f ca="1">IF(AND('Data Analysis Addin'!$G466&lt;='Data Analysis Addin'!$H466,G467&gt;H467), 1, 0)</f>
        <v>0</v>
      </c>
      <c r="J466" s="3">
        <f t="shared" ca="1" si="36"/>
        <v>1</v>
      </c>
      <c r="K466" s="19">
        <f>YEAR('Data Analysis Addin'!$A466)</f>
        <v>2022</v>
      </c>
    </row>
    <row r="467" spans="1:11" x14ac:dyDescent="0.4">
      <c r="A467" s="16">
        <v>44811</v>
      </c>
      <c r="B467" s="8">
        <v>397.78</v>
      </c>
      <c r="C467" s="11">
        <f t="shared" si="33"/>
        <v>401.25399999999996</v>
      </c>
      <c r="D467" s="11">
        <f t="shared" si="37"/>
        <v>427.20270000000005</v>
      </c>
      <c r="E467" s="8"/>
      <c r="F467" s="8"/>
      <c r="G467" s="8">
        <f t="shared" ca="1" si="34"/>
        <v>401.25399999999996</v>
      </c>
      <c r="H467" s="8">
        <f t="shared" ca="1" si="35"/>
        <v>427.20270000000005</v>
      </c>
      <c r="I467" s="12">
        <f ca="1">IF(AND('Data Analysis Addin'!$G467&lt;='Data Analysis Addin'!$H467,G468&gt;H468), 1, 0)</f>
        <v>0</v>
      </c>
      <c r="J467" s="2">
        <f t="shared" ca="1" si="36"/>
        <v>1</v>
      </c>
      <c r="K467" s="17">
        <f>YEAR('Data Analysis Addin'!$A467)</f>
        <v>2022</v>
      </c>
    </row>
    <row r="468" spans="1:11" x14ac:dyDescent="0.4">
      <c r="A468" s="18">
        <v>44812</v>
      </c>
      <c r="B468" s="9">
        <v>400.38</v>
      </c>
      <c r="C468" s="11">
        <f t="shared" si="33"/>
        <v>401.64859999999999</v>
      </c>
      <c r="D468" s="11">
        <f t="shared" si="37"/>
        <v>426.86015000000009</v>
      </c>
      <c r="E468" s="9"/>
      <c r="F468" s="9"/>
      <c r="G468" s="9">
        <f t="shared" ca="1" si="34"/>
        <v>401.64859999999999</v>
      </c>
      <c r="H468" s="9">
        <f t="shared" ca="1" si="35"/>
        <v>426.86015000000009</v>
      </c>
      <c r="I468" s="12">
        <f ca="1">IF(AND('Data Analysis Addin'!$G468&lt;='Data Analysis Addin'!$H468,G469&gt;H469), 1, 0)</f>
        <v>0</v>
      </c>
      <c r="J468" s="3">
        <f t="shared" ca="1" si="36"/>
        <v>1</v>
      </c>
      <c r="K468" s="19">
        <f>YEAR('Data Analysis Addin'!$A468)</f>
        <v>2022</v>
      </c>
    </row>
    <row r="469" spans="1:11" x14ac:dyDescent="0.4">
      <c r="A469" s="16">
        <v>44813</v>
      </c>
      <c r="B469" s="8">
        <v>406.6</v>
      </c>
      <c r="C469" s="11">
        <f t="shared" si="33"/>
        <v>402.17379999999997</v>
      </c>
      <c r="D469" s="11">
        <f t="shared" si="37"/>
        <v>426.55530000000016</v>
      </c>
      <c r="E469" s="8"/>
      <c r="F469" s="8"/>
      <c r="G469" s="8">
        <f t="shared" ca="1" si="34"/>
        <v>402.17379999999997</v>
      </c>
      <c r="H469" s="8">
        <f t="shared" ca="1" si="35"/>
        <v>426.55530000000016</v>
      </c>
      <c r="I469" s="12">
        <f ca="1">IF(AND('Data Analysis Addin'!$G469&lt;='Data Analysis Addin'!$H469,G470&gt;H470), 1, 0)</f>
        <v>0</v>
      </c>
      <c r="J469" s="2">
        <f t="shared" ca="1" si="36"/>
        <v>1</v>
      </c>
      <c r="K469" s="17">
        <f>YEAR('Data Analysis Addin'!$A469)</f>
        <v>2022</v>
      </c>
    </row>
    <row r="470" spans="1:11" x14ac:dyDescent="0.4">
      <c r="A470" s="18">
        <v>44816</v>
      </c>
      <c r="B470" s="9">
        <v>410.97</v>
      </c>
      <c r="C470" s="11">
        <f t="shared" si="33"/>
        <v>402.84819999999991</v>
      </c>
      <c r="D470" s="11">
        <f t="shared" si="37"/>
        <v>426.26920000000007</v>
      </c>
      <c r="E470" s="9"/>
      <c r="F470" s="9"/>
      <c r="G470" s="9">
        <f t="shared" ca="1" si="34"/>
        <v>402.84819999999991</v>
      </c>
      <c r="H470" s="9">
        <f t="shared" ca="1" si="35"/>
        <v>426.26920000000007</v>
      </c>
      <c r="I470" s="12">
        <f ca="1">IF(AND('Data Analysis Addin'!$G470&lt;='Data Analysis Addin'!$H470,G471&gt;H471), 1, 0)</f>
        <v>0</v>
      </c>
      <c r="J470" s="3">
        <f t="shared" ca="1" si="36"/>
        <v>1</v>
      </c>
      <c r="K470" s="19">
        <f>YEAR('Data Analysis Addin'!$A470)</f>
        <v>2022</v>
      </c>
    </row>
    <row r="471" spans="1:11" x14ac:dyDescent="0.4">
      <c r="A471" s="16">
        <v>44817</v>
      </c>
      <c r="B471" s="8">
        <v>393.1</v>
      </c>
      <c r="C471" s="11">
        <f t="shared" si="33"/>
        <v>403.08539999999994</v>
      </c>
      <c r="D471" s="11">
        <f t="shared" si="37"/>
        <v>425.88749999999999</v>
      </c>
      <c r="E471" s="8"/>
      <c r="F471" s="8"/>
      <c r="G471" s="8">
        <f t="shared" ca="1" si="34"/>
        <v>403.08539999999994</v>
      </c>
      <c r="H471" s="8">
        <f t="shared" ca="1" si="35"/>
        <v>425.88749999999999</v>
      </c>
      <c r="I471" s="12">
        <f ca="1">IF(AND('Data Analysis Addin'!$G471&lt;='Data Analysis Addin'!$H471,G472&gt;H472), 1, 0)</f>
        <v>0</v>
      </c>
      <c r="J471" s="2">
        <f t="shared" ca="1" si="36"/>
        <v>1</v>
      </c>
      <c r="K471" s="17">
        <f>YEAR('Data Analysis Addin'!$A471)</f>
        <v>2022</v>
      </c>
    </row>
    <row r="472" spans="1:11" x14ac:dyDescent="0.4">
      <c r="A472" s="18">
        <v>44818</v>
      </c>
      <c r="B472" s="9">
        <v>394.6</v>
      </c>
      <c r="C472" s="11">
        <f t="shared" si="33"/>
        <v>403.33819999999986</v>
      </c>
      <c r="D472" s="11">
        <f t="shared" si="37"/>
        <v>425.56565000000001</v>
      </c>
      <c r="E472" s="9"/>
      <c r="F472" s="9"/>
      <c r="G472" s="9">
        <f t="shared" ca="1" si="34"/>
        <v>403.33819999999986</v>
      </c>
      <c r="H472" s="9">
        <f t="shared" ca="1" si="35"/>
        <v>425.56565000000001</v>
      </c>
      <c r="I472" s="12">
        <f ca="1">IF(AND('Data Analysis Addin'!$G472&lt;='Data Analysis Addin'!$H472,G473&gt;H473), 1, 0)</f>
        <v>0</v>
      </c>
      <c r="J472" s="3">
        <f t="shared" ca="1" si="36"/>
        <v>1</v>
      </c>
      <c r="K472" s="19">
        <f>YEAR('Data Analysis Addin'!$A472)</f>
        <v>2022</v>
      </c>
    </row>
    <row r="473" spans="1:11" x14ac:dyDescent="0.4">
      <c r="A473" s="16">
        <v>44819</v>
      </c>
      <c r="B473" s="8">
        <v>390.12</v>
      </c>
      <c r="C473" s="11">
        <f t="shared" si="33"/>
        <v>403.47559999999982</v>
      </c>
      <c r="D473" s="11">
        <f t="shared" si="37"/>
        <v>425.19325000000003</v>
      </c>
      <c r="E473" s="8"/>
      <c r="F473" s="8"/>
      <c r="G473" s="8">
        <f t="shared" ca="1" si="34"/>
        <v>403.47559999999982</v>
      </c>
      <c r="H473" s="8">
        <f t="shared" ca="1" si="35"/>
        <v>425.19325000000003</v>
      </c>
      <c r="I473" s="12">
        <f ca="1">IF(AND('Data Analysis Addin'!$G473&lt;='Data Analysis Addin'!$H473,G474&gt;H474), 1, 0)</f>
        <v>0</v>
      </c>
      <c r="J473" s="2">
        <f t="shared" ca="1" si="36"/>
        <v>1</v>
      </c>
      <c r="K473" s="17">
        <f>YEAR('Data Analysis Addin'!$A473)</f>
        <v>2022</v>
      </c>
    </row>
    <row r="474" spans="1:11" x14ac:dyDescent="0.4">
      <c r="A474" s="18">
        <v>44820</v>
      </c>
      <c r="B474" s="9">
        <v>385.56</v>
      </c>
      <c r="C474" s="11">
        <f t="shared" si="33"/>
        <v>403.40699999999993</v>
      </c>
      <c r="D474" s="11">
        <f t="shared" si="37"/>
        <v>424.84324999999995</v>
      </c>
      <c r="E474" s="9"/>
      <c r="F474" s="9"/>
      <c r="G474" s="9">
        <f t="shared" ca="1" si="34"/>
        <v>403.40699999999993</v>
      </c>
      <c r="H474" s="9">
        <f t="shared" ca="1" si="35"/>
        <v>424.84324999999995</v>
      </c>
      <c r="I474" s="12">
        <f ca="1">IF(AND('Data Analysis Addin'!$G474&lt;='Data Analysis Addin'!$H474,G475&gt;H475), 1, 0)</f>
        <v>0</v>
      </c>
      <c r="J474" s="3">
        <f t="shared" ca="1" si="36"/>
        <v>1</v>
      </c>
      <c r="K474" s="19">
        <f>YEAR('Data Analysis Addin'!$A474)</f>
        <v>2022</v>
      </c>
    </row>
    <row r="475" spans="1:11" x14ac:dyDescent="0.4">
      <c r="A475" s="16">
        <v>44823</v>
      </c>
      <c r="B475" s="8">
        <v>388.55</v>
      </c>
      <c r="C475" s="11">
        <f t="shared" si="33"/>
        <v>403.4045999999999</v>
      </c>
      <c r="D475" s="11">
        <f t="shared" si="37"/>
        <v>424.5335</v>
      </c>
      <c r="E475" s="8"/>
      <c r="F475" s="8"/>
      <c r="G475" s="8">
        <f t="shared" ca="1" si="34"/>
        <v>403.4045999999999</v>
      </c>
      <c r="H475" s="8">
        <f t="shared" ca="1" si="35"/>
        <v>424.5335</v>
      </c>
      <c r="I475" s="12">
        <f ca="1">IF(AND('Data Analysis Addin'!$G475&lt;='Data Analysis Addin'!$H475,G476&gt;H476), 1, 0)</f>
        <v>0</v>
      </c>
      <c r="J475" s="2">
        <f t="shared" ca="1" si="36"/>
        <v>1</v>
      </c>
      <c r="K475" s="17">
        <f>YEAR('Data Analysis Addin'!$A475)</f>
        <v>2022</v>
      </c>
    </row>
    <row r="476" spans="1:11" x14ac:dyDescent="0.4">
      <c r="A476" s="18">
        <v>44824</v>
      </c>
      <c r="B476" s="9">
        <v>384.09</v>
      </c>
      <c r="C476" s="11">
        <f t="shared" si="33"/>
        <v>403.40179999999992</v>
      </c>
      <c r="D476" s="11">
        <f t="shared" si="37"/>
        <v>424.16694999999999</v>
      </c>
      <c r="E476" s="9"/>
      <c r="F476" s="9"/>
      <c r="G476" s="9">
        <f t="shared" ca="1" si="34"/>
        <v>403.40179999999992</v>
      </c>
      <c r="H476" s="9">
        <f t="shared" ca="1" si="35"/>
        <v>424.16694999999999</v>
      </c>
      <c r="I476" s="12">
        <f ca="1">IF(AND('Data Analysis Addin'!$G476&lt;='Data Analysis Addin'!$H476,G477&gt;H477), 1, 0)</f>
        <v>0</v>
      </c>
      <c r="J476" s="3">
        <f t="shared" ca="1" si="36"/>
        <v>1</v>
      </c>
      <c r="K476" s="19">
        <f>YEAR('Data Analysis Addin'!$A476)</f>
        <v>2022</v>
      </c>
    </row>
    <row r="477" spans="1:11" x14ac:dyDescent="0.4">
      <c r="A477" s="16">
        <v>44825</v>
      </c>
      <c r="B477" s="8">
        <v>377.39</v>
      </c>
      <c r="C477" s="11">
        <f t="shared" si="33"/>
        <v>403.33299999999997</v>
      </c>
      <c r="D477" s="11">
        <f t="shared" si="37"/>
        <v>423.78680000000003</v>
      </c>
      <c r="E477" s="8"/>
      <c r="F477" s="8"/>
      <c r="G477" s="8">
        <f t="shared" ca="1" si="34"/>
        <v>403.33299999999997</v>
      </c>
      <c r="H477" s="8">
        <f t="shared" ca="1" si="35"/>
        <v>423.78680000000003</v>
      </c>
      <c r="I477" s="12">
        <f ca="1">IF(AND('Data Analysis Addin'!$G477&lt;='Data Analysis Addin'!$H477,G478&gt;H478), 1, 0)</f>
        <v>0</v>
      </c>
      <c r="J477" s="2">
        <f t="shared" ca="1" si="36"/>
        <v>1</v>
      </c>
      <c r="K477" s="17">
        <f>YEAR('Data Analysis Addin'!$A477)</f>
        <v>2022</v>
      </c>
    </row>
    <row r="478" spans="1:11" x14ac:dyDescent="0.4">
      <c r="A478" s="18">
        <v>44826</v>
      </c>
      <c r="B478" s="9">
        <v>374.22</v>
      </c>
      <c r="C478" s="11">
        <f t="shared" si="33"/>
        <v>403.24079999999992</v>
      </c>
      <c r="D478" s="11">
        <f t="shared" si="37"/>
        <v>423.36394999999999</v>
      </c>
      <c r="E478" s="9"/>
      <c r="F478" s="9"/>
      <c r="G478" s="9">
        <f t="shared" ca="1" si="34"/>
        <v>403.24079999999992</v>
      </c>
      <c r="H478" s="9">
        <f t="shared" ca="1" si="35"/>
        <v>423.36394999999999</v>
      </c>
      <c r="I478" s="12">
        <f ca="1">IF(AND('Data Analysis Addin'!$G478&lt;='Data Analysis Addin'!$H478,G479&gt;H479), 1, 0)</f>
        <v>0</v>
      </c>
      <c r="J478" s="3">
        <f t="shared" ca="1" si="36"/>
        <v>1</v>
      </c>
      <c r="K478" s="19">
        <f>YEAR('Data Analysis Addin'!$A478)</f>
        <v>2022</v>
      </c>
    </row>
    <row r="479" spans="1:11" x14ac:dyDescent="0.4">
      <c r="A479" s="16">
        <v>44827</v>
      </c>
      <c r="B479" s="8">
        <v>367.95</v>
      </c>
      <c r="C479" s="11">
        <f t="shared" si="33"/>
        <v>403.04159999999996</v>
      </c>
      <c r="D479" s="11">
        <f t="shared" si="37"/>
        <v>422.86229999999995</v>
      </c>
      <c r="E479" s="8"/>
      <c r="F479" s="8"/>
      <c r="G479" s="8">
        <f t="shared" ca="1" si="34"/>
        <v>403.04159999999996</v>
      </c>
      <c r="H479" s="8">
        <f t="shared" ca="1" si="35"/>
        <v>422.86229999999995</v>
      </c>
      <c r="I479" s="12">
        <f ca="1">IF(AND('Data Analysis Addin'!$G479&lt;='Data Analysis Addin'!$H479,G480&gt;H480), 1, 0)</f>
        <v>0</v>
      </c>
      <c r="J479" s="2">
        <f t="shared" ca="1" si="36"/>
        <v>1</v>
      </c>
      <c r="K479" s="17">
        <f>YEAR('Data Analysis Addin'!$A479)</f>
        <v>2022</v>
      </c>
    </row>
    <row r="480" spans="1:11" x14ac:dyDescent="0.4">
      <c r="A480" s="18">
        <v>44830</v>
      </c>
      <c r="B480" s="9">
        <v>364.31</v>
      </c>
      <c r="C480" s="11">
        <f t="shared" si="33"/>
        <v>402.62519999999995</v>
      </c>
      <c r="D480" s="11">
        <f t="shared" si="37"/>
        <v>422.33624999999995</v>
      </c>
      <c r="E480" s="9"/>
      <c r="F480" s="9"/>
      <c r="G480" s="9">
        <f t="shared" ca="1" si="34"/>
        <v>402.62519999999995</v>
      </c>
      <c r="H480" s="9">
        <f t="shared" ca="1" si="35"/>
        <v>422.33624999999995</v>
      </c>
      <c r="I480" s="12">
        <f ca="1">IF(AND('Data Analysis Addin'!$G480&lt;='Data Analysis Addin'!$H480,G481&gt;H481), 1, 0)</f>
        <v>0</v>
      </c>
      <c r="J480" s="3">
        <f t="shared" ca="1" si="36"/>
        <v>1</v>
      </c>
      <c r="K480" s="19">
        <f>YEAR('Data Analysis Addin'!$A480)</f>
        <v>2022</v>
      </c>
    </row>
    <row r="481" spans="1:11" x14ac:dyDescent="0.4">
      <c r="A481" s="16">
        <v>44831</v>
      </c>
      <c r="B481" s="8">
        <v>363.38</v>
      </c>
      <c r="C481" s="11">
        <f t="shared" si="33"/>
        <v>402.25379999999996</v>
      </c>
      <c r="D481" s="11">
        <f t="shared" si="37"/>
        <v>421.82139999999998</v>
      </c>
      <c r="E481" s="8"/>
      <c r="F481" s="8"/>
      <c r="G481" s="8">
        <f t="shared" ca="1" si="34"/>
        <v>402.25379999999996</v>
      </c>
      <c r="H481" s="8">
        <f t="shared" ca="1" si="35"/>
        <v>421.82139999999998</v>
      </c>
      <c r="I481" s="12">
        <f ca="1">IF(AND('Data Analysis Addin'!$G481&lt;='Data Analysis Addin'!$H481,G482&gt;H482), 1, 0)</f>
        <v>0</v>
      </c>
      <c r="J481" s="2">
        <f t="shared" ca="1" si="36"/>
        <v>1</v>
      </c>
      <c r="K481" s="17">
        <f>YEAR('Data Analysis Addin'!$A481)</f>
        <v>2022</v>
      </c>
    </row>
    <row r="482" spans="1:11" x14ac:dyDescent="0.4">
      <c r="A482" s="18">
        <v>44832</v>
      </c>
      <c r="B482" s="9">
        <v>370.53</v>
      </c>
      <c r="C482" s="11">
        <f t="shared" si="33"/>
        <v>401.81900000000002</v>
      </c>
      <c r="D482" s="11">
        <f t="shared" si="37"/>
        <v>421.32034999999991</v>
      </c>
      <c r="E482" s="9"/>
      <c r="F482" s="9"/>
      <c r="G482" s="9">
        <f t="shared" ca="1" si="34"/>
        <v>401.81900000000002</v>
      </c>
      <c r="H482" s="9">
        <f t="shared" ca="1" si="35"/>
        <v>421.32034999999991</v>
      </c>
      <c r="I482" s="12">
        <f ca="1">IF(AND('Data Analysis Addin'!$G482&lt;='Data Analysis Addin'!$H482,G483&gt;H483), 1, 0)</f>
        <v>0</v>
      </c>
      <c r="J482" s="3">
        <f t="shared" ca="1" si="36"/>
        <v>1</v>
      </c>
      <c r="K482" s="19">
        <f>YEAR('Data Analysis Addin'!$A482)</f>
        <v>2022</v>
      </c>
    </row>
    <row r="483" spans="1:11" x14ac:dyDescent="0.4">
      <c r="A483" s="16">
        <v>44833</v>
      </c>
      <c r="B483" s="8">
        <v>362.79</v>
      </c>
      <c r="C483" s="11">
        <f t="shared" si="33"/>
        <v>401.17940000000004</v>
      </c>
      <c r="D483" s="11">
        <f t="shared" si="37"/>
        <v>420.80144999999982</v>
      </c>
      <c r="E483" s="8"/>
      <c r="F483" s="8"/>
      <c r="G483" s="8">
        <f t="shared" ca="1" si="34"/>
        <v>401.17940000000004</v>
      </c>
      <c r="H483" s="8">
        <f t="shared" ca="1" si="35"/>
        <v>420.80144999999982</v>
      </c>
      <c r="I483" s="12">
        <f ca="1">IF(AND('Data Analysis Addin'!$G483&lt;='Data Analysis Addin'!$H483,G484&gt;H484), 1, 0)</f>
        <v>0</v>
      </c>
      <c r="J483" s="2">
        <f t="shared" ca="1" si="36"/>
        <v>1</v>
      </c>
      <c r="K483" s="17">
        <f>YEAR('Data Analysis Addin'!$A483)</f>
        <v>2022</v>
      </c>
    </row>
    <row r="484" spans="1:11" x14ac:dyDescent="0.4">
      <c r="A484" s="18">
        <v>44834</v>
      </c>
      <c r="B484" s="9">
        <v>357.18</v>
      </c>
      <c r="C484" s="11">
        <f t="shared" si="33"/>
        <v>400.34719999999999</v>
      </c>
      <c r="D484" s="11">
        <f t="shared" si="37"/>
        <v>420.27054999999984</v>
      </c>
      <c r="E484" s="9"/>
      <c r="F484" s="9"/>
      <c r="G484" s="9">
        <f t="shared" ca="1" si="34"/>
        <v>400.34719999999999</v>
      </c>
      <c r="H484" s="9">
        <f t="shared" ca="1" si="35"/>
        <v>420.27054999999984</v>
      </c>
      <c r="I484" s="12">
        <f ca="1">IF(AND('Data Analysis Addin'!$G484&lt;='Data Analysis Addin'!$H484,G485&gt;H485), 1, 0)</f>
        <v>0</v>
      </c>
      <c r="J484" s="3">
        <f t="shared" ca="1" si="36"/>
        <v>1</v>
      </c>
      <c r="K484" s="19">
        <f>YEAR('Data Analysis Addin'!$A484)</f>
        <v>2022</v>
      </c>
    </row>
    <row r="485" spans="1:11" x14ac:dyDescent="0.4">
      <c r="A485" s="16">
        <v>44837</v>
      </c>
      <c r="B485" s="8">
        <v>366.61</v>
      </c>
      <c r="C485" s="11">
        <f t="shared" si="33"/>
        <v>399.77760000000001</v>
      </c>
      <c r="D485" s="11">
        <f t="shared" si="37"/>
        <v>419.75059999999985</v>
      </c>
      <c r="E485" s="8"/>
      <c r="F485" s="8"/>
      <c r="G485" s="8">
        <f t="shared" ca="1" si="34"/>
        <v>399.77760000000001</v>
      </c>
      <c r="H485" s="8">
        <f t="shared" ca="1" si="35"/>
        <v>419.75059999999985</v>
      </c>
      <c r="I485" s="12">
        <f ca="1">IF(AND('Data Analysis Addin'!$G485&lt;='Data Analysis Addin'!$H485,G486&gt;H486), 1, 0)</f>
        <v>0</v>
      </c>
      <c r="J485" s="2">
        <f t="shared" ca="1" si="36"/>
        <v>1</v>
      </c>
      <c r="K485" s="17">
        <f>YEAR('Data Analysis Addin'!$A485)</f>
        <v>2022</v>
      </c>
    </row>
    <row r="486" spans="1:11" x14ac:dyDescent="0.4">
      <c r="A486" s="18">
        <v>44838</v>
      </c>
      <c r="B486" s="9">
        <v>377.97</v>
      </c>
      <c r="C486" s="11">
        <f t="shared" si="33"/>
        <v>399.42560000000014</v>
      </c>
      <c r="D486" s="11">
        <f t="shared" si="37"/>
        <v>419.30819999999977</v>
      </c>
      <c r="E486" s="9"/>
      <c r="F486" s="9"/>
      <c r="G486" s="9">
        <f t="shared" ca="1" si="34"/>
        <v>399.42560000000014</v>
      </c>
      <c r="H486" s="9">
        <f t="shared" ca="1" si="35"/>
        <v>419.30819999999977</v>
      </c>
      <c r="I486" s="12">
        <f ca="1">IF(AND('Data Analysis Addin'!$G486&lt;='Data Analysis Addin'!$H486,G487&gt;H487), 1, 0)</f>
        <v>0</v>
      </c>
      <c r="J486" s="3">
        <f t="shared" ca="1" si="36"/>
        <v>1</v>
      </c>
      <c r="K486" s="19">
        <f>YEAR('Data Analysis Addin'!$A486)</f>
        <v>2022</v>
      </c>
    </row>
    <row r="487" spans="1:11" x14ac:dyDescent="0.4">
      <c r="A487" s="16">
        <v>44839</v>
      </c>
      <c r="B487" s="8">
        <v>377.09</v>
      </c>
      <c r="C487" s="11">
        <f t="shared" si="33"/>
        <v>399.14960000000008</v>
      </c>
      <c r="D487" s="11">
        <f t="shared" si="37"/>
        <v>418.89429999999976</v>
      </c>
      <c r="E487" s="8"/>
      <c r="F487" s="8"/>
      <c r="G487" s="8">
        <f t="shared" ca="1" si="34"/>
        <v>399.14960000000008</v>
      </c>
      <c r="H487" s="8">
        <f t="shared" ca="1" si="35"/>
        <v>418.89429999999976</v>
      </c>
      <c r="I487" s="12">
        <f ca="1">IF(AND('Data Analysis Addin'!$G487&lt;='Data Analysis Addin'!$H487,G488&gt;H488), 1, 0)</f>
        <v>0</v>
      </c>
      <c r="J487" s="2">
        <f t="shared" ca="1" si="36"/>
        <v>1</v>
      </c>
      <c r="K487" s="17">
        <f>YEAR('Data Analysis Addin'!$A487)</f>
        <v>2022</v>
      </c>
    </row>
    <row r="488" spans="1:11" x14ac:dyDescent="0.4">
      <c r="A488" s="18">
        <v>44840</v>
      </c>
      <c r="B488" s="9">
        <v>373.2</v>
      </c>
      <c r="C488" s="11">
        <f t="shared" si="33"/>
        <v>398.59280000000007</v>
      </c>
      <c r="D488" s="11">
        <f t="shared" si="37"/>
        <v>418.4853999999998</v>
      </c>
      <c r="E488" s="9"/>
      <c r="F488" s="9"/>
      <c r="G488" s="9">
        <f t="shared" ca="1" si="34"/>
        <v>398.59280000000007</v>
      </c>
      <c r="H488" s="9">
        <f t="shared" ca="1" si="35"/>
        <v>418.4853999999998</v>
      </c>
      <c r="I488" s="12">
        <f ca="1">IF(AND('Data Analysis Addin'!$G488&lt;='Data Analysis Addin'!$H488,G489&gt;H489), 1, 0)</f>
        <v>0</v>
      </c>
      <c r="J488" s="3">
        <f t="shared" ca="1" si="36"/>
        <v>1</v>
      </c>
      <c r="K488" s="19">
        <f>YEAR('Data Analysis Addin'!$A488)</f>
        <v>2022</v>
      </c>
    </row>
    <row r="489" spans="1:11" x14ac:dyDescent="0.4">
      <c r="A489" s="16">
        <v>44841</v>
      </c>
      <c r="B489" s="8">
        <v>362.79</v>
      </c>
      <c r="C489" s="11">
        <f t="shared" si="33"/>
        <v>397.7272000000001</v>
      </c>
      <c r="D489" s="11">
        <f t="shared" si="37"/>
        <v>417.9840499999998</v>
      </c>
      <c r="E489" s="8"/>
      <c r="F489" s="8"/>
      <c r="G489" s="8">
        <f t="shared" ca="1" si="34"/>
        <v>397.7272000000001</v>
      </c>
      <c r="H489" s="8">
        <f t="shared" ca="1" si="35"/>
        <v>417.9840499999998</v>
      </c>
      <c r="I489" s="12">
        <f ca="1">IF(AND('Data Analysis Addin'!$G489&lt;='Data Analysis Addin'!$H489,G490&gt;H490), 1, 0)</f>
        <v>0</v>
      </c>
      <c r="J489" s="2">
        <f t="shared" ca="1" si="36"/>
        <v>1</v>
      </c>
      <c r="K489" s="17">
        <f>YEAR('Data Analysis Addin'!$A489)</f>
        <v>2022</v>
      </c>
    </row>
    <row r="490" spans="1:11" x14ac:dyDescent="0.4">
      <c r="A490" s="18">
        <v>44844</v>
      </c>
      <c r="B490" s="9">
        <v>360.02</v>
      </c>
      <c r="C490" s="11">
        <f t="shared" si="33"/>
        <v>396.68780000000004</v>
      </c>
      <c r="D490" s="11">
        <f t="shared" si="37"/>
        <v>417.4456999999997</v>
      </c>
      <c r="E490" s="9"/>
      <c r="F490" s="9"/>
      <c r="G490" s="9">
        <f t="shared" ca="1" si="34"/>
        <v>396.68780000000004</v>
      </c>
      <c r="H490" s="9">
        <f t="shared" ca="1" si="35"/>
        <v>417.4456999999997</v>
      </c>
      <c r="I490" s="12">
        <f ca="1">IF(AND('Data Analysis Addin'!$G490&lt;='Data Analysis Addin'!$H490,G491&gt;H491), 1, 0)</f>
        <v>0</v>
      </c>
      <c r="J490" s="3">
        <f t="shared" ca="1" si="36"/>
        <v>1</v>
      </c>
      <c r="K490" s="19">
        <f>YEAR('Data Analysis Addin'!$A490)</f>
        <v>2022</v>
      </c>
    </row>
    <row r="491" spans="1:11" x14ac:dyDescent="0.4">
      <c r="A491" s="16">
        <v>44845</v>
      </c>
      <c r="B491" s="8">
        <v>357.74</v>
      </c>
      <c r="C491" s="11">
        <f t="shared" si="33"/>
        <v>395.62720000000007</v>
      </c>
      <c r="D491" s="11">
        <f t="shared" si="37"/>
        <v>416.88139999999976</v>
      </c>
      <c r="E491" s="8"/>
      <c r="F491" s="8"/>
      <c r="G491" s="8">
        <f t="shared" ca="1" si="34"/>
        <v>395.62720000000007</v>
      </c>
      <c r="H491" s="8">
        <f t="shared" ca="1" si="35"/>
        <v>416.88139999999976</v>
      </c>
      <c r="I491" s="12">
        <f ca="1">IF(AND('Data Analysis Addin'!$G491&lt;='Data Analysis Addin'!$H491,G492&gt;H492), 1, 0)</f>
        <v>0</v>
      </c>
      <c r="J491" s="2">
        <f t="shared" ca="1" si="36"/>
        <v>1</v>
      </c>
      <c r="K491" s="17">
        <f>YEAR('Data Analysis Addin'!$A491)</f>
        <v>2022</v>
      </c>
    </row>
    <row r="492" spans="1:11" x14ac:dyDescent="0.4">
      <c r="A492" s="18">
        <v>44846</v>
      </c>
      <c r="B492" s="9">
        <v>356.56</v>
      </c>
      <c r="C492" s="11">
        <f t="shared" si="33"/>
        <v>394.59720000000016</v>
      </c>
      <c r="D492" s="11">
        <f t="shared" si="37"/>
        <v>416.2778999999997</v>
      </c>
      <c r="E492" s="9"/>
      <c r="F492" s="9"/>
      <c r="G492" s="9">
        <f t="shared" ca="1" si="34"/>
        <v>394.59720000000016</v>
      </c>
      <c r="H492" s="9">
        <f t="shared" ca="1" si="35"/>
        <v>416.2778999999997</v>
      </c>
      <c r="I492" s="12">
        <f ca="1">IF(AND('Data Analysis Addin'!$G492&lt;='Data Analysis Addin'!$H492,G493&gt;H493), 1, 0)</f>
        <v>0</v>
      </c>
      <c r="J492" s="3">
        <f t="shared" ca="1" si="36"/>
        <v>1</v>
      </c>
      <c r="K492" s="19">
        <f>YEAR('Data Analysis Addin'!$A492)</f>
        <v>2022</v>
      </c>
    </row>
    <row r="493" spans="1:11" x14ac:dyDescent="0.4">
      <c r="A493" s="16">
        <v>44847</v>
      </c>
      <c r="B493" s="8">
        <v>365.97</v>
      </c>
      <c r="C493" s="11">
        <f t="shared" si="33"/>
        <v>393.62760000000014</v>
      </c>
      <c r="D493" s="11">
        <f t="shared" si="37"/>
        <v>415.72339999999969</v>
      </c>
      <c r="E493" s="8"/>
      <c r="F493" s="8"/>
      <c r="G493" s="8">
        <f t="shared" ca="1" si="34"/>
        <v>393.62760000000014</v>
      </c>
      <c r="H493" s="8">
        <f t="shared" ca="1" si="35"/>
        <v>415.72339999999969</v>
      </c>
      <c r="I493" s="12">
        <f ca="1">IF(AND('Data Analysis Addin'!$G493&lt;='Data Analysis Addin'!$H493,G494&gt;H494), 1, 0)</f>
        <v>0</v>
      </c>
      <c r="J493" s="2">
        <f t="shared" ca="1" si="36"/>
        <v>1</v>
      </c>
      <c r="K493" s="17">
        <f>YEAR('Data Analysis Addin'!$A493)</f>
        <v>2022</v>
      </c>
    </row>
    <row r="494" spans="1:11" x14ac:dyDescent="0.4">
      <c r="A494" s="18">
        <v>44848</v>
      </c>
      <c r="B494" s="9">
        <v>357.63</v>
      </c>
      <c r="C494" s="11">
        <f t="shared" si="33"/>
        <v>392.49680000000023</v>
      </c>
      <c r="D494" s="11">
        <f t="shared" si="37"/>
        <v>415.12414999999964</v>
      </c>
      <c r="E494" s="9"/>
      <c r="F494" s="9"/>
      <c r="G494" s="9">
        <f t="shared" ca="1" si="34"/>
        <v>392.49680000000023</v>
      </c>
      <c r="H494" s="9">
        <f t="shared" ca="1" si="35"/>
        <v>415.12414999999964</v>
      </c>
      <c r="I494" s="12">
        <f ca="1">IF(AND('Data Analysis Addin'!$G494&lt;='Data Analysis Addin'!$H494,G495&gt;H495), 1, 0)</f>
        <v>0</v>
      </c>
      <c r="J494" s="3">
        <f t="shared" ca="1" si="36"/>
        <v>1</v>
      </c>
      <c r="K494" s="19">
        <f>YEAR('Data Analysis Addin'!$A494)</f>
        <v>2022</v>
      </c>
    </row>
    <row r="495" spans="1:11" x14ac:dyDescent="0.4">
      <c r="A495" s="16">
        <v>44851</v>
      </c>
      <c r="B495" s="8">
        <v>366.82</v>
      </c>
      <c r="C495" s="11">
        <f t="shared" si="33"/>
        <v>391.56380000000019</v>
      </c>
      <c r="D495" s="11">
        <f t="shared" si="37"/>
        <v>414.57744999999966</v>
      </c>
      <c r="E495" s="8"/>
      <c r="F495" s="8"/>
      <c r="G495" s="8">
        <f t="shared" ca="1" si="34"/>
        <v>391.56380000000019</v>
      </c>
      <c r="H495" s="8">
        <f t="shared" ca="1" si="35"/>
        <v>414.57744999999966</v>
      </c>
      <c r="I495" s="12">
        <f ca="1">IF(AND('Data Analysis Addin'!$G495&lt;='Data Analysis Addin'!$H495,G496&gt;H496), 1, 0)</f>
        <v>0</v>
      </c>
      <c r="J495" s="2">
        <f t="shared" ca="1" si="36"/>
        <v>1</v>
      </c>
      <c r="K495" s="17">
        <f>YEAR('Data Analysis Addin'!$A495)</f>
        <v>2022</v>
      </c>
    </row>
    <row r="496" spans="1:11" x14ac:dyDescent="0.4">
      <c r="A496" s="18">
        <v>44852</v>
      </c>
      <c r="B496" s="9">
        <v>371.13</v>
      </c>
      <c r="C496" s="11">
        <f t="shared" si="33"/>
        <v>390.72660000000019</v>
      </c>
      <c r="D496" s="11">
        <f t="shared" si="37"/>
        <v>414.05829999999975</v>
      </c>
      <c r="E496" s="9"/>
      <c r="F496" s="9"/>
      <c r="G496" s="9">
        <f t="shared" ca="1" si="34"/>
        <v>390.72660000000019</v>
      </c>
      <c r="H496" s="9">
        <f t="shared" ca="1" si="35"/>
        <v>414.05829999999975</v>
      </c>
      <c r="I496" s="12">
        <f ca="1">IF(AND('Data Analysis Addin'!$G496&lt;='Data Analysis Addin'!$H496,G497&gt;H497), 1, 0)</f>
        <v>0</v>
      </c>
      <c r="J496" s="3">
        <f t="shared" ca="1" si="36"/>
        <v>1</v>
      </c>
      <c r="K496" s="19">
        <f>YEAR('Data Analysis Addin'!$A496)</f>
        <v>2022</v>
      </c>
    </row>
    <row r="497" spans="1:11" x14ac:dyDescent="0.4">
      <c r="A497" s="16">
        <v>44853</v>
      </c>
      <c r="B497" s="8">
        <v>368.5</v>
      </c>
      <c r="C497" s="11">
        <f t="shared" si="33"/>
        <v>389.86960000000016</v>
      </c>
      <c r="D497" s="11">
        <f t="shared" si="37"/>
        <v>413.51224999999977</v>
      </c>
      <c r="E497" s="8"/>
      <c r="F497" s="8"/>
      <c r="G497" s="8">
        <f t="shared" ca="1" si="34"/>
        <v>389.86960000000016</v>
      </c>
      <c r="H497" s="8">
        <f t="shared" ca="1" si="35"/>
        <v>413.51224999999977</v>
      </c>
      <c r="I497" s="12">
        <f ca="1">IF(AND('Data Analysis Addin'!$G497&lt;='Data Analysis Addin'!$H497,G498&gt;H498), 1, 0)</f>
        <v>0</v>
      </c>
      <c r="J497" s="2">
        <f t="shared" ca="1" si="36"/>
        <v>1</v>
      </c>
      <c r="K497" s="17">
        <f>YEAR('Data Analysis Addin'!$A497)</f>
        <v>2022</v>
      </c>
    </row>
    <row r="498" spans="1:11" x14ac:dyDescent="0.4">
      <c r="A498" s="18">
        <v>44854</v>
      </c>
      <c r="B498" s="9">
        <v>365.41</v>
      </c>
      <c r="C498" s="11">
        <f t="shared" si="33"/>
        <v>388.77800000000019</v>
      </c>
      <c r="D498" s="11">
        <f t="shared" si="37"/>
        <v>412.95154999999977</v>
      </c>
      <c r="E498" s="9"/>
      <c r="F498" s="9"/>
      <c r="G498" s="9">
        <f t="shared" ca="1" si="34"/>
        <v>388.77800000000019</v>
      </c>
      <c r="H498" s="9">
        <f t="shared" ca="1" si="35"/>
        <v>412.95154999999977</v>
      </c>
      <c r="I498" s="12">
        <f ca="1">IF(AND('Data Analysis Addin'!$G498&lt;='Data Analysis Addin'!$H498,G499&gt;H499), 1, 0)</f>
        <v>0</v>
      </c>
      <c r="J498" s="3">
        <f t="shared" ca="1" si="36"/>
        <v>1</v>
      </c>
      <c r="K498" s="19">
        <f>YEAR('Data Analysis Addin'!$A498)</f>
        <v>2022</v>
      </c>
    </row>
    <row r="499" spans="1:11" x14ac:dyDescent="0.4">
      <c r="A499" s="16">
        <v>44855</v>
      </c>
      <c r="B499" s="8">
        <v>374.29</v>
      </c>
      <c r="C499" s="11">
        <f t="shared" si="33"/>
        <v>387.86400000000015</v>
      </c>
      <c r="D499" s="11">
        <f t="shared" si="37"/>
        <v>412.48109999999974</v>
      </c>
      <c r="E499" s="8"/>
      <c r="F499" s="8"/>
      <c r="G499" s="8">
        <f t="shared" ca="1" si="34"/>
        <v>387.86400000000015</v>
      </c>
      <c r="H499" s="8">
        <f t="shared" ca="1" si="35"/>
        <v>412.48109999999974</v>
      </c>
      <c r="I499" s="12">
        <f ca="1">IF(AND('Data Analysis Addin'!$G499&lt;='Data Analysis Addin'!$H499,G500&gt;H500), 1, 0)</f>
        <v>0</v>
      </c>
      <c r="J499" s="2">
        <f t="shared" ca="1" si="36"/>
        <v>1</v>
      </c>
      <c r="K499" s="17">
        <f>YEAR('Data Analysis Addin'!$A499)</f>
        <v>2022</v>
      </c>
    </row>
    <row r="500" spans="1:11" x14ac:dyDescent="0.4">
      <c r="A500" s="18">
        <v>44858</v>
      </c>
      <c r="B500" s="9">
        <v>378.87</v>
      </c>
      <c r="C500" s="11">
        <f t="shared" ref="C500:C563" si="38">AVERAGE(B451:B500)</f>
        <v>386.89940000000007</v>
      </c>
      <c r="D500" s="11">
        <f t="shared" si="37"/>
        <v>412.03574999999967</v>
      </c>
      <c r="E500" s="9"/>
      <c r="F500" s="9"/>
      <c r="G500" s="9">
        <f t="shared" ca="1" si="34"/>
        <v>386.89940000000007</v>
      </c>
      <c r="H500" s="9">
        <f t="shared" ca="1" si="35"/>
        <v>412.03574999999967</v>
      </c>
      <c r="I500" s="12">
        <f ca="1">IF(AND('Data Analysis Addin'!$G500&lt;='Data Analysis Addin'!$H500,G501&gt;H501), 1, 0)</f>
        <v>0</v>
      </c>
      <c r="J500" s="3">
        <f t="shared" ca="1" si="36"/>
        <v>1</v>
      </c>
      <c r="K500" s="19">
        <f>YEAR('Data Analysis Addin'!$A500)</f>
        <v>2022</v>
      </c>
    </row>
    <row r="501" spans="1:11" x14ac:dyDescent="0.4">
      <c r="A501" s="16">
        <v>44859</v>
      </c>
      <c r="B501" s="8">
        <v>384.92</v>
      </c>
      <c r="C501" s="11">
        <f t="shared" si="38"/>
        <v>386.0206</v>
      </c>
      <c r="D501" s="11">
        <f t="shared" si="37"/>
        <v>411.62989999999962</v>
      </c>
      <c r="E501" s="8"/>
      <c r="F501" s="8"/>
      <c r="G501" s="8">
        <f t="shared" ca="1" si="34"/>
        <v>386.0206</v>
      </c>
      <c r="H501" s="8">
        <f t="shared" ca="1" si="35"/>
        <v>411.62989999999962</v>
      </c>
      <c r="I501" s="12">
        <f ca="1">IF(AND('Data Analysis Addin'!$G501&lt;='Data Analysis Addin'!$H501,G502&gt;H502), 1, 0)</f>
        <v>0</v>
      </c>
      <c r="J501" s="2">
        <f t="shared" ca="1" si="36"/>
        <v>1</v>
      </c>
      <c r="K501" s="17">
        <f>YEAR('Data Analysis Addin'!$A501)</f>
        <v>2022</v>
      </c>
    </row>
    <row r="502" spans="1:11" x14ac:dyDescent="0.4">
      <c r="A502" s="18">
        <v>44860</v>
      </c>
      <c r="B502" s="9">
        <v>382.02</v>
      </c>
      <c r="C502" s="11">
        <f t="shared" si="38"/>
        <v>385.06699999999995</v>
      </c>
      <c r="D502" s="11">
        <f t="shared" si="37"/>
        <v>411.21244999999965</v>
      </c>
      <c r="E502" s="9"/>
      <c r="F502" s="9"/>
      <c r="G502" s="9">
        <f t="shared" ca="1" si="34"/>
        <v>385.06699999999995</v>
      </c>
      <c r="H502" s="9">
        <f t="shared" ca="1" si="35"/>
        <v>411.21244999999965</v>
      </c>
      <c r="I502" s="12">
        <f ca="1">IF(AND('Data Analysis Addin'!$G502&lt;='Data Analysis Addin'!$H502,G503&gt;H503), 1, 0)</f>
        <v>0</v>
      </c>
      <c r="J502" s="3">
        <f t="shared" ca="1" si="36"/>
        <v>1</v>
      </c>
      <c r="K502" s="19">
        <f>YEAR('Data Analysis Addin'!$A502)</f>
        <v>2022</v>
      </c>
    </row>
    <row r="503" spans="1:11" x14ac:dyDescent="0.4">
      <c r="A503" s="16">
        <v>44861</v>
      </c>
      <c r="B503" s="8">
        <v>379.98</v>
      </c>
      <c r="C503" s="11">
        <f t="shared" si="38"/>
        <v>384.13359999999994</v>
      </c>
      <c r="D503" s="11">
        <f t="shared" si="37"/>
        <v>410.76359999999971</v>
      </c>
      <c r="E503" s="8"/>
      <c r="F503" s="8"/>
      <c r="G503" s="8">
        <f t="shared" ca="1" si="34"/>
        <v>384.13359999999994</v>
      </c>
      <c r="H503" s="8">
        <f t="shared" ca="1" si="35"/>
        <v>410.76359999999971</v>
      </c>
      <c r="I503" s="12">
        <f ca="1">IF(AND('Data Analysis Addin'!$G503&lt;='Data Analysis Addin'!$H503,G504&gt;H504), 1, 0)</f>
        <v>0</v>
      </c>
      <c r="J503" s="2">
        <f t="shared" ca="1" si="36"/>
        <v>1</v>
      </c>
      <c r="K503" s="17">
        <f>YEAR('Data Analysis Addin'!$A503)</f>
        <v>2022</v>
      </c>
    </row>
    <row r="504" spans="1:11" x14ac:dyDescent="0.4">
      <c r="A504" s="18">
        <v>44862</v>
      </c>
      <c r="B504" s="9">
        <v>389.02</v>
      </c>
      <c r="C504" s="11">
        <f t="shared" si="38"/>
        <v>383.3562</v>
      </c>
      <c r="D504" s="11">
        <f t="shared" si="37"/>
        <v>410.35359999999963</v>
      </c>
      <c r="E504" s="9"/>
      <c r="F504" s="9"/>
      <c r="G504" s="9">
        <f t="shared" ca="1" si="34"/>
        <v>383.3562</v>
      </c>
      <c r="H504" s="9">
        <f t="shared" ca="1" si="35"/>
        <v>410.35359999999963</v>
      </c>
      <c r="I504" s="12">
        <f ca="1">IF(AND('Data Analysis Addin'!$G504&lt;='Data Analysis Addin'!$H504,G505&gt;H505), 1, 0)</f>
        <v>0</v>
      </c>
      <c r="J504" s="3">
        <f t="shared" ca="1" si="36"/>
        <v>1</v>
      </c>
      <c r="K504" s="19">
        <f>YEAR('Data Analysis Addin'!$A504)</f>
        <v>2022</v>
      </c>
    </row>
    <row r="505" spans="1:11" x14ac:dyDescent="0.4">
      <c r="A505" s="16">
        <v>44865</v>
      </c>
      <c r="B505" s="8">
        <v>386.21</v>
      </c>
      <c r="C505" s="11">
        <f t="shared" si="38"/>
        <v>382.63759999999996</v>
      </c>
      <c r="D505" s="11">
        <f t="shared" si="37"/>
        <v>409.9619999999997</v>
      </c>
      <c r="E505" s="8"/>
      <c r="F505" s="8"/>
      <c r="G505" s="8">
        <f t="shared" ca="1" si="34"/>
        <v>382.63759999999996</v>
      </c>
      <c r="H505" s="8">
        <f t="shared" ca="1" si="35"/>
        <v>409.9619999999997</v>
      </c>
      <c r="I505" s="12">
        <f ca="1">IF(AND('Data Analysis Addin'!$G505&lt;='Data Analysis Addin'!$H505,G506&gt;H506), 1, 0)</f>
        <v>0</v>
      </c>
      <c r="J505" s="2">
        <f t="shared" ca="1" si="36"/>
        <v>1</v>
      </c>
      <c r="K505" s="17">
        <f>YEAR('Data Analysis Addin'!$A505)</f>
        <v>2022</v>
      </c>
    </row>
    <row r="506" spans="1:11" x14ac:dyDescent="0.4">
      <c r="A506" s="18">
        <v>44866</v>
      </c>
      <c r="B506" s="9">
        <v>384.52</v>
      </c>
      <c r="C506" s="11">
        <f t="shared" si="38"/>
        <v>382.06099999999998</v>
      </c>
      <c r="D506" s="11">
        <f t="shared" si="37"/>
        <v>409.56099999999969</v>
      </c>
      <c r="E506" s="9"/>
      <c r="F506" s="9"/>
      <c r="G506" s="9">
        <f t="shared" ca="1" si="34"/>
        <v>382.06099999999998</v>
      </c>
      <c r="H506" s="9">
        <f t="shared" ca="1" si="35"/>
        <v>409.56099999999969</v>
      </c>
      <c r="I506" s="12">
        <f ca="1">IF(AND('Data Analysis Addin'!$G506&lt;='Data Analysis Addin'!$H506,G507&gt;H507), 1, 0)</f>
        <v>0</v>
      </c>
      <c r="J506" s="3">
        <f t="shared" ca="1" si="36"/>
        <v>1</v>
      </c>
      <c r="K506" s="19">
        <f>YEAR('Data Analysis Addin'!$A506)</f>
        <v>2022</v>
      </c>
    </row>
    <row r="507" spans="1:11" x14ac:dyDescent="0.4">
      <c r="A507" s="16">
        <v>44867</v>
      </c>
      <c r="B507" s="8">
        <v>374.87</v>
      </c>
      <c r="C507" s="11">
        <f t="shared" si="38"/>
        <v>381.31139999999999</v>
      </c>
      <c r="D507" s="11">
        <f t="shared" si="37"/>
        <v>409.1528999999997</v>
      </c>
      <c r="E507" s="8"/>
      <c r="F507" s="8"/>
      <c r="G507" s="8">
        <f t="shared" ca="1" si="34"/>
        <v>381.31139999999999</v>
      </c>
      <c r="H507" s="8">
        <f t="shared" ca="1" si="35"/>
        <v>409.1528999999997</v>
      </c>
      <c r="I507" s="12">
        <f ca="1">IF(AND('Data Analysis Addin'!$G507&lt;='Data Analysis Addin'!$H507,G508&gt;H508), 1, 0)</f>
        <v>0</v>
      </c>
      <c r="J507" s="2">
        <f t="shared" ca="1" si="36"/>
        <v>1</v>
      </c>
      <c r="K507" s="17">
        <f>YEAR('Data Analysis Addin'!$A507)</f>
        <v>2022</v>
      </c>
    </row>
    <row r="508" spans="1:11" x14ac:dyDescent="0.4">
      <c r="A508" s="18">
        <v>44868</v>
      </c>
      <c r="B508" s="9">
        <v>371.01</v>
      </c>
      <c r="C508" s="11">
        <f t="shared" si="38"/>
        <v>380.45819999999998</v>
      </c>
      <c r="D508" s="11">
        <f t="shared" si="37"/>
        <v>408.74919999999969</v>
      </c>
      <c r="E508" s="9"/>
      <c r="F508" s="9"/>
      <c r="G508" s="9">
        <f t="shared" ca="1" si="34"/>
        <v>380.45819999999998</v>
      </c>
      <c r="H508" s="9">
        <f t="shared" ca="1" si="35"/>
        <v>408.74919999999969</v>
      </c>
      <c r="I508" s="12">
        <f ca="1">IF(AND('Data Analysis Addin'!$G508&lt;='Data Analysis Addin'!$H508,G509&gt;H509), 1, 0)</f>
        <v>0</v>
      </c>
      <c r="J508" s="3">
        <f t="shared" ca="1" si="36"/>
        <v>1</v>
      </c>
      <c r="K508" s="19">
        <f>YEAR('Data Analysis Addin'!$A508)</f>
        <v>2022</v>
      </c>
    </row>
    <row r="509" spans="1:11" x14ac:dyDescent="0.4">
      <c r="A509" s="16">
        <v>44869</v>
      </c>
      <c r="B509" s="8">
        <v>376.35</v>
      </c>
      <c r="C509" s="11">
        <f t="shared" si="38"/>
        <v>379.59500000000003</v>
      </c>
      <c r="D509" s="11">
        <f t="shared" si="37"/>
        <v>408.39719999999977</v>
      </c>
      <c r="E509" s="8"/>
      <c r="F509" s="8"/>
      <c r="G509" s="8">
        <f t="shared" ca="1" si="34"/>
        <v>379.59500000000003</v>
      </c>
      <c r="H509" s="8">
        <f t="shared" ca="1" si="35"/>
        <v>408.39719999999977</v>
      </c>
      <c r="I509" s="12">
        <f ca="1">IF(AND('Data Analysis Addin'!$G509&lt;='Data Analysis Addin'!$H509,G510&gt;H510), 1, 0)</f>
        <v>0</v>
      </c>
      <c r="J509" s="2">
        <f t="shared" ca="1" si="36"/>
        <v>1</v>
      </c>
      <c r="K509" s="17">
        <f>YEAR('Data Analysis Addin'!$A509)</f>
        <v>2022</v>
      </c>
    </row>
    <row r="510" spans="1:11" x14ac:dyDescent="0.4">
      <c r="A510" s="18">
        <v>44872</v>
      </c>
      <c r="B510" s="9">
        <v>379.95</v>
      </c>
      <c r="C510" s="11">
        <f t="shared" si="38"/>
        <v>379.08780000000002</v>
      </c>
      <c r="D510" s="11">
        <f t="shared" si="37"/>
        <v>408.10704999999973</v>
      </c>
      <c r="E510" s="9"/>
      <c r="F510" s="9"/>
      <c r="G510" s="9">
        <f t="shared" ca="1" si="34"/>
        <v>379.08780000000002</v>
      </c>
      <c r="H510" s="9">
        <f t="shared" ca="1" si="35"/>
        <v>408.10704999999973</v>
      </c>
      <c r="I510" s="12">
        <f ca="1">IF(AND('Data Analysis Addin'!$G510&lt;='Data Analysis Addin'!$H510,G511&gt;H511), 1, 0)</f>
        <v>0</v>
      </c>
      <c r="J510" s="3">
        <f t="shared" ca="1" si="36"/>
        <v>1</v>
      </c>
      <c r="K510" s="19">
        <f>YEAR('Data Analysis Addin'!$A510)</f>
        <v>2022</v>
      </c>
    </row>
    <row r="511" spans="1:11" x14ac:dyDescent="0.4">
      <c r="A511" s="16">
        <v>44873</v>
      </c>
      <c r="B511" s="8">
        <v>382</v>
      </c>
      <c r="C511" s="11">
        <f t="shared" si="38"/>
        <v>378.67519999999996</v>
      </c>
      <c r="D511" s="11">
        <f t="shared" si="37"/>
        <v>407.81784999999974</v>
      </c>
      <c r="E511" s="8"/>
      <c r="F511" s="8"/>
      <c r="G511" s="8">
        <f t="shared" ca="1" si="34"/>
        <v>378.67519999999996</v>
      </c>
      <c r="H511" s="8">
        <f t="shared" ca="1" si="35"/>
        <v>407.81784999999974</v>
      </c>
      <c r="I511" s="12">
        <f ca="1">IF(AND('Data Analysis Addin'!$G511&lt;='Data Analysis Addin'!$H511,G512&gt;H512), 1, 0)</f>
        <v>0</v>
      </c>
      <c r="J511" s="2">
        <f t="shared" ca="1" si="36"/>
        <v>1</v>
      </c>
      <c r="K511" s="17">
        <f>YEAR('Data Analysis Addin'!$A511)</f>
        <v>2022</v>
      </c>
    </row>
    <row r="512" spans="1:11" x14ac:dyDescent="0.4">
      <c r="A512" s="18">
        <v>44874</v>
      </c>
      <c r="B512" s="9">
        <v>374.13</v>
      </c>
      <c r="C512" s="11">
        <f t="shared" si="38"/>
        <v>378.19359999999995</v>
      </c>
      <c r="D512" s="11">
        <f t="shared" si="37"/>
        <v>407.5161499999997</v>
      </c>
      <c r="E512" s="9"/>
      <c r="F512" s="9"/>
      <c r="G512" s="9">
        <f t="shared" ca="1" si="34"/>
        <v>378.19359999999995</v>
      </c>
      <c r="H512" s="9">
        <f t="shared" ca="1" si="35"/>
        <v>407.5161499999997</v>
      </c>
      <c r="I512" s="12">
        <f ca="1">IF(AND('Data Analysis Addin'!$G512&lt;='Data Analysis Addin'!$H512,G513&gt;H513), 1, 0)</f>
        <v>0</v>
      </c>
      <c r="J512" s="3">
        <f t="shared" ca="1" si="36"/>
        <v>1</v>
      </c>
      <c r="K512" s="19">
        <f>YEAR('Data Analysis Addin'!$A512)</f>
        <v>2022</v>
      </c>
    </row>
    <row r="513" spans="1:11" x14ac:dyDescent="0.4">
      <c r="A513" s="16">
        <v>44875</v>
      </c>
      <c r="B513" s="8">
        <v>394.69</v>
      </c>
      <c r="C513" s="11">
        <f t="shared" si="38"/>
        <v>378.18379999999996</v>
      </c>
      <c r="D513" s="11">
        <f t="shared" si="37"/>
        <v>407.32269999999977</v>
      </c>
      <c r="E513" s="8"/>
      <c r="F513" s="8"/>
      <c r="G513" s="8">
        <f t="shared" ca="1" si="34"/>
        <v>378.18379999999996</v>
      </c>
      <c r="H513" s="8">
        <f t="shared" ca="1" si="35"/>
        <v>407.32269999999977</v>
      </c>
      <c r="I513" s="12">
        <f ca="1">IF(AND('Data Analysis Addin'!$G513&lt;='Data Analysis Addin'!$H513,G514&gt;H514), 1, 0)</f>
        <v>0</v>
      </c>
      <c r="J513" s="2">
        <f t="shared" ca="1" si="36"/>
        <v>1</v>
      </c>
      <c r="K513" s="17">
        <f>YEAR('Data Analysis Addin'!$A513)</f>
        <v>2022</v>
      </c>
    </row>
    <row r="514" spans="1:11" x14ac:dyDescent="0.4">
      <c r="A514" s="18">
        <v>44876</v>
      </c>
      <c r="B514" s="9">
        <v>398.51</v>
      </c>
      <c r="C514" s="11">
        <f t="shared" si="38"/>
        <v>378.22559999999999</v>
      </c>
      <c r="D514" s="11">
        <f t="shared" si="37"/>
        <v>407.1590499999997</v>
      </c>
      <c r="E514" s="9"/>
      <c r="F514" s="9"/>
      <c r="G514" s="9">
        <f t="shared" ca="1" si="34"/>
        <v>378.22559999999999</v>
      </c>
      <c r="H514" s="9">
        <f t="shared" ca="1" si="35"/>
        <v>407.1590499999997</v>
      </c>
      <c r="I514" s="12">
        <f ca="1">IF(AND('Data Analysis Addin'!$G514&lt;='Data Analysis Addin'!$H514,G515&gt;H515), 1, 0)</f>
        <v>0</v>
      </c>
      <c r="J514" s="3">
        <f t="shared" ca="1" si="36"/>
        <v>1</v>
      </c>
      <c r="K514" s="19">
        <f>YEAR('Data Analysis Addin'!$A514)</f>
        <v>2022</v>
      </c>
    </row>
    <row r="515" spans="1:11" x14ac:dyDescent="0.4">
      <c r="A515" s="16">
        <v>44879</v>
      </c>
      <c r="B515" s="8">
        <v>395.12</v>
      </c>
      <c r="C515" s="11">
        <f t="shared" si="38"/>
        <v>378.28320000000002</v>
      </c>
      <c r="D515" s="11">
        <f t="shared" si="37"/>
        <v>406.9248999999997</v>
      </c>
      <c r="E515" s="8"/>
      <c r="F515" s="8"/>
      <c r="G515" s="8">
        <f t="shared" ref="G515:G578" ca="1" si="39">AVERAGE(OFFSET($B515,0,0,-(MIN(ROW()-ROW($B$3)+1,n_50)),1))</f>
        <v>378.28320000000002</v>
      </c>
      <c r="H515" s="8">
        <f t="shared" ref="H515:H578" ca="1" si="40">AVERAGE(OFFSET($B515,0,0,-(MIN(ROW()-ROW($B$3)+1,n_200)),1))</f>
        <v>406.9248999999997</v>
      </c>
      <c r="I515" s="12">
        <f ca="1">IF(AND('Data Analysis Addin'!$G515&lt;='Data Analysis Addin'!$H515,G516&gt;H516), 1, 0)</f>
        <v>0</v>
      </c>
      <c r="J515" s="2">
        <f t="shared" ref="J515:J578" ca="1" si="41">IF($G515&lt;$H515,1,0)</f>
        <v>1</v>
      </c>
      <c r="K515" s="17">
        <f>YEAR('Data Analysis Addin'!$A515)</f>
        <v>2022</v>
      </c>
    </row>
    <row r="516" spans="1:11" x14ac:dyDescent="0.4">
      <c r="A516" s="18">
        <v>44880</v>
      </c>
      <c r="B516" s="9">
        <v>398.49</v>
      </c>
      <c r="C516" s="11">
        <f t="shared" si="38"/>
        <v>378.43779999999998</v>
      </c>
      <c r="D516" s="11">
        <f t="shared" si="37"/>
        <v>406.66779999999977</v>
      </c>
      <c r="E516" s="9"/>
      <c r="F516" s="9"/>
      <c r="G516" s="9">
        <f t="shared" ca="1" si="39"/>
        <v>378.43779999999998</v>
      </c>
      <c r="H516" s="9">
        <f t="shared" ca="1" si="40"/>
        <v>406.66779999999977</v>
      </c>
      <c r="I516" s="12">
        <f ca="1">IF(AND('Data Analysis Addin'!$G516&lt;='Data Analysis Addin'!$H516,G517&gt;H517), 1, 0)</f>
        <v>0</v>
      </c>
      <c r="J516" s="3">
        <f t="shared" ca="1" si="41"/>
        <v>1</v>
      </c>
      <c r="K516" s="19">
        <f>YEAR('Data Analysis Addin'!$A516)</f>
        <v>2022</v>
      </c>
    </row>
    <row r="517" spans="1:11" x14ac:dyDescent="0.4">
      <c r="A517" s="16">
        <v>44881</v>
      </c>
      <c r="B517" s="8">
        <v>395.45</v>
      </c>
      <c r="C517" s="11">
        <f t="shared" si="38"/>
        <v>378.39120000000003</v>
      </c>
      <c r="D517" s="11">
        <f t="shared" si="37"/>
        <v>406.38029999999975</v>
      </c>
      <c r="E517" s="8"/>
      <c r="F517" s="8"/>
      <c r="G517" s="8">
        <f t="shared" ca="1" si="39"/>
        <v>378.39120000000003</v>
      </c>
      <c r="H517" s="8">
        <f t="shared" ca="1" si="40"/>
        <v>406.38029999999975</v>
      </c>
      <c r="I517" s="12">
        <f ca="1">IF(AND('Data Analysis Addin'!$G517&lt;='Data Analysis Addin'!$H517,G518&gt;H518), 1, 0)</f>
        <v>0</v>
      </c>
      <c r="J517" s="2">
        <f t="shared" ca="1" si="41"/>
        <v>1</v>
      </c>
      <c r="K517" s="17">
        <f>YEAR('Data Analysis Addin'!$A517)</f>
        <v>2022</v>
      </c>
    </row>
    <row r="518" spans="1:11" x14ac:dyDescent="0.4">
      <c r="A518" s="18">
        <v>44882</v>
      </c>
      <c r="B518" s="9">
        <v>394.24</v>
      </c>
      <c r="C518" s="11">
        <f t="shared" si="38"/>
        <v>378.26840000000004</v>
      </c>
      <c r="D518" s="11">
        <f t="shared" si="37"/>
        <v>406.06474999999978</v>
      </c>
      <c r="E518" s="9"/>
      <c r="F518" s="9"/>
      <c r="G518" s="9">
        <f t="shared" ca="1" si="39"/>
        <v>378.26840000000004</v>
      </c>
      <c r="H518" s="9">
        <f t="shared" ca="1" si="40"/>
        <v>406.06474999999978</v>
      </c>
      <c r="I518" s="12">
        <f ca="1">IF(AND('Data Analysis Addin'!$G518&lt;='Data Analysis Addin'!$H518,G519&gt;H519), 1, 0)</f>
        <v>0</v>
      </c>
      <c r="J518" s="3">
        <f t="shared" ca="1" si="41"/>
        <v>1</v>
      </c>
      <c r="K518" s="19">
        <f>YEAR('Data Analysis Addin'!$A518)</f>
        <v>2022</v>
      </c>
    </row>
    <row r="519" spans="1:11" x14ac:dyDescent="0.4">
      <c r="A519" s="16">
        <v>44883</v>
      </c>
      <c r="B519" s="8">
        <v>396.03</v>
      </c>
      <c r="C519" s="11">
        <f t="shared" si="38"/>
        <v>378.05699999999996</v>
      </c>
      <c r="D519" s="11">
        <f t="shared" si="37"/>
        <v>405.81189999999975</v>
      </c>
      <c r="E519" s="8"/>
      <c r="F519" s="8"/>
      <c r="G519" s="8">
        <f t="shared" ca="1" si="39"/>
        <v>378.05699999999996</v>
      </c>
      <c r="H519" s="8">
        <f t="shared" ca="1" si="40"/>
        <v>405.81189999999975</v>
      </c>
      <c r="I519" s="12">
        <f ca="1">IF(AND('Data Analysis Addin'!$G519&lt;='Data Analysis Addin'!$H519,G520&gt;H520), 1, 0)</f>
        <v>0</v>
      </c>
      <c r="J519" s="2">
        <f t="shared" ca="1" si="41"/>
        <v>1</v>
      </c>
      <c r="K519" s="17">
        <f>YEAR('Data Analysis Addin'!$A519)</f>
        <v>2022</v>
      </c>
    </row>
    <row r="520" spans="1:11" x14ac:dyDescent="0.4">
      <c r="A520" s="18">
        <v>44886</v>
      </c>
      <c r="B520" s="9">
        <v>394.59</v>
      </c>
      <c r="C520" s="11">
        <f t="shared" si="38"/>
        <v>377.7294</v>
      </c>
      <c r="D520" s="11">
        <f t="shared" si="37"/>
        <v>405.54134999999974</v>
      </c>
      <c r="E520" s="9"/>
      <c r="F520" s="9"/>
      <c r="G520" s="9">
        <f t="shared" ca="1" si="39"/>
        <v>377.7294</v>
      </c>
      <c r="H520" s="9">
        <f t="shared" ca="1" si="40"/>
        <v>405.54134999999974</v>
      </c>
      <c r="I520" s="12">
        <f ca="1">IF(AND('Data Analysis Addin'!$G520&lt;='Data Analysis Addin'!$H520,G521&gt;H521), 1, 0)</f>
        <v>0</v>
      </c>
      <c r="J520" s="3">
        <f t="shared" ca="1" si="41"/>
        <v>1</v>
      </c>
      <c r="K520" s="19">
        <f>YEAR('Data Analysis Addin'!$A520)</f>
        <v>2022</v>
      </c>
    </row>
    <row r="521" spans="1:11" x14ac:dyDescent="0.4">
      <c r="A521" s="16">
        <v>44887</v>
      </c>
      <c r="B521" s="8">
        <v>399.9</v>
      </c>
      <c r="C521" s="11">
        <f t="shared" si="38"/>
        <v>377.86540000000014</v>
      </c>
      <c r="D521" s="11">
        <f t="shared" si="37"/>
        <v>405.30454999999972</v>
      </c>
      <c r="E521" s="8"/>
      <c r="F521" s="8"/>
      <c r="G521" s="8">
        <f t="shared" ca="1" si="39"/>
        <v>377.86540000000014</v>
      </c>
      <c r="H521" s="8">
        <f t="shared" ca="1" si="40"/>
        <v>405.30454999999972</v>
      </c>
      <c r="I521" s="12">
        <f ca="1">IF(AND('Data Analysis Addin'!$G521&lt;='Data Analysis Addin'!$H521,G522&gt;H522), 1, 0)</f>
        <v>0</v>
      </c>
      <c r="J521" s="2">
        <f t="shared" ca="1" si="41"/>
        <v>1</v>
      </c>
      <c r="K521" s="17">
        <f>YEAR('Data Analysis Addin'!$A521)</f>
        <v>2022</v>
      </c>
    </row>
    <row r="522" spans="1:11" x14ac:dyDescent="0.4">
      <c r="A522" s="18">
        <v>44888</v>
      </c>
      <c r="B522" s="9">
        <v>402.42</v>
      </c>
      <c r="C522" s="11">
        <f t="shared" si="38"/>
        <v>378.02180000000016</v>
      </c>
      <c r="D522" s="11">
        <f t="shared" ref="D522:D585" si="42">AVERAGE(B323:B522)</f>
        <v>405.06194999999963</v>
      </c>
      <c r="E522" s="9"/>
      <c r="F522" s="9"/>
      <c r="G522" s="9">
        <f t="shared" ca="1" si="39"/>
        <v>378.02180000000016</v>
      </c>
      <c r="H522" s="9">
        <f t="shared" ca="1" si="40"/>
        <v>405.06194999999963</v>
      </c>
      <c r="I522" s="12">
        <f ca="1">IF(AND('Data Analysis Addin'!$G522&lt;='Data Analysis Addin'!$H522,G523&gt;H523), 1, 0)</f>
        <v>0</v>
      </c>
      <c r="J522" s="3">
        <f t="shared" ca="1" si="41"/>
        <v>1</v>
      </c>
      <c r="K522" s="19">
        <f>YEAR('Data Analysis Addin'!$A522)</f>
        <v>2022</v>
      </c>
    </row>
    <row r="523" spans="1:11" x14ac:dyDescent="0.4">
      <c r="A523" s="16">
        <v>44890</v>
      </c>
      <c r="B523" s="8">
        <v>402.33</v>
      </c>
      <c r="C523" s="11">
        <f t="shared" si="38"/>
        <v>378.26600000000013</v>
      </c>
      <c r="D523" s="11">
        <f t="shared" si="42"/>
        <v>404.78589999999969</v>
      </c>
      <c r="E523" s="8"/>
      <c r="F523" s="8"/>
      <c r="G523" s="8">
        <f t="shared" ca="1" si="39"/>
        <v>378.26600000000013</v>
      </c>
      <c r="H523" s="8">
        <f t="shared" ca="1" si="40"/>
        <v>404.78589999999969</v>
      </c>
      <c r="I523" s="12">
        <f ca="1">IF(AND('Data Analysis Addin'!$G523&lt;='Data Analysis Addin'!$H523,G524&gt;H524), 1, 0)</f>
        <v>0</v>
      </c>
      <c r="J523" s="2">
        <f t="shared" ca="1" si="41"/>
        <v>1</v>
      </c>
      <c r="K523" s="17">
        <f>YEAR('Data Analysis Addin'!$A523)</f>
        <v>2022</v>
      </c>
    </row>
    <row r="524" spans="1:11" x14ac:dyDescent="0.4">
      <c r="A524" s="18">
        <v>44893</v>
      </c>
      <c r="B524" s="9">
        <v>395.91</v>
      </c>
      <c r="C524" s="11">
        <f t="shared" si="38"/>
        <v>378.47300000000013</v>
      </c>
      <c r="D524" s="11">
        <f t="shared" si="42"/>
        <v>404.5188499999997</v>
      </c>
      <c r="E524" s="9"/>
      <c r="F524" s="9"/>
      <c r="G524" s="9">
        <f t="shared" ca="1" si="39"/>
        <v>378.47300000000013</v>
      </c>
      <c r="H524" s="9">
        <f t="shared" ca="1" si="40"/>
        <v>404.5188499999997</v>
      </c>
      <c r="I524" s="12">
        <f ca="1">IF(AND('Data Analysis Addin'!$G524&lt;='Data Analysis Addin'!$H524,G525&gt;H525), 1, 0)</f>
        <v>0</v>
      </c>
      <c r="J524" s="3">
        <f t="shared" ca="1" si="41"/>
        <v>1</v>
      </c>
      <c r="K524" s="19">
        <f>YEAR('Data Analysis Addin'!$A524)</f>
        <v>2022</v>
      </c>
    </row>
    <row r="525" spans="1:11" x14ac:dyDescent="0.4">
      <c r="A525" s="16">
        <v>44894</v>
      </c>
      <c r="B525" s="8">
        <v>395.23</v>
      </c>
      <c r="C525" s="11">
        <f t="shared" si="38"/>
        <v>378.60660000000013</v>
      </c>
      <c r="D525" s="11">
        <f t="shared" si="42"/>
        <v>404.29269999999974</v>
      </c>
      <c r="E525" s="8"/>
      <c r="F525" s="8"/>
      <c r="G525" s="8">
        <f t="shared" ca="1" si="39"/>
        <v>378.60660000000013</v>
      </c>
      <c r="H525" s="8">
        <f t="shared" ca="1" si="40"/>
        <v>404.29269999999974</v>
      </c>
      <c r="I525" s="12">
        <f ca="1">IF(AND('Data Analysis Addin'!$G525&lt;='Data Analysis Addin'!$H525,G526&gt;H526), 1, 0)</f>
        <v>0</v>
      </c>
      <c r="J525" s="2">
        <f t="shared" ca="1" si="41"/>
        <v>1</v>
      </c>
      <c r="K525" s="17">
        <f>YEAR('Data Analysis Addin'!$A525)</f>
        <v>2022</v>
      </c>
    </row>
    <row r="526" spans="1:11" x14ac:dyDescent="0.4">
      <c r="A526" s="18">
        <v>44895</v>
      </c>
      <c r="B526" s="9">
        <v>407.68</v>
      </c>
      <c r="C526" s="11">
        <f t="shared" si="38"/>
        <v>379.0784000000001</v>
      </c>
      <c r="D526" s="11">
        <f t="shared" si="42"/>
        <v>404.13599999999968</v>
      </c>
      <c r="E526" s="9"/>
      <c r="F526" s="9"/>
      <c r="G526" s="9">
        <f t="shared" ca="1" si="39"/>
        <v>379.0784000000001</v>
      </c>
      <c r="H526" s="9">
        <f t="shared" ca="1" si="40"/>
        <v>404.13599999999968</v>
      </c>
      <c r="I526" s="12">
        <f ca="1">IF(AND('Data Analysis Addin'!$G526&lt;='Data Analysis Addin'!$H526,G527&gt;H527), 1, 0)</f>
        <v>0</v>
      </c>
      <c r="J526" s="3">
        <f t="shared" ca="1" si="41"/>
        <v>1</v>
      </c>
      <c r="K526" s="19">
        <f>YEAR('Data Analysis Addin'!$A526)</f>
        <v>2022</v>
      </c>
    </row>
    <row r="527" spans="1:11" x14ac:dyDescent="0.4">
      <c r="A527" s="16">
        <v>44896</v>
      </c>
      <c r="B527" s="8">
        <v>407.38</v>
      </c>
      <c r="C527" s="11">
        <f t="shared" si="38"/>
        <v>379.67820000000012</v>
      </c>
      <c r="D527" s="11">
        <f t="shared" si="42"/>
        <v>403.94239999999974</v>
      </c>
      <c r="E527" s="8"/>
      <c r="F527" s="8"/>
      <c r="G527" s="8">
        <f t="shared" ca="1" si="39"/>
        <v>379.67820000000012</v>
      </c>
      <c r="H527" s="8">
        <f t="shared" ca="1" si="40"/>
        <v>403.94239999999974</v>
      </c>
      <c r="I527" s="12">
        <f ca="1">IF(AND('Data Analysis Addin'!$G527&lt;='Data Analysis Addin'!$H527,G528&gt;H528), 1, 0)</f>
        <v>0</v>
      </c>
      <c r="J527" s="2">
        <f t="shared" ca="1" si="41"/>
        <v>1</v>
      </c>
      <c r="K527" s="17">
        <f>YEAR('Data Analysis Addin'!$A527)</f>
        <v>2022</v>
      </c>
    </row>
    <row r="528" spans="1:11" x14ac:dyDescent="0.4">
      <c r="A528" s="18">
        <v>44897</v>
      </c>
      <c r="B528" s="9">
        <v>406.91</v>
      </c>
      <c r="C528" s="11">
        <f t="shared" si="38"/>
        <v>380.33200000000011</v>
      </c>
      <c r="D528" s="11">
        <f t="shared" si="42"/>
        <v>403.74394999999981</v>
      </c>
      <c r="E528" s="9"/>
      <c r="F528" s="9"/>
      <c r="G528" s="9">
        <f t="shared" ca="1" si="39"/>
        <v>380.33200000000011</v>
      </c>
      <c r="H528" s="9">
        <f t="shared" ca="1" si="40"/>
        <v>403.74394999999981</v>
      </c>
      <c r="I528" s="12">
        <f ca="1">IF(AND('Data Analysis Addin'!$G528&lt;='Data Analysis Addin'!$H528,G529&gt;H529), 1, 0)</f>
        <v>0</v>
      </c>
      <c r="J528" s="3">
        <f t="shared" ca="1" si="41"/>
        <v>1</v>
      </c>
      <c r="K528" s="19">
        <f>YEAR('Data Analysis Addin'!$A528)</f>
        <v>2022</v>
      </c>
    </row>
    <row r="529" spans="1:11" x14ac:dyDescent="0.4">
      <c r="A529" s="16">
        <v>44900</v>
      </c>
      <c r="B529" s="8">
        <v>399.59</v>
      </c>
      <c r="C529" s="11">
        <f t="shared" si="38"/>
        <v>380.96480000000008</v>
      </c>
      <c r="D529" s="11">
        <f t="shared" si="42"/>
        <v>403.55659999999972</v>
      </c>
      <c r="E529" s="8"/>
      <c r="F529" s="8"/>
      <c r="G529" s="8">
        <f t="shared" ca="1" si="39"/>
        <v>380.96480000000008</v>
      </c>
      <c r="H529" s="8">
        <f t="shared" ca="1" si="40"/>
        <v>403.55659999999972</v>
      </c>
      <c r="I529" s="12">
        <f ca="1">IF(AND('Data Analysis Addin'!$G529&lt;='Data Analysis Addin'!$H529,G530&gt;H530), 1, 0)</f>
        <v>0</v>
      </c>
      <c r="J529" s="2">
        <f t="shared" ca="1" si="41"/>
        <v>1</v>
      </c>
      <c r="K529" s="17">
        <f>YEAR('Data Analysis Addin'!$A529)</f>
        <v>2022</v>
      </c>
    </row>
    <row r="530" spans="1:11" x14ac:dyDescent="0.4">
      <c r="A530" s="18">
        <v>44901</v>
      </c>
      <c r="B530" s="9">
        <v>393.83</v>
      </c>
      <c r="C530" s="11">
        <f t="shared" si="38"/>
        <v>381.55520000000013</v>
      </c>
      <c r="D530" s="11">
        <f t="shared" si="42"/>
        <v>403.35459999999972</v>
      </c>
      <c r="E530" s="9"/>
      <c r="F530" s="9"/>
      <c r="G530" s="9">
        <f t="shared" ca="1" si="39"/>
        <v>381.55520000000013</v>
      </c>
      <c r="H530" s="9">
        <f t="shared" ca="1" si="40"/>
        <v>403.35459999999972</v>
      </c>
      <c r="I530" s="12">
        <f ca="1">IF(AND('Data Analysis Addin'!$G530&lt;='Data Analysis Addin'!$H530,G531&gt;H531), 1, 0)</f>
        <v>0</v>
      </c>
      <c r="J530" s="3">
        <f t="shared" ca="1" si="41"/>
        <v>1</v>
      </c>
      <c r="K530" s="19">
        <f>YEAR('Data Analysis Addin'!$A530)</f>
        <v>2022</v>
      </c>
    </row>
    <row r="531" spans="1:11" x14ac:dyDescent="0.4">
      <c r="A531" s="16">
        <v>44902</v>
      </c>
      <c r="B531" s="8">
        <v>393.16</v>
      </c>
      <c r="C531" s="11">
        <f t="shared" si="38"/>
        <v>382.15080000000012</v>
      </c>
      <c r="D531" s="11">
        <f t="shared" si="42"/>
        <v>403.17254999999966</v>
      </c>
      <c r="E531" s="8"/>
      <c r="F531" s="8"/>
      <c r="G531" s="8">
        <f t="shared" ca="1" si="39"/>
        <v>382.15080000000012</v>
      </c>
      <c r="H531" s="8">
        <f t="shared" ca="1" si="40"/>
        <v>403.17254999999966</v>
      </c>
      <c r="I531" s="12">
        <f ca="1">IF(AND('Data Analysis Addin'!$G531&lt;='Data Analysis Addin'!$H531,G532&gt;H532), 1, 0)</f>
        <v>0</v>
      </c>
      <c r="J531" s="2">
        <f t="shared" ca="1" si="41"/>
        <v>1</v>
      </c>
      <c r="K531" s="17">
        <f>YEAR('Data Analysis Addin'!$A531)</f>
        <v>2022</v>
      </c>
    </row>
    <row r="532" spans="1:11" x14ac:dyDescent="0.4">
      <c r="A532" s="18">
        <v>44903</v>
      </c>
      <c r="B532" s="9">
        <v>396.24</v>
      </c>
      <c r="C532" s="11">
        <f t="shared" si="38"/>
        <v>382.66500000000008</v>
      </c>
      <c r="D532" s="11">
        <f t="shared" si="42"/>
        <v>403.0439999999997</v>
      </c>
      <c r="E532" s="9"/>
      <c r="F532" s="9"/>
      <c r="G532" s="9">
        <f t="shared" ca="1" si="39"/>
        <v>382.66500000000008</v>
      </c>
      <c r="H532" s="9">
        <f t="shared" ca="1" si="40"/>
        <v>403.0439999999997</v>
      </c>
      <c r="I532" s="12">
        <f ca="1">IF(AND('Data Analysis Addin'!$G532&lt;='Data Analysis Addin'!$H532,G533&gt;H533), 1, 0)</f>
        <v>0</v>
      </c>
      <c r="J532" s="3">
        <f t="shared" ca="1" si="41"/>
        <v>1</v>
      </c>
      <c r="K532" s="19">
        <f>YEAR('Data Analysis Addin'!$A532)</f>
        <v>2022</v>
      </c>
    </row>
    <row r="533" spans="1:11" x14ac:dyDescent="0.4">
      <c r="A533" s="16">
        <v>44904</v>
      </c>
      <c r="B533" s="8">
        <v>393.28</v>
      </c>
      <c r="C533" s="11">
        <f t="shared" si="38"/>
        <v>383.27480000000008</v>
      </c>
      <c r="D533" s="11">
        <f t="shared" si="42"/>
        <v>402.86889999999971</v>
      </c>
      <c r="E533" s="8"/>
      <c r="F533" s="8"/>
      <c r="G533" s="8">
        <f t="shared" ca="1" si="39"/>
        <v>383.27480000000008</v>
      </c>
      <c r="H533" s="8">
        <f t="shared" ca="1" si="40"/>
        <v>402.86889999999971</v>
      </c>
      <c r="I533" s="12">
        <f ca="1">IF(AND('Data Analysis Addin'!$G533&lt;='Data Analysis Addin'!$H533,G534&gt;H534), 1, 0)</f>
        <v>0</v>
      </c>
      <c r="J533" s="2">
        <f t="shared" ca="1" si="41"/>
        <v>1</v>
      </c>
      <c r="K533" s="17">
        <f>YEAR('Data Analysis Addin'!$A533)</f>
        <v>2022</v>
      </c>
    </row>
    <row r="534" spans="1:11" x14ac:dyDescent="0.4">
      <c r="A534" s="18">
        <v>44907</v>
      </c>
      <c r="B534" s="9">
        <v>398.95</v>
      </c>
      <c r="C534" s="11">
        <f t="shared" si="38"/>
        <v>384.11020000000013</v>
      </c>
      <c r="D534" s="11">
        <f t="shared" si="42"/>
        <v>402.67489999999964</v>
      </c>
      <c r="E534" s="9"/>
      <c r="F534" s="9"/>
      <c r="G534" s="9">
        <f t="shared" ca="1" si="39"/>
        <v>384.11020000000013</v>
      </c>
      <c r="H534" s="9">
        <f t="shared" ca="1" si="40"/>
        <v>402.67489999999964</v>
      </c>
      <c r="I534" s="12">
        <f ca="1">IF(AND('Data Analysis Addin'!$G534&lt;='Data Analysis Addin'!$H534,G535&gt;H535), 1, 0)</f>
        <v>0</v>
      </c>
      <c r="J534" s="3">
        <f t="shared" ca="1" si="41"/>
        <v>1</v>
      </c>
      <c r="K534" s="19">
        <f>YEAR('Data Analysis Addin'!$A534)</f>
        <v>2022</v>
      </c>
    </row>
    <row r="535" spans="1:11" x14ac:dyDescent="0.4">
      <c r="A535" s="16">
        <v>44908</v>
      </c>
      <c r="B535" s="8">
        <v>401.97</v>
      </c>
      <c r="C535" s="11">
        <f t="shared" si="38"/>
        <v>384.81740000000013</v>
      </c>
      <c r="D535" s="11">
        <f t="shared" si="42"/>
        <v>402.5015999999996</v>
      </c>
      <c r="E535" s="8"/>
      <c r="F535" s="8"/>
      <c r="G535" s="8">
        <f t="shared" ca="1" si="39"/>
        <v>384.81740000000013</v>
      </c>
      <c r="H535" s="8">
        <f t="shared" ca="1" si="40"/>
        <v>402.5015999999996</v>
      </c>
      <c r="I535" s="12">
        <f ca="1">IF(AND('Data Analysis Addin'!$G535&lt;='Data Analysis Addin'!$H535,G536&gt;H536), 1, 0)</f>
        <v>0</v>
      </c>
      <c r="J535" s="2">
        <f t="shared" ca="1" si="41"/>
        <v>1</v>
      </c>
      <c r="K535" s="17">
        <f>YEAR('Data Analysis Addin'!$A535)</f>
        <v>2022</v>
      </c>
    </row>
    <row r="536" spans="1:11" x14ac:dyDescent="0.4">
      <c r="A536" s="18">
        <v>44909</v>
      </c>
      <c r="B536" s="9">
        <v>399.4</v>
      </c>
      <c r="C536" s="11">
        <f t="shared" si="38"/>
        <v>385.24600000000015</v>
      </c>
      <c r="D536" s="11">
        <f t="shared" si="42"/>
        <v>402.34869999999961</v>
      </c>
      <c r="E536" s="9"/>
      <c r="F536" s="9"/>
      <c r="G536" s="9">
        <f t="shared" ca="1" si="39"/>
        <v>385.24600000000015</v>
      </c>
      <c r="H536" s="9">
        <f t="shared" ca="1" si="40"/>
        <v>402.34869999999961</v>
      </c>
      <c r="I536" s="12">
        <f ca="1">IF(AND('Data Analysis Addin'!$G536&lt;='Data Analysis Addin'!$H536,G537&gt;H537), 1, 0)</f>
        <v>0</v>
      </c>
      <c r="J536" s="3">
        <f t="shared" ca="1" si="41"/>
        <v>1</v>
      </c>
      <c r="K536" s="19">
        <f>YEAR('Data Analysis Addin'!$A536)</f>
        <v>2022</v>
      </c>
    </row>
    <row r="537" spans="1:11" x14ac:dyDescent="0.4">
      <c r="A537" s="16">
        <v>44910</v>
      </c>
      <c r="B537" s="8">
        <v>389.63</v>
      </c>
      <c r="C537" s="11">
        <f t="shared" si="38"/>
        <v>385.49680000000012</v>
      </c>
      <c r="D537" s="11">
        <f t="shared" si="42"/>
        <v>402.1073999999997</v>
      </c>
      <c r="E537" s="8"/>
      <c r="F537" s="8"/>
      <c r="G537" s="8">
        <f t="shared" ca="1" si="39"/>
        <v>385.49680000000012</v>
      </c>
      <c r="H537" s="8">
        <f t="shared" ca="1" si="40"/>
        <v>402.1073999999997</v>
      </c>
      <c r="I537" s="12">
        <f ca="1">IF(AND('Data Analysis Addin'!$G537&lt;='Data Analysis Addin'!$H537,G538&gt;H538), 1, 0)</f>
        <v>0</v>
      </c>
      <c r="J537" s="2">
        <f t="shared" ca="1" si="41"/>
        <v>1</v>
      </c>
      <c r="K537" s="17">
        <f>YEAR('Data Analysis Addin'!$A537)</f>
        <v>2022</v>
      </c>
    </row>
    <row r="538" spans="1:11" x14ac:dyDescent="0.4">
      <c r="A538" s="18">
        <v>44911</v>
      </c>
      <c r="B538" s="9">
        <v>383.27</v>
      </c>
      <c r="C538" s="11">
        <f t="shared" si="38"/>
        <v>385.69820000000016</v>
      </c>
      <c r="D538" s="11">
        <f t="shared" si="42"/>
        <v>401.84519999999975</v>
      </c>
      <c r="E538" s="9"/>
      <c r="F538" s="9"/>
      <c r="G538" s="9">
        <f t="shared" ca="1" si="39"/>
        <v>385.69820000000016</v>
      </c>
      <c r="H538" s="9">
        <f t="shared" ca="1" si="40"/>
        <v>401.84519999999975</v>
      </c>
      <c r="I538" s="12">
        <f ca="1">IF(AND('Data Analysis Addin'!$G538&lt;='Data Analysis Addin'!$H538,G539&gt;H539), 1, 0)</f>
        <v>0</v>
      </c>
      <c r="J538" s="3">
        <f t="shared" ca="1" si="41"/>
        <v>1</v>
      </c>
      <c r="K538" s="19">
        <f>YEAR('Data Analysis Addin'!$A538)</f>
        <v>2022</v>
      </c>
    </row>
    <row r="539" spans="1:11" x14ac:dyDescent="0.4">
      <c r="A539" s="16">
        <v>44914</v>
      </c>
      <c r="B539" s="8">
        <v>380.02</v>
      </c>
      <c r="C539" s="11">
        <f t="shared" si="38"/>
        <v>386.04280000000006</v>
      </c>
      <c r="D539" s="11">
        <f t="shared" si="42"/>
        <v>401.58444999999972</v>
      </c>
      <c r="E539" s="8"/>
      <c r="F539" s="8"/>
      <c r="G539" s="8">
        <f t="shared" ca="1" si="39"/>
        <v>386.04280000000006</v>
      </c>
      <c r="H539" s="8">
        <f t="shared" ca="1" si="40"/>
        <v>401.58444999999972</v>
      </c>
      <c r="I539" s="12">
        <f ca="1">IF(AND('Data Analysis Addin'!$G539&lt;='Data Analysis Addin'!$H539,G540&gt;H540), 1, 0)</f>
        <v>0</v>
      </c>
      <c r="J539" s="2">
        <f t="shared" ca="1" si="41"/>
        <v>1</v>
      </c>
      <c r="K539" s="17">
        <f>YEAR('Data Analysis Addin'!$A539)</f>
        <v>2022</v>
      </c>
    </row>
    <row r="540" spans="1:11" x14ac:dyDescent="0.4">
      <c r="A540" s="18">
        <v>44915</v>
      </c>
      <c r="B540" s="9">
        <v>380.54</v>
      </c>
      <c r="C540" s="11">
        <f t="shared" si="38"/>
        <v>386.45320000000015</v>
      </c>
      <c r="D540" s="11">
        <f t="shared" si="42"/>
        <v>401.3899999999997</v>
      </c>
      <c r="E540" s="9"/>
      <c r="F540" s="9"/>
      <c r="G540" s="9">
        <f t="shared" ca="1" si="39"/>
        <v>386.45320000000015</v>
      </c>
      <c r="H540" s="9">
        <f t="shared" ca="1" si="40"/>
        <v>401.3899999999997</v>
      </c>
      <c r="I540" s="12">
        <f ca="1">IF(AND('Data Analysis Addin'!$G540&lt;='Data Analysis Addin'!$H540,G541&gt;H541), 1, 0)</f>
        <v>0</v>
      </c>
      <c r="J540" s="3">
        <f t="shared" ca="1" si="41"/>
        <v>1</v>
      </c>
      <c r="K540" s="19">
        <f>YEAR('Data Analysis Addin'!$A540)</f>
        <v>2022</v>
      </c>
    </row>
    <row r="541" spans="1:11" x14ac:dyDescent="0.4">
      <c r="A541" s="16">
        <v>44916</v>
      </c>
      <c r="B541" s="8">
        <v>386.23</v>
      </c>
      <c r="C541" s="11">
        <f t="shared" si="38"/>
        <v>387.02300000000008</v>
      </c>
      <c r="D541" s="11">
        <f t="shared" si="42"/>
        <v>401.23989999999969</v>
      </c>
      <c r="E541" s="8"/>
      <c r="F541" s="8"/>
      <c r="G541" s="8">
        <f t="shared" ca="1" si="39"/>
        <v>387.02300000000008</v>
      </c>
      <c r="H541" s="8">
        <f t="shared" ca="1" si="40"/>
        <v>401.23989999999969</v>
      </c>
      <c r="I541" s="12">
        <f ca="1">IF(AND('Data Analysis Addin'!$G541&lt;='Data Analysis Addin'!$H541,G542&gt;H542), 1, 0)</f>
        <v>0</v>
      </c>
      <c r="J541" s="2">
        <f t="shared" ca="1" si="41"/>
        <v>1</v>
      </c>
      <c r="K541" s="17">
        <f>YEAR('Data Analysis Addin'!$A541)</f>
        <v>2022</v>
      </c>
    </row>
    <row r="542" spans="1:11" x14ac:dyDescent="0.4">
      <c r="A542" s="18">
        <v>44917</v>
      </c>
      <c r="B542" s="9">
        <v>380.72</v>
      </c>
      <c r="C542" s="11">
        <f t="shared" si="38"/>
        <v>387.50620000000009</v>
      </c>
      <c r="D542" s="11">
        <f t="shared" si="42"/>
        <v>401.00644999999969</v>
      </c>
      <c r="E542" s="9"/>
      <c r="F542" s="9"/>
      <c r="G542" s="9">
        <f t="shared" ca="1" si="39"/>
        <v>387.50620000000009</v>
      </c>
      <c r="H542" s="9">
        <f t="shared" ca="1" si="40"/>
        <v>401.00644999999969</v>
      </c>
      <c r="I542" s="12">
        <f ca="1">IF(AND('Data Analysis Addin'!$G542&lt;='Data Analysis Addin'!$H542,G543&gt;H543), 1, 0)</f>
        <v>0</v>
      </c>
      <c r="J542" s="3">
        <f t="shared" ca="1" si="41"/>
        <v>1</v>
      </c>
      <c r="K542" s="19">
        <f>YEAR('Data Analysis Addin'!$A542)</f>
        <v>2022</v>
      </c>
    </row>
    <row r="543" spans="1:11" x14ac:dyDescent="0.4">
      <c r="A543" s="16">
        <v>44918</v>
      </c>
      <c r="B543" s="8">
        <v>382.91</v>
      </c>
      <c r="C543" s="11">
        <f t="shared" si="38"/>
        <v>387.84500000000008</v>
      </c>
      <c r="D543" s="11">
        <f t="shared" si="42"/>
        <v>400.79359999999963</v>
      </c>
      <c r="E543" s="8"/>
      <c r="F543" s="8"/>
      <c r="G543" s="8">
        <f t="shared" ca="1" si="39"/>
        <v>387.84500000000008</v>
      </c>
      <c r="H543" s="8">
        <f t="shared" ca="1" si="40"/>
        <v>400.79359999999963</v>
      </c>
      <c r="I543" s="12">
        <f ca="1">IF(AND('Data Analysis Addin'!$G543&lt;='Data Analysis Addin'!$H543,G544&gt;H544), 1, 0)</f>
        <v>0</v>
      </c>
      <c r="J543" s="2">
        <f t="shared" ca="1" si="41"/>
        <v>1</v>
      </c>
      <c r="K543" s="17">
        <f>YEAR('Data Analysis Addin'!$A543)</f>
        <v>2022</v>
      </c>
    </row>
    <row r="544" spans="1:11" x14ac:dyDescent="0.4">
      <c r="A544" s="18">
        <v>44922</v>
      </c>
      <c r="B544" s="9">
        <v>381.4</v>
      </c>
      <c r="C544" s="11">
        <f t="shared" si="38"/>
        <v>388.32040000000006</v>
      </c>
      <c r="D544" s="11">
        <f t="shared" si="42"/>
        <v>400.60024999999956</v>
      </c>
      <c r="E544" s="9"/>
      <c r="F544" s="9"/>
      <c r="G544" s="9">
        <f t="shared" ca="1" si="39"/>
        <v>388.32040000000006</v>
      </c>
      <c r="H544" s="9">
        <f t="shared" ca="1" si="40"/>
        <v>400.60024999999956</v>
      </c>
      <c r="I544" s="12">
        <f ca="1">IF(AND('Data Analysis Addin'!$G544&lt;='Data Analysis Addin'!$H544,G545&gt;H545), 1, 0)</f>
        <v>0</v>
      </c>
      <c r="J544" s="3">
        <f t="shared" ca="1" si="41"/>
        <v>1</v>
      </c>
      <c r="K544" s="19">
        <f>YEAR('Data Analysis Addin'!$A544)</f>
        <v>2022</v>
      </c>
    </row>
    <row r="545" spans="1:11" x14ac:dyDescent="0.4">
      <c r="A545" s="16">
        <v>44923</v>
      </c>
      <c r="B545" s="8">
        <v>376.66</v>
      </c>
      <c r="C545" s="11">
        <f t="shared" si="38"/>
        <v>388.5172</v>
      </c>
      <c r="D545" s="11">
        <f t="shared" si="42"/>
        <v>400.39854999999966</v>
      </c>
      <c r="E545" s="8"/>
      <c r="F545" s="8"/>
      <c r="G545" s="8">
        <f t="shared" ca="1" si="39"/>
        <v>388.5172</v>
      </c>
      <c r="H545" s="8">
        <f t="shared" ca="1" si="40"/>
        <v>400.39854999999966</v>
      </c>
      <c r="I545" s="12">
        <f ca="1">IF(AND('Data Analysis Addin'!$G545&lt;='Data Analysis Addin'!$H545,G546&gt;H546), 1, 0)</f>
        <v>0</v>
      </c>
      <c r="J545" s="2">
        <f t="shared" ca="1" si="41"/>
        <v>1</v>
      </c>
      <c r="K545" s="17">
        <f>YEAR('Data Analysis Addin'!$A545)</f>
        <v>2022</v>
      </c>
    </row>
    <row r="546" spans="1:11" x14ac:dyDescent="0.4">
      <c r="A546" s="18">
        <v>44924</v>
      </c>
      <c r="B546" s="9">
        <v>383.44</v>
      </c>
      <c r="C546" s="11">
        <f t="shared" si="38"/>
        <v>388.76340000000005</v>
      </c>
      <c r="D546" s="11">
        <f t="shared" si="42"/>
        <v>400.18489999999969</v>
      </c>
      <c r="E546" s="9"/>
      <c r="F546" s="9"/>
      <c r="G546" s="9">
        <f t="shared" ca="1" si="39"/>
        <v>388.76340000000005</v>
      </c>
      <c r="H546" s="9">
        <f t="shared" ca="1" si="40"/>
        <v>400.18489999999969</v>
      </c>
      <c r="I546" s="12">
        <f ca="1">IF(AND('Data Analysis Addin'!$G546&lt;='Data Analysis Addin'!$H546,G547&gt;H547), 1, 0)</f>
        <v>0</v>
      </c>
      <c r="J546" s="3">
        <f t="shared" ca="1" si="41"/>
        <v>1</v>
      </c>
      <c r="K546" s="19">
        <f>YEAR('Data Analysis Addin'!$A546)</f>
        <v>2022</v>
      </c>
    </row>
    <row r="547" spans="1:11" x14ac:dyDescent="0.4">
      <c r="A547" s="16">
        <v>44925</v>
      </c>
      <c r="B547" s="8">
        <v>382.43</v>
      </c>
      <c r="C547" s="11">
        <f t="shared" si="38"/>
        <v>389.04199999999997</v>
      </c>
      <c r="D547" s="11">
        <f t="shared" si="42"/>
        <v>399.9189499999996</v>
      </c>
      <c r="E547" s="8"/>
      <c r="F547" s="8"/>
      <c r="G547" s="8">
        <f t="shared" ca="1" si="39"/>
        <v>389.04199999999997</v>
      </c>
      <c r="H547" s="8">
        <f t="shared" ca="1" si="40"/>
        <v>399.9189499999996</v>
      </c>
      <c r="I547" s="12">
        <f ca="1">IF(AND('Data Analysis Addin'!$G547&lt;='Data Analysis Addin'!$H547,G548&gt;H548), 1, 0)</f>
        <v>0</v>
      </c>
      <c r="J547" s="2">
        <f t="shared" ca="1" si="41"/>
        <v>1</v>
      </c>
      <c r="K547" s="17">
        <f>YEAR('Data Analysis Addin'!$A547)</f>
        <v>2022</v>
      </c>
    </row>
    <row r="548" spans="1:11" x14ac:dyDescent="0.4">
      <c r="A548" s="18">
        <v>44929</v>
      </c>
      <c r="B548" s="9">
        <v>380.82</v>
      </c>
      <c r="C548" s="11">
        <f t="shared" si="38"/>
        <v>389.35019999999997</v>
      </c>
      <c r="D548" s="11">
        <f t="shared" si="42"/>
        <v>399.61769999999967</v>
      </c>
      <c r="E548" s="9"/>
      <c r="F548" s="9"/>
      <c r="G548" s="9">
        <f t="shared" ca="1" si="39"/>
        <v>389.35019999999997</v>
      </c>
      <c r="H548" s="9">
        <f t="shared" ca="1" si="40"/>
        <v>399.61769999999967</v>
      </c>
      <c r="I548" s="12">
        <f ca="1">IF(AND('Data Analysis Addin'!$G548&lt;='Data Analysis Addin'!$H548,G549&gt;H549), 1, 0)</f>
        <v>0</v>
      </c>
      <c r="J548" s="3">
        <f t="shared" ca="1" si="41"/>
        <v>1</v>
      </c>
      <c r="K548" s="19">
        <f>YEAR('Data Analysis Addin'!$A548)</f>
        <v>2023</v>
      </c>
    </row>
    <row r="549" spans="1:11" x14ac:dyDescent="0.4">
      <c r="A549" s="16">
        <v>44930</v>
      </c>
      <c r="B549" s="8">
        <v>383.76</v>
      </c>
      <c r="C549" s="11">
        <f t="shared" si="38"/>
        <v>389.53960000000001</v>
      </c>
      <c r="D549" s="11">
        <f t="shared" si="42"/>
        <v>399.31389999999953</v>
      </c>
      <c r="E549" s="8"/>
      <c r="F549" s="8"/>
      <c r="G549" s="8">
        <f t="shared" ca="1" si="39"/>
        <v>389.53960000000001</v>
      </c>
      <c r="H549" s="8">
        <f t="shared" ca="1" si="40"/>
        <v>399.31389999999953</v>
      </c>
      <c r="I549" s="12">
        <f ca="1">IF(AND('Data Analysis Addin'!$G549&lt;='Data Analysis Addin'!$H549,G550&gt;H550), 1, 0)</f>
        <v>0</v>
      </c>
      <c r="J549" s="2">
        <f t="shared" ca="1" si="41"/>
        <v>1</v>
      </c>
      <c r="K549" s="17">
        <f>YEAR('Data Analysis Addin'!$A549)</f>
        <v>2023</v>
      </c>
    </row>
    <row r="550" spans="1:11" x14ac:dyDescent="0.4">
      <c r="A550" s="18">
        <v>44931</v>
      </c>
      <c r="B550" s="9">
        <v>379.38</v>
      </c>
      <c r="C550" s="11">
        <f t="shared" si="38"/>
        <v>389.54979999999995</v>
      </c>
      <c r="D550" s="11">
        <f t="shared" si="42"/>
        <v>398.98884999999967</v>
      </c>
      <c r="E550" s="9"/>
      <c r="F550" s="9"/>
      <c r="G550" s="9">
        <f t="shared" ca="1" si="39"/>
        <v>389.54979999999995</v>
      </c>
      <c r="H550" s="9">
        <f t="shared" ca="1" si="40"/>
        <v>398.98884999999967</v>
      </c>
      <c r="I550" s="12">
        <f ca="1">IF(AND('Data Analysis Addin'!$G550&lt;='Data Analysis Addin'!$H550,G551&gt;H551), 1, 0)</f>
        <v>0</v>
      </c>
      <c r="J550" s="3">
        <f t="shared" ca="1" si="41"/>
        <v>1</v>
      </c>
      <c r="K550" s="19">
        <f>YEAR('Data Analysis Addin'!$A550)</f>
        <v>2023</v>
      </c>
    </row>
    <row r="551" spans="1:11" x14ac:dyDescent="0.4">
      <c r="A551" s="16">
        <v>44932</v>
      </c>
      <c r="B551" s="8">
        <v>388.08</v>
      </c>
      <c r="C551" s="11">
        <f t="shared" si="38"/>
        <v>389.61299999999994</v>
      </c>
      <c r="D551" s="11">
        <f t="shared" si="42"/>
        <v>398.68129999999968</v>
      </c>
      <c r="E551" s="8"/>
      <c r="F551" s="8"/>
      <c r="G551" s="8">
        <f t="shared" ca="1" si="39"/>
        <v>389.61299999999994</v>
      </c>
      <c r="H551" s="8">
        <f t="shared" ca="1" si="40"/>
        <v>398.68129999999968</v>
      </c>
      <c r="I551" s="12">
        <f ca="1">IF(AND('Data Analysis Addin'!$G551&lt;='Data Analysis Addin'!$H551,G552&gt;H552), 1, 0)</f>
        <v>0</v>
      </c>
      <c r="J551" s="2">
        <f t="shared" ca="1" si="41"/>
        <v>1</v>
      </c>
      <c r="K551" s="17">
        <f>YEAR('Data Analysis Addin'!$A551)</f>
        <v>2023</v>
      </c>
    </row>
    <row r="552" spans="1:11" x14ac:dyDescent="0.4">
      <c r="A552" s="18">
        <v>44935</v>
      </c>
      <c r="B552" s="9">
        <v>387.86</v>
      </c>
      <c r="C552" s="11">
        <f t="shared" si="38"/>
        <v>389.72979999999995</v>
      </c>
      <c r="D552" s="11">
        <f t="shared" si="42"/>
        <v>398.40159999999975</v>
      </c>
      <c r="E552" s="9"/>
      <c r="F552" s="9"/>
      <c r="G552" s="9">
        <f t="shared" ca="1" si="39"/>
        <v>389.72979999999995</v>
      </c>
      <c r="H552" s="9">
        <f t="shared" ca="1" si="40"/>
        <v>398.40159999999975</v>
      </c>
      <c r="I552" s="12">
        <f ca="1">IF(AND('Data Analysis Addin'!$G552&lt;='Data Analysis Addin'!$H552,G553&gt;H553), 1, 0)</f>
        <v>0</v>
      </c>
      <c r="J552" s="3">
        <f t="shared" ca="1" si="41"/>
        <v>1</v>
      </c>
      <c r="K552" s="19">
        <f>YEAR('Data Analysis Addin'!$A552)</f>
        <v>2023</v>
      </c>
    </row>
    <row r="553" spans="1:11" x14ac:dyDescent="0.4">
      <c r="A553" s="16">
        <v>44936</v>
      </c>
      <c r="B553" s="8">
        <v>390.58</v>
      </c>
      <c r="C553" s="11">
        <f t="shared" si="38"/>
        <v>389.9418</v>
      </c>
      <c r="D553" s="11">
        <f t="shared" si="42"/>
        <v>398.10204999999974</v>
      </c>
      <c r="E553" s="8"/>
      <c r="F553" s="8"/>
      <c r="G553" s="8">
        <f t="shared" ca="1" si="39"/>
        <v>389.9418</v>
      </c>
      <c r="H553" s="8">
        <f t="shared" ca="1" si="40"/>
        <v>398.10204999999974</v>
      </c>
      <c r="I553" s="12">
        <f ca="1">IF(AND('Data Analysis Addin'!$G553&lt;='Data Analysis Addin'!$H553,G554&gt;H554), 1, 0)</f>
        <v>0</v>
      </c>
      <c r="J553" s="2">
        <f t="shared" ca="1" si="41"/>
        <v>1</v>
      </c>
      <c r="K553" s="17">
        <f>YEAR('Data Analysis Addin'!$A553)</f>
        <v>2023</v>
      </c>
    </row>
    <row r="554" spans="1:11" x14ac:dyDescent="0.4">
      <c r="A554" s="18">
        <v>44937</v>
      </c>
      <c r="B554" s="9">
        <v>395.52</v>
      </c>
      <c r="C554" s="11">
        <f t="shared" si="38"/>
        <v>390.0718</v>
      </c>
      <c r="D554" s="11">
        <f t="shared" si="42"/>
        <v>397.81619999999975</v>
      </c>
      <c r="E554" s="9"/>
      <c r="F554" s="9"/>
      <c r="G554" s="9">
        <f t="shared" ca="1" si="39"/>
        <v>390.0718</v>
      </c>
      <c r="H554" s="9">
        <f t="shared" ca="1" si="40"/>
        <v>397.81619999999975</v>
      </c>
      <c r="I554" s="12">
        <f ca="1">IF(AND('Data Analysis Addin'!$G554&lt;='Data Analysis Addin'!$H554,G555&gt;H555), 1, 0)</f>
        <v>0</v>
      </c>
      <c r="J554" s="3">
        <f t="shared" ca="1" si="41"/>
        <v>1</v>
      </c>
      <c r="K554" s="19">
        <f>YEAR('Data Analysis Addin'!$A554)</f>
        <v>2023</v>
      </c>
    </row>
    <row r="555" spans="1:11" x14ac:dyDescent="0.4">
      <c r="A555" s="16">
        <v>44938</v>
      </c>
      <c r="B555" s="8">
        <v>396.96</v>
      </c>
      <c r="C555" s="11">
        <f t="shared" si="38"/>
        <v>390.28680000000003</v>
      </c>
      <c r="D555" s="11">
        <f t="shared" si="42"/>
        <v>397.52144999999985</v>
      </c>
      <c r="E555" s="8"/>
      <c r="F555" s="8"/>
      <c r="G555" s="8">
        <f t="shared" ca="1" si="39"/>
        <v>390.28680000000003</v>
      </c>
      <c r="H555" s="8">
        <f t="shared" ca="1" si="40"/>
        <v>397.52144999999985</v>
      </c>
      <c r="I555" s="12">
        <f ca="1">IF(AND('Data Analysis Addin'!$G555&lt;='Data Analysis Addin'!$H555,G556&gt;H556), 1, 0)</f>
        <v>0</v>
      </c>
      <c r="J555" s="2">
        <f t="shared" ca="1" si="41"/>
        <v>1</v>
      </c>
      <c r="K555" s="17">
        <f>YEAR('Data Analysis Addin'!$A555)</f>
        <v>2023</v>
      </c>
    </row>
    <row r="556" spans="1:11" x14ac:dyDescent="0.4">
      <c r="A556" s="18">
        <v>44939</v>
      </c>
      <c r="B556" s="9">
        <v>398.5</v>
      </c>
      <c r="C556" s="11">
        <f t="shared" si="38"/>
        <v>390.56640000000004</v>
      </c>
      <c r="D556" s="11">
        <f t="shared" si="42"/>
        <v>397.2061999999998</v>
      </c>
      <c r="E556" s="9"/>
      <c r="F556" s="9"/>
      <c r="G556" s="9">
        <f t="shared" ca="1" si="39"/>
        <v>390.56640000000004</v>
      </c>
      <c r="H556" s="9">
        <f t="shared" ca="1" si="40"/>
        <v>397.2061999999998</v>
      </c>
      <c r="I556" s="12">
        <f ca="1">IF(AND('Data Analysis Addin'!$G556&lt;='Data Analysis Addin'!$H556,G557&gt;H557), 1, 0)</f>
        <v>0</v>
      </c>
      <c r="J556" s="3">
        <f t="shared" ca="1" si="41"/>
        <v>1</v>
      </c>
      <c r="K556" s="19">
        <f>YEAR('Data Analysis Addin'!$A556)</f>
        <v>2023</v>
      </c>
    </row>
    <row r="557" spans="1:11" x14ac:dyDescent="0.4">
      <c r="A557" s="16">
        <v>44943</v>
      </c>
      <c r="B557" s="8">
        <v>397.77</v>
      </c>
      <c r="C557" s="11">
        <f t="shared" si="38"/>
        <v>391.02440000000007</v>
      </c>
      <c r="D557" s="11">
        <f t="shared" si="42"/>
        <v>396.90154999999982</v>
      </c>
      <c r="E557" s="8"/>
      <c r="F557" s="8"/>
      <c r="G557" s="8">
        <f t="shared" ca="1" si="39"/>
        <v>391.02440000000007</v>
      </c>
      <c r="H557" s="8">
        <f t="shared" ca="1" si="40"/>
        <v>396.90154999999982</v>
      </c>
      <c r="I557" s="12">
        <f ca="1">IF(AND('Data Analysis Addin'!$G557&lt;='Data Analysis Addin'!$H557,G558&gt;H558), 1, 0)</f>
        <v>0</v>
      </c>
      <c r="J557" s="2">
        <f t="shared" ca="1" si="41"/>
        <v>1</v>
      </c>
      <c r="K557" s="17">
        <f>YEAR('Data Analysis Addin'!$A557)</f>
        <v>2023</v>
      </c>
    </row>
    <row r="558" spans="1:11" x14ac:dyDescent="0.4">
      <c r="A558" s="18">
        <v>44944</v>
      </c>
      <c r="B558" s="9">
        <v>391.49</v>
      </c>
      <c r="C558" s="11">
        <f t="shared" si="38"/>
        <v>391.43400000000008</v>
      </c>
      <c r="D558" s="11">
        <f t="shared" si="42"/>
        <v>396.60079999999988</v>
      </c>
      <c r="E558" s="9"/>
      <c r="F558" s="9"/>
      <c r="G558" s="9">
        <f t="shared" ca="1" si="39"/>
        <v>391.43400000000008</v>
      </c>
      <c r="H558" s="9">
        <f t="shared" ca="1" si="40"/>
        <v>396.60079999999988</v>
      </c>
      <c r="I558" s="12">
        <f ca="1">IF(AND('Data Analysis Addin'!$G558&lt;='Data Analysis Addin'!$H558,G559&gt;H559), 1, 0)</f>
        <v>0</v>
      </c>
      <c r="J558" s="3">
        <f t="shared" ca="1" si="41"/>
        <v>1</v>
      </c>
      <c r="K558" s="19">
        <f>YEAR('Data Analysis Addin'!$A558)</f>
        <v>2023</v>
      </c>
    </row>
    <row r="559" spans="1:11" x14ac:dyDescent="0.4">
      <c r="A559" s="16">
        <v>44945</v>
      </c>
      <c r="B559" s="8">
        <v>388.64</v>
      </c>
      <c r="C559" s="11">
        <f t="shared" si="38"/>
        <v>391.67980000000011</v>
      </c>
      <c r="D559" s="11">
        <f t="shared" si="42"/>
        <v>396.2793999999999</v>
      </c>
      <c r="E559" s="8"/>
      <c r="F559" s="8"/>
      <c r="G559" s="8">
        <f t="shared" ca="1" si="39"/>
        <v>391.67980000000011</v>
      </c>
      <c r="H559" s="8">
        <f t="shared" ca="1" si="40"/>
        <v>396.2793999999999</v>
      </c>
      <c r="I559" s="12">
        <f ca="1">IF(AND('Data Analysis Addin'!$G559&lt;='Data Analysis Addin'!$H559,G560&gt;H560), 1, 0)</f>
        <v>0</v>
      </c>
      <c r="J559" s="2">
        <f t="shared" ca="1" si="41"/>
        <v>1</v>
      </c>
      <c r="K559" s="17">
        <f>YEAR('Data Analysis Addin'!$A559)</f>
        <v>2023</v>
      </c>
    </row>
    <row r="560" spans="1:11" x14ac:dyDescent="0.4">
      <c r="A560" s="18">
        <v>44946</v>
      </c>
      <c r="B560" s="9">
        <v>395.88</v>
      </c>
      <c r="C560" s="11">
        <f t="shared" si="38"/>
        <v>391.99840000000006</v>
      </c>
      <c r="D560" s="11">
        <f t="shared" si="42"/>
        <v>395.97479999999996</v>
      </c>
      <c r="E560" s="9"/>
      <c r="F560" s="9"/>
      <c r="G560" s="9">
        <f t="shared" ca="1" si="39"/>
        <v>391.99840000000006</v>
      </c>
      <c r="H560" s="9">
        <f t="shared" ca="1" si="40"/>
        <v>395.97479999999996</v>
      </c>
      <c r="I560" s="12">
        <f ca="1">IF(AND('Data Analysis Addin'!$G560&lt;='Data Analysis Addin'!$H560,G561&gt;H561), 1, 0)</f>
        <v>0</v>
      </c>
      <c r="J560" s="3">
        <f t="shared" ca="1" si="41"/>
        <v>1</v>
      </c>
      <c r="K560" s="19">
        <f>YEAR('Data Analysis Addin'!$A560)</f>
        <v>2023</v>
      </c>
    </row>
    <row r="561" spans="1:11" x14ac:dyDescent="0.4">
      <c r="A561" s="16">
        <v>44949</v>
      </c>
      <c r="B561" s="8">
        <v>400.63</v>
      </c>
      <c r="C561" s="11">
        <f t="shared" si="38"/>
        <v>392.37100000000004</v>
      </c>
      <c r="D561" s="11">
        <f t="shared" si="42"/>
        <v>395.72280000000006</v>
      </c>
      <c r="E561" s="8"/>
      <c r="F561" s="8"/>
      <c r="G561" s="8">
        <f t="shared" ca="1" si="39"/>
        <v>392.37100000000004</v>
      </c>
      <c r="H561" s="8">
        <f t="shared" ca="1" si="40"/>
        <v>395.72280000000006</v>
      </c>
      <c r="I561" s="12">
        <f ca="1">IF(AND('Data Analysis Addin'!$G561&lt;='Data Analysis Addin'!$H561,G562&gt;H562), 1, 0)</f>
        <v>0</v>
      </c>
      <c r="J561" s="2">
        <f t="shared" ca="1" si="41"/>
        <v>1</v>
      </c>
      <c r="K561" s="17">
        <f>YEAR('Data Analysis Addin'!$A561)</f>
        <v>2023</v>
      </c>
    </row>
    <row r="562" spans="1:11" x14ac:dyDescent="0.4">
      <c r="A562" s="18">
        <v>44950</v>
      </c>
      <c r="B562" s="9">
        <v>400.2</v>
      </c>
      <c r="C562" s="11">
        <f t="shared" si="38"/>
        <v>392.89240000000007</v>
      </c>
      <c r="D562" s="11">
        <f t="shared" si="42"/>
        <v>395.49120000000005</v>
      </c>
      <c r="E562" s="9"/>
      <c r="F562" s="9"/>
      <c r="G562" s="9">
        <f t="shared" ca="1" si="39"/>
        <v>392.89240000000007</v>
      </c>
      <c r="H562" s="9">
        <f t="shared" ca="1" si="40"/>
        <v>395.49120000000005</v>
      </c>
      <c r="I562" s="12">
        <f ca="1">IF(AND('Data Analysis Addin'!$G562&lt;='Data Analysis Addin'!$H562,G563&gt;H563), 1, 0)</f>
        <v>0</v>
      </c>
      <c r="J562" s="3">
        <f t="shared" ca="1" si="41"/>
        <v>1</v>
      </c>
      <c r="K562" s="19">
        <f>YEAR('Data Analysis Addin'!$A562)</f>
        <v>2023</v>
      </c>
    </row>
    <row r="563" spans="1:11" x14ac:dyDescent="0.4">
      <c r="A563" s="16">
        <v>44951</v>
      </c>
      <c r="B563" s="8">
        <v>400.35</v>
      </c>
      <c r="C563" s="11">
        <f t="shared" si="38"/>
        <v>393.00560000000007</v>
      </c>
      <c r="D563" s="11">
        <f t="shared" si="42"/>
        <v>395.24910000000006</v>
      </c>
      <c r="E563" s="8"/>
      <c r="F563" s="8"/>
      <c r="G563" s="8">
        <f t="shared" ca="1" si="39"/>
        <v>393.00560000000007</v>
      </c>
      <c r="H563" s="8">
        <f t="shared" ca="1" si="40"/>
        <v>395.24910000000006</v>
      </c>
      <c r="I563" s="12">
        <f ca="1">IF(AND('Data Analysis Addin'!$G563&lt;='Data Analysis Addin'!$H563,G564&gt;H564), 1, 0)</f>
        <v>0</v>
      </c>
      <c r="J563" s="2">
        <f t="shared" ca="1" si="41"/>
        <v>1</v>
      </c>
      <c r="K563" s="17">
        <f>YEAR('Data Analysis Addin'!$A563)</f>
        <v>2023</v>
      </c>
    </row>
    <row r="564" spans="1:11" x14ac:dyDescent="0.4">
      <c r="A564" s="18">
        <v>44952</v>
      </c>
      <c r="B564" s="9">
        <v>404.75</v>
      </c>
      <c r="C564" s="11">
        <f t="shared" ref="C564:C627" si="43">AVERAGE(B515:B564)</f>
        <v>393.13040000000001</v>
      </c>
      <c r="D564" s="11">
        <f t="shared" si="42"/>
        <v>395.03500000000003</v>
      </c>
      <c r="E564" s="9"/>
      <c r="F564" s="9"/>
      <c r="G564" s="9">
        <f t="shared" ca="1" si="39"/>
        <v>393.13040000000001</v>
      </c>
      <c r="H564" s="9">
        <f t="shared" ca="1" si="40"/>
        <v>395.03500000000003</v>
      </c>
      <c r="I564" s="12">
        <f ca="1">IF(AND('Data Analysis Addin'!$G564&lt;='Data Analysis Addin'!$H564,G565&gt;H565), 1, 0)</f>
        <v>0</v>
      </c>
      <c r="J564" s="3">
        <f t="shared" ca="1" si="41"/>
        <v>1</v>
      </c>
      <c r="K564" s="19">
        <f>YEAR('Data Analysis Addin'!$A564)</f>
        <v>2023</v>
      </c>
    </row>
    <row r="565" spans="1:11" x14ac:dyDescent="0.4">
      <c r="A565" s="16">
        <v>44953</v>
      </c>
      <c r="B565" s="8">
        <v>405.68</v>
      </c>
      <c r="C565" s="11">
        <f t="shared" si="43"/>
        <v>393.34160000000003</v>
      </c>
      <c r="D565" s="11">
        <f t="shared" si="42"/>
        <v>394.86379999999997</v>
      </c>
      <c r="E565" s="8"/>
      <c r="F565" s="8"/>
      <c r="G565" s="8">
        <f t="shared" ca="1" si="39"/>
        <v>393.34160000000003</v>
      </c>
      <c r="H565" s="8">
        <f t="shared" ca="1" si="40"/>
        <v>394.86379999999997</v>
      </c>
      <c r="I565" s="12">
        <f ca="1">IF(AND('Data Analysis Addin'!$G565&lt;='Data Analysis Addin'!$H565,G566&gt;H566), 1, 0)</f>
        <v>0</v>
      </c>
      <c r="J565" s="2">
        <f t="shared" ca="1" si="41"/>
        <v>1</v>
      </c>
      <c r="K565" s="17">
        <f>YEAR('Data Analysis Addin'!$A565)</f>
        <v>2023</v>
      </c>
    </row>
    <row r="566" spans="1:11" x14ac:dyDescent="0.4">
      <c r="A566" s="18">
        <v>44956</v>
      </c>
      <c r="B566" s="9">
        <v>400.59</v>
      </c>
      <c r="C566" s="11">
        <f t="shared" si="43"/>
        <v>393.3836</v>
      </c>
      <c r="D566" s="11">
        <f t="shared" si="42"/>
        <v>394.67529999999999</v>
      </c>
      <c r="E566" s="9"/>
      <c r="F566" s="9"/>
      <c r="G566" s="9">
        <f t="shared" ca="1" si="39"/>
        <v>393.3836</v>
      </c>
      <c r="H566" s="9">
        <f t="shared" ca="1" si="40"/>
        <v>394.67529999999999</v>
      </c>
      <c r="I566" s="12">
        <f ca="1">IF(AND('Data Analysis Addin'!$G566&lt;='Data Analysis Addin'!$H566,G567&gt;H567), 1, 0)</f>
        <v>0</v>
      </c>
      <c r="J566" s="3">
        <f t="shared" ca="1" si="41"/>
        <v>1</v>
      </c>
      <c r="K566" s="19">
        <f>YEAR('Data Analysis Addin'!$A566)</f>
        <v>2023</v>
      </c>
    </row>
    <row r="567" spans="1:11" x14ac:dyDescent="0.4">
      <c r="A567" s="16">
        <v>44957</v>
      </c>
      <c r="B567" s="8">
        <v>406.48</v>
      </c>
      <c r="C567" s="11">
        <f t="shared" si="43"/>
        <v>393.60419999999999</v>
      </c>
      <c r="D567" s="11">
        <f t="shared" si="42"/>
        <v>394.49115</v>
      </c>
      <c r="E567" s="8"/>
      <c r="F567" s="8"/>
      <c r="G567" s="8">
        <f t="shared" ca="1" si="39"/>
        <v>393.60419999999999</v>
      </c>
      <c r="H567" s="8">
        <f t="shared" ca="1" si="40"/>
        <v>394.49115</v>
      </c>
      <c r="I567" s="12">
        <f ca="1">IF(AND('Data Analysis Addin'!$G567&lt;='Data Analysis Addin'!$H567,G568&gt;H568), 1, 0)</f>
        <v>0</v>
      </c>
      <c r="J567" s="2">
        <f t="shared" ca="1" si="41"/>
        <v>1</v>
      </c>
      <c r="K567" s="17">
        <f>YEAR('Data Analysis Addin'!$A567)</f>
        <v>2023</v>
      </c>
    </row>
    <row r="568" spans="1:11" x14ac:dyDescent="0.4">
      <c r="A568" s="18">
        <v>44958</v>
      </c>
      <c r="B568" s="9">
        <v>410.8</v>
      </c>
      <c r="C568" s="11">
        <f t="shared" si="43"/>
        <v>393.93539999999996</v>
      </c>
      <c r="D568" s="11">
        <f t="shared" si="42"/>
        <v>394.3562</v>
      </c>
      <c r="E568" s="9"/>
      <c r="F568" s="9"/>
      <c r="G568" s="9">
        <f t="shared" ca="1" si="39"/>
        <v>393.93539999999996</v>
      </c>
      <c r="H568" s="9">
        <f t="shared" ca="1" si="40"/>
        <v>394.3562</v>
      </c>
      <c r="I568" s="12">
        <f ca="1">IF(AND('Data Analysis Addin'!$G568&lt;='Data Analysis Addin'!$H568,G569&gt;H569), 1, 0)</f>
        <v>1</v>
      </c>
      <c r="J568" s="3">
        <f t="shared" ca="1" si="41"/>
        <v>1</v>
      </c>
      <c r="K568" s="19">
        <f>YEAR('Data Analysis Addin'!$A568)</f>
        <v>2023</v>
      </c>
    </row>
    <row r="569" spans="1:11" x14ac:dyDescent="0.4">
      <c r="A569" s="16">
        <v>44959</v>
      </c>
      <c r="B569" s="8">
        <v>416.78</v>
      </c>
      <c r="C569" s="11">
        <f t="shared" si="43"/>
        <v>394.35039999999992</v>
      </c>
      <c r="D569" s="11">
        <f t="shared" si="42"/>
        <v>394.25024999999999</v>
      </c>
      <c r="E569" s="8"/>
      <c r="F569" s="8"/>
      <c r="G569" s="8">
        <f t="shared" ca="1" si="39"/>
        <v>394.35039999999992</v>
      </c>
      <c r="H569" s="8">
        <f t="shared" ca="1" si="40"/>
        <v>394.25024999999999</v>
      </c>
      <c r="I569" s="12">
        <f ca="1">IF(AND('Data Analysis Addin'!$G569&lt;='Data Analysis Addin'!$H569,G570&gt;H570), 1, 0)</f>
        <v>0</v>
      </c>
      <c r="J569" s="2">
        <f t="shared" ca="1" si="41"/>
        <v>0</v>
      </c>
      <c r="K569" s="17">
        <f>YEAR('Data Analysis Addin'!$A569)</f>
        <v>2023</v>
      </c>
    </row>
    <row r="570" spans="1:11" x14ac:dyDescent="0.4">
      <c r="A570" s="18">
        <v>44960</v>
      </c>
      <c r="B570" s="9">
        <v>412.35</v>
      </c>
      <c r="C570" s="11">
        <f t="shared" si="43"/>
        <v>394.70559999999983</v>
      </c>
      <c r="D570" s="11">
        <f t="shared" si="42"/>
        <v>394.0868000000001</v>
      </c>
      <c r="E570" s="9"/>
      <c r="F570" s="9"/>
      <c r="G570" s="9">
        <f t="shared" ca="1" si="39"/>
        <v>394.70559999999983</v>
      </c>
      <c r="H570" s="9">
        <f t="shared" ca="1" si="40"/>
        <v>394.0868000000001</v>
      </c>
      <c r="I570" s="12">
        <f ca="1">IF(AND('Data Analysis Addin'!$G570&lt;='Data Analysis Addin'!$H570,G571&gt;H571), 1, 0)</f>
        <v>0</v>
      </c>
      <c r="J570" s="3">
        <f t="shared" ca="1" si="41"/>
        <v>0</v>
      </c>
      <c r="K570" s="19">
        <f>YEAR('Data Analysis Addin'!$A570)</f>
        <v>2023</v>
      </c>
    </row>
    <row r="571" spans="1:11" x14ac:dyDescent="0.4">
      <c r="A571" s="16">
        <v>44963</v>
      </c>
      <c r="B571" s="8">
        <v>409.83</v>
      </c>
      <c r="C571" s="11">
        <f t="shared" si="43"/>
        <v>394.90419999999989</v>
      </c>
      <c r="D571" s="11">
        <f t="shared" si="42"/>
        <v>393.91239999999999</v>
      </c>
      <c r="E571" s="8"/>
      <c r="F571" s="8"/>
      <c r="G571" s="8">
        <f t="shared" ca="1" si="39"/>
        <v>394.90419999999989</v>
      </c>
      <c r="H571" s="8">
        <f t="shared" ca="1" si="40"/>
        <v>393.91239999999999</v>
      </c>
      <c r="I571" s="12">
        <f ca="1">IF(AND('Data Analysis Addin'!$G571&lt;='Data Analysis Addin'!$H571,G572&gt;H572), 1, 0)</f>
        <v>0</v>
      </c>
      <c r="J571" s="2">
        <f t="shared" ca="1" si="41"/>
        <v>0</v>
      </c>
      <c r="K571" s="17">
        <f>YEAR('Data Analysis Addin'!$A571)</f>
        <v>2023</v>
      </c>
    </row>
    <row r="572" spans="1:11" x14ac:dyDescent="0.4">
      <c r="A572" s="18">
        <v>44964</v>
      </c>
      <c r="B572" s="9">
        <v>415.19</v>
      </c>
      <c r="C572" s="11">
        <f t="shared" si="43"/>
        <v>395.1595999999999</v>
      </c>
      <c r="D572" s="11">
        <f t="shared" si="42"/>
        <v>393.79804999999999</v>
      </c>
      <c r="E572" s="9"/>
      <c r="F572" s="9"/>
      <c r="G572" s="9">
        <f t="shared" ca="1" si="39"/>
        <v>395.1595999999999</v>
      </c>
      <c r="H572" s="9">
        <f t="shared" ca="1" si="40"/>
        <v>393.79804999999999</v>
      </c>
      <c r="I572" s="12">
        <f ca="1">IF(AND('Data Analysis Addin'!$G572&lt;='Data Analysis Addin'!$H572,G573&gt;H573), 1, 0)</f>
        <v>0</v>
      </c>
      <c r="J572" s="3">
        <f t="shared" ca="1" si="41"/>
        <v>0</v>
      </c>
      <c r="K572" s="19">
        <f>YEAR('Data Analysis Addin'!$A572)</f>
        <v>2023</v>
      </c>
    </row>
    <row r="573" spans="1:11" x14ac:dyDescent="0.4">
      <c r="A573" s="16">
        <v>44965</v>
      </c>
      <c r="B573" s="8">
        <v>410.65</v>
      </c>
      <c r="C573" s="11">
        <f t="shared" si="43"/>
        <v>395.32599999999996</v>
      </c>
      <c r="D573" s="11">
        <f t="shared" si="42"/>
        <v>393.72109999999998</v>
      </c>
      <c r="E573" s="8"/>
      <c r="F573" s="8"/>
      <c r="G573" s="8">
        <f t="shared" ca="1" si="39"/>
        <v>395.32599999999996</v>
      </c>
      <c r="H573" s="8">
        <f t="shared" ca="1" si="40"/>
        <v>393.72109999999998</v>
      </c>
      <c r="I573" s="12">
        <f ca="1">IF(AND('Data Analysis Addin'!$G573&lt;='Data Analysis Addin'!$H573,G574&gt;H574), 1, 0)</f>
        <v>0</v>
      </c>
      <c r="J573" s="2">
        <f t="shared" ca="1" si="41"/>
        <v>0</v>
      </c>
      <c r="K573" s="17">
        <f>YEAR('Data Analysis Addin'!$A573)</f>
        <v>2023</v>
      </c>
    </row>
    <row r="574" spans="1:11" x14ac:dyDescent="0.4">
      <c r="A574" s="18">
        <v>44966</v>
      </c>
      <c r="B574" s="9">
        <v>407.09</v>
      </c>
      <c r="C574" s="11">
        <f t="shared" si="43"/>
        <v>395.54959999999994</v>
      </c>
      <c r="D574" s="11">
        <f t="shared" si="42"/>
        <v>393.61400000000003</v>
      </c>
      <c r="E574" s="9"/>
      <c r="F574" s="9"/>
      <c r="G574" s="9">
        <f t="shared" ca="1" si="39"/>
        <v>395.54959999999994</v>
      </c>
      <c r="H574" s="9">
        <f t="shared" ca="1" si="40"/>
        <v>393.61400000000003</v>
      </c>
      <c r="I574" s="12">
        <f ca="1">IF(AND('Data Analysis Addin'!$G574&lt;='Data Analysis Addin'!$H574,G575&gt;H575), 1, 0)</f>
        <v>0</v>
      </c>
      <c r="J574" s="3">
        <f t="shared" ca="1" si="41"/>
        <v>0</v>
      </c>
      <c r="K574" s="19">
        <f>YEAR('Data Analysis Addin'!$A574)</f>
        <v>2023</v>
      </c>
    </row>
    <row r="575" spans="1:11" x14ac:dyDescent="0.4">
      <c r="A575" s="16">
        <v>44967</v>
      </c>
      <c r="B575" s="8">
        <v>408.04</v>
      </c>
      <c r="C575" s="11">
        <f t="shared" si="43"/>
        <v>395.80579999999992</v>
      </c>
      <c r="D575" s="11">
        <f t="shared" si="42"/>
        <v>393.57369999999997</v>
      </c>
      <c r="E575" s="8"/>
      <c r="F575" s="8"/>
      <c r="G575" s="8">
        <f t="shared" ca="1" si="39"/>
        <v>395.80579999999992</v>
      </c>
      <c r="H575" s="8">
        <f t="shared" ca="1" si="40"/>
        <v>393.57369999999997</v>
      </c>
      <c r="I575" s="12">
        <f ca="1">IF(AND('Data Analysis Addin'!$G575&lt;='Data Analysis Addin'!$H575,G576&gt;H576), 1, 0)</f>
        <v>0</v>
      </c>
      <c r="J575" s="2">
        <f t="shared" ca="1" si="41"/>
        <v>0</v>
      </c>
      <c r="K575" s="17">
        <f>YEAR('Data Analysis Addin'!$A575)</f>
        <v>2023</v>
      </c>
    </row>
    <row r="576" spans="1:11" x14ac:dyDescent="0.4">
      <c r="A576" s="18">
        <v>44970</v>
      </c>
      <c r="B576" s="9">
        <v>412.83</v>
      </c>
      <c r="C576" s="11">
        <f t="shared" si="43"/>
        <v>395.90879999999999</v>
      </c>
      <c r="D576" s="11">
        <f t="shared" si="42"/>
        <v>393.55149999999992</v>
      </c>
      <c r="E576" s="9"/>
      <c r="F576" s="9"/>
      <c r="G576" s="9">
        <f t="shared" ca="1" si="39"/>
        <v>395.90879999999999</v>
      </c>
      <c r="H576" s="9">
        <f t="shared" ca="1" si="40"/>
        <v>393.55149999999992</v>
      </c>
      <c r="I576" s="12">
        <f ca="1">IF(AND('Data Analysis Addin'!$G576&lt;='Data Analysis Addin'!$H576,G577&gt;H577), 1, 0)</f>
        <v>0</v>
      </c>
      <c r="J576" s="3">
        <f t="shared" ca="1" si="41"/>
        <v>0</v>
      </c>
      <c r="K576" s="19">
        <f>YEAR('Data Analysis Addin'!$A576)</f>
        <v>2023</v>
      </c>
    </row>
    <row r="577" spans="1:11" x14ac:dyDescent="0.4">
      <c r="A577" s="16">
        <v>44971</v>
      </c>
      <c r="B577" s="8">
        <v>412.64</v>
      </c>
      <c r="C577" s="11">
        <f t="shared" si="43"/>
        <v>396.01400000000001</v>
      </c>
      <c r="D577" s="11">
        <f t="shared" si="42"/>
        <v>393.47564999999997</v>
      </c>
      <c r="E577" s="8"/>
      <c r="F577" s="8"/>
      <c r="G577" s="8">
        <f t="shared" ca="1" si="39"/>
        <v>396.01400000000001</v>
      </c>
      <c r="H577" s="8">
        <f t="shared" ca="1" si="40"/>
        <v>393.47564999999997</v>
      </c>
      <c r="I577" s="12">
        <f ca="1">IF(AND('Data Analysis Addin'!$G577&lt;='Data Analysis Addin'!$H577,G578&gt;H578), 1, 0)</f>
        <v>0</v>
      </c>
      <c r="J577" s="2">
        <f t="shared" ca="1" si="41"/>
        <v>0</v>
      </c>
      <c r="K577" s="17">
        <f>YEAR('Data Analysis Addin'!$A577)</f>
        <v>2023</v>
      </c>
    </row>
    <row r="578" spans="1:11" x14ac:dyDescent="0.4">
      <c r="A578" s="18">
        <v>44972</v>
      </c>
      <c r="B578" s="9">
        <v>413.98</v>
      </c>
      <c r="C578" s="11">
        <f t="shared" si="43"/>
        <v>396.15539999999999</v>
      </c>
      <c r="D578" s="11">
        <f t="shared" si="42"/>
        <v>393.48554999999993</v>
      </c>
      <c r="E578" s="9"/>
      <c r="F578" s="9"/>
      <c r="G578" s="9">
        <f t="shared" ca="1" si="39"/>
        <v>396.15539999999999</v>
      </c>
      <c r="H578" s="9">
        <f t="shared" ca="1" si="40"/>
        <v>393.48554999999993</v>
      </c>
      <c r="I578" s="12">
        <f ca="1">IF(AND('Data Analysis Addin'!$G578&lt;='Data Analysis Addin'!$H578,G579&gt;H579), 1, 0)</f>
        <v>0</v>
      </c>
      <c r="J578" s="3">
        <f t="shared" ca="1" si="41"/>
        <v>0</v>
      </c>
      <c r="K578" s="19">
        <f>YEAR('Data Analysis Addin'!$A578)</f>
        <v>2023</v>
      </c>
    </row>
    <row r="579" spans="1:11" x14ac:dyDescent="0.4">
      <c r="A579" s="16">
        <v>44973</v>
      </c>
      <c r="B579" s="8">
        <v>408.28</v>
      </c>
      <c r="C579" s="11">
        <f t="shared" si="43"/>
        <v>396.32920000000007</v>
      </c>
      <c r="D579" s="11">
        <f t="shared" si="42"/>
        <v>393.45455000000004</v>
      </c>
      <c r="E579" s="8"/>
      <c r="F579" s="8"/>
      <c r="G579" s="8">
        <f t="shared" ref="G579:G642" ca="1" si="44">AVERAGE(OFFSET($B579,0,0,-(MIN(ROW()-ROW($B$3)+1,n_50)),1))</f>
        <v>396.32920000000007</v>
      </c>
      <c r="H579" s="8">
        <f t="shared" ref="H579:H642" ca="1" si="45">AVERAGE(OFFSET($B579,0,0,-(MIN(ROW()-ROW($B$3)+1,n_200)),1))</f>
        <v>393.45455000000004</v>
      </c>
      <c r="I579" s="12">
        <f ca="1">IF(AND('Data Analysis Addin'!$G579&lt;='Data Analysis Addin'!$H579,G580&gt;H580), 1, 0)</f>
        <v>0</v>
      </c>
      <c r="J579" s="2">
        <f t="shared" ref="J579:J642" ca="1" si="46">IF($G579&lt;$H579,1,0)</f>
        <v>0</v>
      </c>
      <c r="K579" s="17">
        <f>YEAR('Data Analysis Addin'!$A579)</f>
        <v>2023</v>
      </c>
    </row>
    <row r="580" spans="1:11" x14ac:dyDescent="0.4">
      <c r="A580" s="18">
        <v>44974</v>
      </c>
      <c r="B580" s="9">
        <v>407.26</v>
      </c>
      <c r="C580" s="11">
        <f t="shared" si="43"/>
        <v>396.59780000000001</v>
      </c>
      <c r="D580" s="11">
        <f t="shared" si="42"/>
        <v>393.40894999999995</v>
      </c>
      <c r="E580" s="9"/>
      <c r="F580" s="9"/>
      <c r="G580" s="9">
        <f t="shared" ca="1" si="44"/>
        <v>396.59780000000001</v>
      </c>
      <c r="H580" s="9">
        <f t="shared" ca="1" si="45"/>
        <v>393.40894999999995</v>
      </c>
      <c r="I580" s="12">
        <f ca="1">IF(AND('Data Analysis Addin'!$G580&lt;='Data Analysis Addin'!$H580,G581&gt;H581), 1, 0)</f>
        <v>0</v>
      </c>
      <c r="J580" s="3">
        <f t="shared" ca="1" si="46"/>
        <v>0</v>
      </c>
      <c r="K580" s="19">
        <f>YEAR('Data Analysis Addin'!$A580)</f>
        <v>2023</v>
      </c>
    </row>
    <row r="581" spans="1:11" x14ac:dyDescent="0.4">
      <c r="A581" s="16">
        <v>44978</v>
      </c>
      <c r="B581" s="8">
        <v>399.09</v>
      </c>
      <c r="C581" s="11">
        <f t="shared" si="43"/>
        <v>396.71640000000002</v>
      </c>
      <c r="D581" s="11">
        <f t="shared" si="42"/>
        <v>393.25909999999999</v>
      </c>
      <c r="E581" s="8"/>
      <c r="F581" s="8"/>
      <c r="G581" s="8">
        <f t="shared" ca="1" si="44"/>
        <v>396.71640000000002</v>
      </c>
      <c r="H581" s="8">
        <f t="shared" ca="1" si="45"/>
        <v>393.25909999999999</v>
      </c>
      <c r="I581" s="12">
        <f ca="1">IF(AND('Data Analysis Addin'!$G581&lt;='Data Analysis Addin'!$H581,G582&gt;H582), 1, 0)</f>
        <v>0</v>
      </c>
      <c r="J581" s="2">
        <f t="shared" ca="1" si="46"/>
        <v>0</v>
      </c>
      <c r="K581" s="17">
        <f>YEAR('Data Analysis Addin'!$A581)</f>
        <v>2023</v>
      </c>
    </row>
    <row r="582" spans="1:11" x14ac:dyDescent="0.4">
      <c r="A582" s="18">
        <v>44979</v>
      </c>
      <c r="B582" s="9">
        <v>398.54</v>
      </c>
      <c r="C582" s="11">
        <f t="shared" si="43"/>
        <v>396.7623999999999</v>
      </c>
      <c r="D582" s="11">
        <f t="shared" si="42"/>
        <v>393.18274999999994</v>
      </c>
      <c r="E582" s="9"/>
      <c r="F582" s="9"/>
      <c r="G582" s="9">
        <f t="shared" ca="1" si="44"/>
        <v>396.7623999999999</v>
      </c>
      <c r="H582" s="9">
        <f t="shared" ca="1" si="45"/>
        <v>393.18274999999994</v>
      </c>
      <c r="I582" s="12">
        <f ca="1">IF(AND('Data Analysis Addin'!$G582&lt;='Data Analysis Addin'!$H582,G583&gt;H583), 1, 0)</f>
        <v>0</v>
      </c>
      <c r="J582" s="3">
        <f t="shared" ca="1" si="46"/>
        <v>0</v>
      </c>
      <c r="K582" s="19">
        <f>YEAR('Data Analysis Addin'!$A582)</f>
        <v>2023</v>
      </c>
    </row>
    <row r="583" spans="1:11" x14ac:dyDescent="0.4">
      <c r="A583" s="16">
        <v>44980</v>
      </c>
      <c r="B583" s="8">
        <v>400.66</v>
      </c>
      <c r="C583" s="11">
        <f t="shared" si="43"/>
        <v>396.90999999999991</v>
      </c>
      <c r="D583" s="11">
        <f t="shared" si="42"/>
        <v>393.12934999999993</v>
      </c>
      <c r="E583" s="8"/>
      <c r="F583" s="8"/>
      <c r="G583" s="8">
        <f t="shared" ca="1" si="44"/>
        <v>396.90999999999991</v>
      </c>
      <c r="H583" s="8">
        <f t="shared" ca="1" si="45"/>
        <v>393.12934999999993</v>
      </c>
      <c r="I583" s="12">
        <f ca="1">IF(AND('Data Analysis Addin'!$G583&lt;='Data Analysis Addin'!$H583,G584&gt;H584), 1, 0)</f>
        <v>0</v>
      </c>
      <c r="J583" s="2">
        <f t="shared" ca="1" si="46"/>
        <v>0</v>
      </c>
      <c r="K583" s="17">
        <f>YEAR('Data Analysis Addin'!$A583)</f>
        <v>2023</v>
      </c>
    </row>
    <row r="584" spans="1:11" x14ac:dyDescent="0.4">
      <c r="A584" s="18">
        <v>44981</v>
      </c>
      <c r="B584" s="9">
        <v>396.38</v>
      </c>
      <c r="C584" s="11">
        <f t="shared" si="43"/>
        <v>396.85859999999991</v>
      </c>
      <c r="D584" s="11">
        <f t="shared" si="42"/>
        <v>393.12039999999996</v>
      </c>
      <c r="E584" s="9"/>
      <c r="F584" s="9"/>
      <c r="G584" s="9">
        <f t="shared" ca="1" si="44"/>
        <v>396.85859999999991</v>
      </c>
      <c r="H584" s="9">
        <f t="shared" ca="1" si="45"/>
        <v>393.12039999999996</v>
      </c>
      <c r="I584" s="12">
        <f ca="1">IF(AND('Data Analysis Addin'!$G584&lt;='Data Analysis Addin'!$H584,G585&gt;H585), 1, 0)</f>
        <v>0</v>
      </c>
      <c r="J584" s="3">
        <f t="shared" ca="1" si="46"/>
        <v>0</v>
      </c>
      <c r="K584" s="19">
        <f>YEAR('Data Analysis Addin'!$A584)</f>
        <v>2023</v>
      </c>
    </row>
    <row r="585" spans="1:11" x14ac:dyDescent="0.4">
      <c r="A585" s="16">
        <v>44984</v>
      </c>
      <c r="B585" s="8">
        <v>397.73</v>
      </c>
      <c r="C585" s="11">
        <f t="shared" si="43"/>
        <v>396.77379999999999</v>
      </c>
      <c r="D585" s="11">
        <f t="shared" si="42"/>
        <v>393.11359999999991</v>
      </c>
      <c r="E585" s="8"/>
      <c r="F585" s="8"/>
      <c r="G585" s="8">
        <f t="shared" ca="1" si="44"/>
        <v>396.77379999999999</v>
      </c>
      <c r="H585" s="8">
        <f t="shared" ca="1" si="45"/>
        <v>393.11359999999991</v>
      </c>
      <c r="I585" s="12">
        <f ca="1">IF(AND('Data Analysis Addin'!$G585&lt;='Data Analysis Addin'!$H585,G586&gt;H586), 1, 0)</f>
        <v>0</v>
      </c>
      <c r="J585" s="2">
        <f t="shared" ca="1" si="46"/>
        <v>0</v>
      </c>
      <c r="K585" s="17">
        <f>YEAR('Data Analysis Addin'!$A585)</f>
        <v>2023</v>
      </c>
    </row>
    <row r="586" spans="1:11" x14ac:dyDescent="0.4">
      <c r="A586" s="18">
        <v>44985</v>
      </c>
      <c r="B586" s="9">
        <v>396.26</v>
      </c>
      <c r="C586" s="11">
        <f t="shared" si="43"/>
        <v>396.7109999999999</v>
      </c>
      <c r="D586" s="11">
        <f t="shared" ref="D586:D649" si="47">AVERAGE(B387:B586)</f>
        <v>393.13114999999993</v>
      </c>
      <c r="E586" s="9"/>
      <c r="F586" s="9"/>
      <c r="G586" s="9">
        <f t="shared" ca="1" si="44"/>
        <v>396.7109999999999</v>
      </c>
      <c r="H586" s="9">
        <f t="shared" ca="1" si="45"/>
        <v>393.13114999999993</v>
      </c>
      <c r="I586" s="12">
        <f ca="1">IF(AND('Data Analysis Addin'!$G586&lt;='Data Analysis Addin'!$H586,G587&gt;H587), 1, 0)</f>
        <v>0</v>
      </c>
      <c r="J586" s="3">
        <f t="shared" ca="1" si="46"/>
        <v>0</v>
      </c>
      <c r="K586" s="19">
        <f>YEAR('Data Analysis Addin'!$A586)</f>
        <v>2023</v>
      </c>
    </row>
    <row r="587" spans="1:11" x14ac:dyDescent="0.4">
      <c r="A587" s="16">
        <v>44986</v>
      </c>
      <c r="B587" s="8">
        <v>394.74</v>
      </c>
      <c r="C587" s="11">
        <f t="shared" si="43"/>
        <v>396.81319999999994</v>
      </c>
      <c r="D587" s="11">
        <f t="shared" si="47"/>
        <v>393.14314999999988</v>
      </c>
      <c r="E587" s="8"/>
      <c r="F587" s="8"/>
      <c r="G587" s="8">
        <f t="shared" ca="1" si="44"/>
        <v>396.81319999999994</v>
      </c>
      <c r="H587" s="8">
        <f t="shared" ca="1" si="45"/>
        <v>393.14314999999988</v>
      </c>
      <c r="I587" s="12">
        <f ca="1">IF(AND('Data Analysis Addin'!$G587&lt;='Data Analysis Addin'!$H587,G588&gt;H588), 1, 0)</f>
        <v>0</v>
      </c>
      <c r="J587" s="2">
        <f t="shared" ca="1" si="46"/>
        <v>0</v>
      </c>
      <c r="K587" s="17">
        <f>YEAR('Data Analysis Addin'!$A587)</f>
        <v>2023</v>
      </c>
    </row>
    <row r="588" spans="1:11" x14ac:dyDescent="0.4">
      <c r="A588" s="18">
        <v>44987</v>
      </c>
      <c r="B588" s="9">
        <v>397.81</v>
      </c>
      <c r="C588" s="11">
        <f t="shared" si="43"/>
        <v>397.1040000000001</v>
      </c>
      <c r="D588" s="11">
        <f t="shared" si="47"/>
        <v>393.12359999999984</v>
      </c>
      <c r="E588" s="9"/>
      <c r="F588" s="9"/>
      <c r="G588" s="9">
        <f t="shared" ca="1" si="44"/>
        <v>397.1040000000001</v>
      </c>
      <c r="H588" s="9">
        <f t="shared" ca="1" si="45"/>
        <v>393.12359999999984</v>
      </c>
      <c r="I588" s="12">
        <f ca="1">IF(AND('Data Analysis Addin'!$G588&lt;='Data Analysis Addin'!$H588,G589&gt;H589), 1, 0)</f>
        <v>0</v>
      </c>
      <c r="J588" s="3">
        <f t="shared" ca="1" si="46"/>
        <v>0</v>
      </c>
      <c r="K588" s="19">
        <f>YEAR('Data Analysis Addin'!$A588)</f>
        <v>2023</v>
      </c>
    </row>
    <row r="589" spans="1:11" x14ac:dyDescent="0.4">
      <c r="A589" s="16">
        <v>44988</v>
      </c>
      <c r="B589" s="8">
        <v>404.19</v>
      </c>
      <c r="C589" s="11">
        <f t="shared" si="43"/>
        <v>397.58740000000006</v>
      </c>
      <c r="D589" s="11">
        <f t="shared" si="47"/>
        <v>393.14409999999981</v>
      </c>
      <c r="E589" s="8"/>
      <c r="F589" s="8"/>
      <c r="G589" s="8">
        <f t="shared" ca="1" si="44"/>
        <v>397.58740000000006</v>
      </c>
      <c r="H589" s="8">
        <f t="shared" ca="1" si="45"/>
        <v>393.14409999999981</v>
      </c>
      <c r="I589" s="12">
        <f ca="1">IF(AND('Data Analysis Addin'!$G589&lt;='Data Analysis Addin'!$H589,G590&gt;H590), 1, 0)</f>
        <v>0</v>
      </c>
      <c r="J589" s="2">
        <f t="shared" ca="1" si="46"/>
        <v>0</v>
      </c>
      <c r="K589" s="17">
        <f>YEAR('Data Analysis Addin'!$A589)</f>
        <v>2023</v>
      </c>
    </row>
    <row r="590" spans="1:11" x14ac:dyDescent="0.4">
      <c r="A590" s="18">
        <v>44991</v>
      </c>
      <c r="B590" s="9">
        <v>404.47</v>
      </c>
      <c r="C590" s="11">
        <f t="shared" si="43"/>
        <v>398.06600000000003</v>
      </c>
      <c r="D590" s="11">
        <f t="shared" si="47"/>
        <v>393.12484999999981</v>
      </c>
      <c r="E590" s="9"/>
      <c r="F590" s="9"/>
      <c r="G590" s="9">
        <f t="shared" ca="1" si="44"/>
        <v>398.06600000000003</v>
      </c>
      <c r="H590" s="9">
        <f t="shared" ca="1" si="45"/>
        <v>393.12484999999981</v>
      </c>
      <c r="I590" s="12">
        <f ca="1">IF(AND('Data Analysis Addin'!$G590&lt;='Data Analysis Addin'!$H590,G591&gt;H591), 1, 0)</f>
        <v>0</v>
      </c>
      <c r="J590" s="3">
        <f t="shared" ca="1" si="46"/>
        <v>0</v>
      </c>
      <c r="K590" s="19">
        <f>YEAR('Data Analysis Addin'!$A590)</f>
        <v>2023</v>
      </c>
    </row>
    <row r="591" spans="1:11" x14ac:dyDescent="0.4">
      <c r="A591" s="16">
        <v>44992</v>
      </c>
      <c r="B591" s="8">
        <v>398.27</v>
      </c>
      <c r="C591" s="11">
        <f t="shared" si="43"/>
        <v>398.30680000000007</v>
      </c>
      <c r="D591" s="11">
        <f t="shared" si="47"/>
        <v>393.15689999999978</v>
      </c>
      <c r="E591" s="8"/>
      <c r="F591" s="8"/>
      <c r="G591" s="8">
        <f t="shared" ca="1" si="44"/>
        <v>398.30680000000007</v>
      </c>
      <c r="H591" s="8">
        <f t="shared" ca="1" si="45"/>
        <v>393.15689999999978</v>
      </c>
      <c r="I591" s="12">
        <f ca="1">IF(AND('Data Analysis Addin'!$G591&lt;='Data Analysis Addin'!$H591,G592&gt;H592), 1, 0)</f>
        <v>0</v>
      </c>
      <c r="J591" s="2">
        <f t="shared" ca="1" si="46"/>
        <v>0</v>
      </c>
      <c r="K591" s="17">
        <f>YEAR('Data Analysis Addin'!$A591)</f>
        <v>2023</v>
      </c>
    </row>
    <row r="592" spans="1:11" x14ac:dyDescent="0.4">
      <c r="A592" s="18">
        <v>44993</v>
      </c>
      <c r="B592" s="9">
        <v>398.92</v>
      </c>
      <c r="C592" s="11">
        <f t="shared" si="43"/>
        <v>398.67080000000004</v>
      </c>
      <c r="D592" s="11">
        <f t="shared" si="47"/>
        <v>393.20419999999979</v>
      </c>
      <c r="E592" s="9"/>
      <c r="F592" s="9"/>
      <c r="G592" s="9">
        <f t="shared" ca="1" si="44"/>
        <v>398.67080000000004</v>
      </c>
      <c r="H592" s="9">
        <f t="shared" ca="1" si="45"/>
        <v>393.20419999999979</v>
      </c>
      <c r="I592" s="12">
        <f ca="1">IF(AND('Data Analysis Addin'!$G592&lt;='Data Analysis Addin'!$H592,G593&gt;H593), 1, 0)</f>
        <v>0</v>
      </c>
      <c r="J592" s="3">
        <f t="shared" ca="1" si="46"/>
        <v>0</v>
      </c>
      <c r="K592" s="19">
        <f>YEAR('Data Analysis Addin'!$A592)</f>
        <v>2023</v>
      </c>
    </row>
    <row r="593" spans="1:11" x14ac:dyDescent="0.4">
      <c r="A593" s="16">
        <v>44994</v>
      </c>
      <c r="B593" s="8">
        <v>391.56</v>
      </c>
      <c r="C593" s="11">
        <f t="shared" si="43"/>
        <v>398.84380000000004</v>
      </c>
      <c r="D593" s="11">
        <f t="shared" si="47"/>
        <v>393.21384999999964</v>
      </c>
      <c r="E593" s="8"/>
      <c r="F593" s="8"/>
      <c r="G593" s="8">
        <f t="shared" ca="1" si="44"/>
        <v>398.84380000000004</v>
      </c>
      <c r="H593" s="8">
        <f t="shared" ca="1" si="45"/>
        <v>393.21384999999964</v>
      </c>
      <c r="I593" s="12">
        <f ca="1">IF(AND('Data Analysis Addin'!$G593&lt;='Data Analysis Addin'!$H593,G594&gt;H594), 1, 0)</f>
        <v>0</v>
      </c>
      <c r="J593" s="2">
        <f t="shared" ca="1" si="46"/>
        <v>0</v>
      </c>
      <c r="K593" s="17">
        <f>YEAR('Data Analysis Addin'!$A593)</f>
        <v>2023</v>
      </c>
    </row>
    <row r="594" spans="1:11" x14ac:dyDescent="0.4">
      <c r="A594" s="18">
        <v>44995</v>
      </c>
      <c r="B594" s="9">
        <v>385.91</v>
      </c>
      <c r="C594" s="11">
        <f t="shared" si="43"/>
        <v>398.93400000000008</v>
      </c>
      <c r="D594" s="11">
        <f t="shared" si="47"/>
        <v>393.15879999999976</v>
      </c>
      <c r="E594" s="9"/>
      <c r="F594" s="9"/>
      <c r="G594" s="9">
        <f t="shared" ca="1" si="44"/>
        <v>398.93400000000008</v>
      </c>
      <c r="H594" s="9">
        <f t="shared" ca="1" si="45"/>
        <v>393.15879999999976</v>
      </c>
      <c r="I594" s="12">
        <f ca="1">IF(AND('Data Analysis Addin'!$G594&lt;='Data Analysis Addin'!$H594,G595&gt;H595), 1, 0)</f>
        <v>0</v>
      </c>
      <c r="J594" s="3">
        <f t="shared" ca="1" si="46"/>
        <v>0</v>
      </c>
      <c r="K594" s="19">
        <f>YEAR('Data Analysis Addin'!$A594)</f>
        <v>2023</v>
      </c>
    </row>
    <row r="595" spans="1:11" x14ac:dyDescent="0.4">
      <c r="A595" s="16">
        <v>44998</v>
      </c>
      <c r="B595" s="8">
        <v>385.36</v>
      </c>
      <c r="C595" s="11">
        <f t="shared" si="43"/>
        <v>399.10800000000012</v>
      </c>
      <c r="D595" s="11">
        <f t="shared" si="47"/>
        <v>393.11614999999966</v>
      </c>
      <c r="E595" s="8"/>
      <c r="F595" s="8"/>
      <c r="G595" s="8">
        <f t="shared" ca="1" si="44"/>
        <v>399.10800000000012</v>
      </c>
      <c r="H595" s="8">
        <f t="shared" ca="1" si="45"/>
        <v>393.11614999999966</v>
      </c>
      <c r="I595" s="12">
        <f ca="1">IF(AND('Data Analysis Addin'!$G595&lt;='Data Analysis Addin'!$H595,G596&gt;H596), 1, 0)</f>
        <v>0</v>
      </c>
      <c r="J595" s="2">
        <f t="shared" ca="1" si="46"/>
        <v>0</v>
      </c>
      <c r="K595" s="17">
        <f>YEAR('Data Analysis Addin'!$A595)</f>
        <v>2023</v>
      </c>
    </row>
    <row r="596" spans="1:11" x14ac:dyDescent="0.4">
      <c r="A596" s="18">
        <v>44999</v>
      </c>
      <c r="B596" s="9">
        <v>391.73</v>
      </c>
      <c r="C596" s="11">
        <f t="shared" si="43"/>
        <v>399.27380000000005</v>
      </c>
      <c r="D596" s="11">
        <f t="shared" si="47"/>
        <v>393.08794999999969</v>
      </c>
      <c r="E596" s="9"/>
      <c r="F596" s="9"/>
      <c r="G596" s="9">
        <f t="shared" ca="1" si="44"/>
        <v>399.27380000000005</v>
      </c>
      <c r="H596" s="9">
        <f t="shared" ca="1" si="45"/>
        <v>393.08794999999969</v>
      </c>
      <c r="I596" s="12">
        <f ca="1">IF(AND('Data Analysis Addin'!$G596&lt;='Data Analysis Addin'!$H596,G597&gt;H597), 1, 0)</f>
        <v>0</v>
      </c>
      <c r="J596" s="3">
        <f t="shared" ca="1" si="46"/>
        <v>0</v>
      </c>
      <c r="K596" s="19">
        <f>YEAR('Data Analysis Addin'!$A596)</f>
        <v>2023</v>
      </c>
    </row>
    <row r="597" spans="1:11" x14ac:dyDescent="0.4">
      <c r="A597" s="16">
        <v>45000</v>
      </c>
      <c r="B597" s="8">
        <v>389.28</v>
      </c>
      <c r="C597" s="11">
        <f t="shared" si="43"/>
        <v>399.41079999999999</v>
      </c>
      <c r="D597" s="11">
        <f t="shared" si="47"/>
        <v>393.00779999999969</v>
      </c>
      <c r="E597" s="8"/>
      <c r="F597" s="8"/>
      <c r="G597" s="8">
        <f t="shared" ca="1" si="44"/>
        <v>399.41079999999999</v>
      </c>
      <c r="H597" s="8">
        <f t="shared" ca="1" si="45"/>
        <v>393.00779999999969</v>
      </c>
      <c r="I597" s="12">
        <f ca="1">IF(AND('Data Analysis Addin'!$G597&lt;='Data Analysis Addin'!$H597,G598&gt;H598), 1, 0)</f>
        <v>0</v>
      </c>
      <c r="J597" s="2">
        <f t="shared" ca="1" si="46"/>
        <v>0</v>
      </c>
      <c r="K597" s="17">
        <f>YEAR('Data Analysis Addin'!$A597)</f>
        <v>2023</v>
      </c>
    </row>
    <row r="598" spans="1:11" x14ac:dyDescent="0.4">
      <c r="A598" s="18">
        <v>45001</v>
      </c>
      <c r="B598" s="9">
        <v>396.11</v>
      </c>
      <c r="C598" s="11">
        <f t="shared" si="43"/>
        <v>399.71660000000003</v>
      </c>
      <c r="D598" s="11">
        <f t="shared" si="47"/>
        <v>392.91204999999974</v>
      </c>
      <c r="E598" s="9"/>
      <c r="F598" s="9"/>
      <c r="G598" s="9">
        <f t="shared" ca="1" si="44"/>
        <v>399.71660000000003</v>
      </c>
      <c r="H598" s="9">
        <f t="shared" ca="1" si="45"/>
        <v>392.91204999999974</v>
      </c>
      <c r="I598" s="12">
        <f ca="1">IF(AND('Data Analysis Addin'!$G598&lt;='Data Analysis Addin'!$H598,G599&gt;H599), 1, 0)</f>
        <v>0</v>
      </c>
      <c r="J598" s="3">
        <f t="shared" ca="1" si="46"/>
        <v>0</v>
      </c>
      <c r="K598" s="19">
        <f>YEAR('Data Analysis Addin'!$A598)</f>
        <v>2023</v>
      </c>
    </row>
    <row r="599" spans="1:11" x14ac:dyDescent="0.4">
      <c r="A599" s="16">
        <v>45002</v>
      </c>
      <c r="B599" s="8">
        <v>389.99</v>
      </c>
      <c r="C599" s="11">
        <f t="shared" si="43"/>
        <v>399.84120000000001</v>
      </c>
      <c r="D599" s="11">
        <f t="shared" si="47"/>
        <v>392.79734999999977</v>
      </c>
      <c r="E599" s="8"/>
      <c r="F599" s="8"/>
      <c r="G599" s="8">
        <f t="shared" ca="1" si="44"/>
        <v>399.84120000000001</v>
      </c>
      <c r="H599" s="8">
        <f t="shared" ca="1" si="45"/>
        <v>392.79734999999977</v>
      </c>
      <c r="I599" s="12">
        <f ca="1">IF(AND('Data Analysis Addin'!$G599&lt;='Data Analysis Addin'!$H599,G600&gt;H600), 1, 0)</f>
        <v>0</v>
      </c>
      <c r="J599" s="2">
        <f t="shared" ca="1" si="46"/>
        <v>0</v>
      </c>
      <c r="K599" s="17">
        <f>YEAR('Data Analysis Addin'!$A599)</f>
        <v>2023</v>
      </c>
    </row>
    <row r="600" spans="1:11" x14ac:dyDescent="0.4">
      <c r="A600" s="18">
        <v>45005</v>
      </c>
      <c r="B600" s="9">
        <v>393.74</v>
      </c>
      <c r="C600" s="11">
        <f t="shared" si="43"/>
        <v>400.12840000000006</v>
      </c>
      <c r="D600" s="11">
        <f t="shared" si="47"/>
        <v>392.71809999999977</v>
      </c>
      <c r="E600" s="9"/>
      <c r="F600" s="9"/>
      <c r="G600" s="9">
        <f t="shared" ca="1" si="44"/>
        <v>400.12840000000006</v>
      </c>
      <c r="H600" s="9">
        <f t="shared" ca="1" si="45"/>
        <v>392.71809999999977</v>
      </c>
      <c r="I600" s="12">
        <f ca="1">IF(AND('Data Analysis Addin'!$G600&lt;='Data Analysis Addin'!$H600,G601&gt;H601), 1, 0)</f>
        <v>0</v>
      </c>
      <c r="J600" s="3">
        <f t="shared" ca="1" si="46"/>
        <v>0</v>
      </c>
      <c r="K600" s="19">
        <f>YEAR('Data Analysis Addin'!$A600)</f>
        <v>2023</v>
      </c>
    </row>
    <row r="601" spans="1:11" x14ac:dyDescent="0.4">
      <c r="A601" s="16">
        <v>45006</v>
      </c>
      <c r="B601" s="8">
        <v>398.91</v>
      </c>
      <c r="C601" s="11">
        <f t="shared" si="43"/>
        <v>400.34500000000008</v>
      </c>
      <c r="D601" s="11">
        <f t="shared" si="47"/>
        <v>392.62569999999982</v>
      </c>
      <c r="E601" s="8"/>
      <c r="F601" s="8"/>
      <c r="G601" s="8">
        <f t="shared" ca="1" si="44"/>
        <v>400.34500000000008</v>
      </c>
      <c r="H601" s="8">
        <f t="shared" ca="1" si="45"/>
        <v>392.62569999999982</v>
      </c>
      <c r="I601" s="12">
        <f ca="1">IF(AND('Data Analysis Addin'!$G601&lt;='Data Analysis Addin'!$H601,G602&gt;H602), 1, 0)</f>
        <v>0</v>
      </c>
      <c r="J601" s="2">
        <f t="shared" ca="1" si="46"/>
        <v>0</v>
      </c>
      <c r="K601" s="17">
        <f>YEAR('Data Analysis Addin'!$A601)</f>
        <v>2023</v>
      </c>
    </row>
    <row r="602" spans="1:11" x14ac:dyDescent="0.4">
      <c r="A602" s="18">
        <v>45007</v>
      </c>
      <c r="B602" s="9">
        <v>392.11</v>
      </c>
      <c r="C602" s="11">
        <f t="shared" si="43"/>
        <v>400.43000000000006</v>
      </c>
      <c r="D602" s="11">
        <f t="shared" si="47"/>
        <v>392.53354999999982</v>
      </c>
      <c r="E602" s="9"/>
      <c r="F602" s="9"/>
      <c r="G602" s="9">
        <f t="shared" ca="1" si="44"/>
        <v>400.43000000000006</v>
      </c>
      <c r="H602" s="9">
        <f t="shared" ca="1" si="45"/>
        <v>392.53354999999982</v>
      </c>
      <c r="I602" s="12">
        <f ca="1">IF(AND('Data Analysis Addin'!$G602&lt;='Data Analysis Addin'!$H602,G603&gt;H603), 1, 0)</f>
        <v>0</v>
      </c>
      <c r="J602" s="3">
        <f t="shared" ca="1" si="46"/>
        <v>0</v>
      </c>
      <c r="K602" s="19">
        <f>YEAR('Data Analysis Addin'!$A602)</f>
        <v>2023</v>
      </c>
    </row>
    <row r="603" spans="1:11" x14ac:dyDescent="0.4">
      <c r="A603" s="16">
        <v>45008</v>
      </c>
      <c r="B603" s="8">
        <v>393.17</v>
      </c>
      <c r="C603" s="11">
        <f t="shared" si="43"/>
        <v>400.48180000000002</v>
      </c>
      <c r="D603" s="11">
        <f t="shared" si="47"/>
        <v>392.44044999999977</v>
      </c>
      <c r="E603" s="8"/>
      <c r="F603" s="8"/>
      <c r="G603" s="8">
        <f t="shared" ca="1" si="44"/>
        <v>400.48180000000002</v>
      </c>
      <c r="H603" s="8">
        <f t="shared" ca="1" si="45"/>
        <v>392.44044999999977</v>
      </c>
      <c r="I603" s="12">
        <f ca="1">IF(AND('Data Analysis Addin'!$G603&lt;='Data Analysis Addin'!$H603,G604&gt;H604), 1, 0)</f>
        <v>0</v>
      </c>
      <c r="J603" s="2">
        <f t="shared" ca="1" si="46"/>
        <v>0</v>
      </c>
      <c r="K603" s="17">
        <f>YEAR('Data Analysis Addin'!$A603)</f>
        <v>2023</v>
      </c>
    </row>
    <row r="604" spans="1:11" x14ac:dyDescent="0.4">
      <c r="A604" s="18">
        <v>45009</v>
      </c>
      <c r="B604" s="9">
        <v>395.75</v>
      </c>
      <c r="C604" s="11">
        <f t="shared" si="43"/>
        <v>400.4864</v>
      </c>
      <c r="D604" s="11">
        <f t="shared" si="47"/>
        <v>392.34049999999979</v>
      </c>
      <c r="E604" s="9"/>
      <c r="F604" s="9"/>
      <c r="G604" s="9">
        <f t="shared" ca="1" si="44"/>
        <v>400.4864</v>
      </c>
      <c r="H604" s="9">
        <f t="shared" ca="1" si="45"/>
        <v>392.34049999999979</v>
      </c>
      <c r="I604" s="12">
        <f ca="1">IF(AND('Data Analysis Addin'!$G604&lt;='Data Analysis Addin'!$H604,G605&gt;H605), 1, 0)</f>
        <v>0</v>
      </c>
      <c r="J604" s="3">
        <f t="shared" ca="1" si="46"/>
        <v>0</v>
      </c>
      <c r="K604" s="19">
        <f>YEAR('Data Analysis Addin'!$A604)</f>
        <v>2023</v>
      </c>
    </row>
    <row r="605" spans="1:11" x14ac:dyDescent="0.4">
      <c r="A605" s="16">
        <v>45012</v>
      </c>
      <c r="B605" s="8">
        <v>396.49</v>
      </c>
      <c r="C605" s="11">
        <f t="shared" si="43"/>
        <v>400.47700000000003</v>
      </c>
      <c r="D605" s="11">
        <f t="shared" si="47"/>
        <v>392.26684999999981</v>
      </c>
      <c r="E605" s="8"/>
      <c r="F605" s="8"/>
      <c r="G605" s="8">
        <f t="shared" ca="1" si="44"/>
        <v>400.47700000000003</v>
      </c>
      <c r="H605" s="8">
        <f t="shared" ca="1" si="45"/>
        <v>392.26684999999981</v>
      </c>
      <c r="I605" s="12">
        <f ca="1">IF(AND('Data Analysis Addin'!$G605&lt;='Data Analysis Addin'!$H605,G606&gt;H606), 1, 0)</f>
        <v>0</v>
      </c>
      <c r="J605" s="2">
        <f t="shared" ca="1" si="46"/>
        <v>0</v>
      </c>
      <c r="K605" s="17">
        <f>YEAR('Data Analysis Addin'!$A605)</f>
        <v>2023</v>
      </c>
    </row>
    <row r="606" spans="1:11" x14ac:dyDescent="0.4">
      <c r="A606" s="18">
        <v>45013</v>
      </c>
      <c r="B606" s="9">
        <v>395.6</v>
      </c>
      <c r="C606" s="11">
        <f t="shared" si="43"/>
        <v>400.41900000000004</v>
      </c>
      <c r="D606" s="11">
        <f t="shared" si="47"/>
        <v>392.23764999999992</v>
      </c>
      <c r="E606" s="9"/>
      <c r="F606" s="9"/>
      <c r="G606" s="9">
        <f t="shared" ca="1" si="44"/>
        <v>400.41900000000004</v>
      </c>
      <c r="H606" s="9">
        <f t="shared" ca="1" si="45"/>
        <v>392.23764999999992</v>
      </c>
      <c r="I606" s="12">
        <f ca="1">IF(AND('Data Analysis Addin'!$G606&lt;='Data Analysis Addin'!$H606,G607&gt;H607), 1, 0)</f>
        <v>0</v>
      </c>
      <c r="J606" s="3">
        <f t="shared" ca="1" si="46"/>
        <v>0</v>
      </c>
      <c r="K606" s="19">
        <f>YEAR('Data Analysis Addin'!$A606)</f>
        <v>2023</v>
      </c>
    </row>
    <row r="607" spans="1:11" x14ac:dyDescent="0.4">
      <c r="A607" s="16">
        <v>45014</v>
      </c>
      <c r="B607" s="8">
        <v>401.35</v>
      </c>
      <c r="C607" s="11">
        <f t="shared" si="43"/>
        <v>400.49059999999997</v>
      </c>
      <c r="D607" s="11">
        <f t="shared" si="47"/>
        <v>392.29540000000003</v>
      </c>
      <c r="E607" s="8"/>
      <c r="F607" s="8"/>
      <c r="G607" s="8">
        <f t="shared" ca="1" si="44"/>
        <v>400.49059999999997</v>
      </c>
      <c r="H607" s="8">
        <f t="shared" ca="1" si="45"/>
        <v>392.29540000000003</v>
      </c>
      <c r="I607" s="12">
        <f ca="1">IF(AND('Data Analysis Addin'!$G607&lt;='Data Analysis Addin'!$H607,G608&gt;H608), 1, 0)</f>
        <v>0</v>
      </c>
      <c r="J607" s="2">
        <f t="shared" ca="1" si="46"/>
        <v>0</v>
      </c>
      <c r="K607" s="17">
        <f>YEAR('Data Analysis Addin'!$A607)</f>
        <v>2023</v>
      </c>
    </row>
    <row r="608" spans="1:11" x14ac:dyDescent="0.4">
      <c r="A608" s="18">
        <v>45015</v>
      </c>
      <c r="B608" s="9">
        <v>403.7</v>
      </c>
      <c r="C608" s="11">
        <f t="shared" si="43"/>
        <v>400.73480000000001</v>
      </c>
      <c r="D608" s="11">
        <f t="shared" si="47"/>
        <v>392.43889999999999</v>
      </c>
      <c r="E608" s="9"/>
      <c r="F608" s="9"/>
      <c r="G608" s="9">
        <f t="shared" ca="1" si="44"/>
        <v>400.73480000000001</v>
      </c>
      <c r="H608" s="9">
        <f t="shared" ca="1" si="45"/>
        <v>392.43889999999999</v>
      </c>
      <c r="I608" s="12">
        <f ca="1">IF(AND('Data Analysis Addin'!$G608&lt;='Data Analysis Addin'!$H608,G609&gt;H609), 1, 0)</f>
        <v>0</v>
      </c>
      <c r="J608" s="3">
        <f t="shared" ca="1" si="46"/>
        <v>0</v>
      </c>
      <c r="K608" s="19">
        <f>YEAR('Data Analysis Addin'!$A608)</f>
        <v>2023</v>
      </c>
    </row>
    <row r="609" spans="1:11" x14ac:dyDescent="0.4">
      <c r="A609" s="16">
        <v>45016</v>
      </c>
      <c r="B609" s="8">
        <v>409.39</v>
      </c>
      <c r="C609" s="11">
        <f t="shared" si="43"/>
        <v>401.14979999999997</v>
      </c>
      <c r="D609" s="11">
        <f t="shared" si="47"/>
        <v>392.61650000000003</v>
      </c>
      <c r="E609" s="8"/>
      <c r="F609" s="8"/>
      <c r="G609" s="8">
        <f t="shared" ca="1" si="44"/>
        <v>401.14979999999997</v>
      </c>
      <c r="H609" s="8">
        <f t="shared" ca="1" si="45"/>
        <v>392.61650000000003</v>
      </c>
      <c r="I609" s="12">
        <f ca="1">IF(AND('Data Analysis Addin'!$G609&lt;='Data Analysis Addin'!$H609,G610&gt;H610), 1, 0)</f>
        <v>0</v>
      </c>
      <c r="J609" s="2">
        <f t="shared" ca="1" si="46"/>
        <v>0</v>
      </c>
      <c r="K609" s="17">
        <f>YEAR('Data Analysis Addin'!$A609)</f>
        <v>2023</v>
      </c>
    </row>
    <row r="610" spans="1:11" x14ac:dyDescent="0.4">
      <c r="A610" s="18">
        <v>45019</v>
      </c>
      <c r="B610" s="9">
        <v>410.95</v>
      </c>
      <c r="C610" s="11">
        <f t="shared" si="43"/>
        <v>401.45119999999997</v>
      </c>
      <c r="D610" s="11">
        <f t="shared" si="47"/>
        <v>392.77525000000003</v>
      </c>
      <c r="E610" s="9"/>
      <c r="F610" s="9"/>
      <c r="G610" s="9">
        <f t="shared" ca="1" si="44"/>
        <v>401.45119999999997</v>
      </c>
      <c r="H610" s="9">
        <f t="shared" ca="1" si="45"/>
        <v>392.77525000000003</v>
      </c>
      <c r="I610" s="12">
        <f ca="1">IF(AND('Data Analysis Addin'!$G610&lt;='Data Analysis Addin'!$H610,G611&gt;H611), 1, 0)</f>
        <v>0</v>
      </c>
      <c r="J610" s="3">
        <f t="shared" ca="1" si="46"/>
        <v>0</v>
      </c>
      <c r="K610" s="19">
        <f>YEAR('Data Analysis Addin'!$A610)</f>
        <v>2023</v>
      </c>
    </row>
    <row r="611" spans="1:11" x14ac:dyDescent="0.4">
      <c r="A611" s="16">
        <v>45020</v>
      </c>
      <c r="B611" s="8">
        <v>408.67</v>
      </c>
      <c r="C611" s="11">
        <f t="shared" si="43"/>
        <v>401.61199999999991</v>
      </c>
      <c r="D611" s="11">
        <f t="shared" si="47"/>
        <v>392.9853500000001</v>
      </c>
      <c r="E611" s="8"/>
      <c r="F611" s="8"/>
      <c r="G611" s="8">
        <f t="shared" ca="1" si="44"/>
        <v>401.61199999999991</v>
      </c>
      <c r="H611" s="8">
        <f t="shared" ca="1" si="45"/>
        <v>392.9853500000001</v>
      </c>
      <c r="I611" s="12">
        <f ca="1">IF(AND('Data Analysis Addin'!$G611&lt;='Data Analysis Addin'!$H611,G612&gt;H612), 1, 0)</f>
        <v>0</v>
      </c>
      <c r="J611" s="2">
        <f t="shared" ca="1" si="46"/>
        <v>0</v>
      </c>
      <c r="K611" s="17">
        <f>YEAR('Data Analysis Addin'!$A611)</f>
        <v>2023</v>
      </c>
    </row>
    <row r="612" spans="1:11" x14ac:dyDescent="0.4">
      <c r="A612" s="18">
        <v>45021</v>
      </c>
      <c r="B612" s="9">
        <v>407.6</v>
      </c>
      <c r="C612" s="11">
        <f t="shared" si="43"/>
        <v>401.75999999999993</v>
      </c>
      <c r="D612" s="11">
        <f t="shared" si="47"/>
        <v>393.19405000000012</v>
      </c>
      <c r="E612" s="9"/>
      <c r="F612" s="9"/>
      <c r="G612" s="9">
        <f t="shared" ca="1" si="44"/>
        <v>401.75999999999993</v>
      </c>
      <c r="H612" s="9">
        <f t="shared" ca="1" si="45"/>
        <v>393.19405000000012</v>
      </c>
      <c r="I612" s="12">
        <f ca="1">IF(AND('Data Analysis Addin'!$G612&lt;='Data Analysis Addin'!$H612,G613&gt;H613), 1, 0)</f>
        <v>0</v>
      </c>
      <c r="J612" s="3">
        <f t="shared" ca="1" si="46"/>
        <v>0</v>
      </c>
      <c r="K612" s="19">
        <f>YEAR('Data Analysis Addin'!$A612)</f>
        <v>2023</v>
      </c>
    </row>
    <row r="613" spans="1:11" x14ac:dyDescent="0.4">
      <c r="A613" s="16">
        <v>45022</v>
      </c>
      <c r="B613" s="8">
        <v>409.19</v>
      </c>
      <c r="C613" s="11">
        <f t="shared" si="43"/>
        <v>401.93679999999995</v>
      </c>
      <c r="D613" s="11">
        <f t="shared" si="47"/>
        <v>393.3646500000001</v>
      </c>
      <c r="E613" s="8"/>
      <c r="F613" s="8"/>
      <c r="G613" s="8">
        <f t="shared" ca="1" si="44"/>
        <v>401.93679999999995</v>
      </c>
      <c r="H613" s="8">
        <f t="shared" ca="1" si="45"/>
        <v>393.3646500000001</v>
      </c>
      <c r="I613" s="12">
        <f ca="1">IF(AND('Data Analysis Addin'!$G613&lt;='Data Analysis Addin'!$H613,G614&gt;H614), 1, 0)</f>
        <v>0</v>
      </c>
      <c r="J613" s="2">
        <f t="shared" ca="1" si="46"/>
        <v>0</v>
      </c>
      <c r="K613" s="17">
        <f>YEAR('Data Analysis Addin'!$A613)</f>
        <v>2023</v>
      </c>
    </row>
    <row r="614" spans="1:11" x14ac:dyDescent="0.4">
      <c r="A614" s="18">
        <v>45026</v>
      </c>
      <c r="B614" s="9">
        <v>409.61</v>
      </c>
      <c r="C614" s="11">
        <f t="shared" si="43"/>
        <v>402.03399999999993</v>
      </c>
      <c r="D614" s="11">
        <f t="shared" si="47"/>
        <v>393.54075000000012</v>
      </c>
      <c r="E614" s="9"/>
      <c r="F614" s="9"/>
      <c r="G614" s="9">
        <f t="shared" ca="1" si="44"/>
        <v>402.03399999999993</v>
      </c>
      <c r="H614" s="9">
        <f t="shared" ca="1" si="45"/>
        <v>393.54075000000012</v>
      </c>
      <c r="I614" s="12">
        <f ca="1">IF(AND('Data Analysis Addin'!$G614&lt;='Data Analysis Addin'!$H614,G615&gt;H615), 1, 0)</f>
        <v>0</v>
      </c>
      <c r="J614" s="3">
        <f t="shared" ca="1" si="46"/>
        <v>0</v>
      </c>
      <c r="K614" s="19">
        <f>YEAR('Data Analysis Addin'!$A614)</f>
        <v>2023</v>
      </c>
    </row>
    <row r="615" spans="1:11" x14ac:dyDescent="0.4">
      <c r="A615" s="16">
        <v>45027</v>
      </c>
      <c r="B615" s="8">
        <v>409.72</v>
      </c>
      <c r="C615" s="11">
        <f t="shared" si="43"/>
        <v>402.11479999999995</v>
      </c>
      <c r="D615" s="11">
        <f t="shared" si="47"/>
        <v>393.69905000000011</v>
      </c>
      <c r="E615" s="8"/>
      <c r="F615" s="8"/>
      <c r="G615" s="8">
        <f t="shared" ca="1" si="44"/>
        <v>402.11479999999995</v>
      </c>
      <c r="H615" s="8">
        <f t="shared" ca="1" si="45"/>
        <v>393.69905000000011</v>
      </c>
      <c r="I615" s="12">
        <f ca="1">IF(AND('Data Analysis Addin'!$G615&lt;='Data Analysis Addin'!$H615,G616&gt;H616), 1, 0)</f>
        <v>0</v>
      </c>
      <c r="J615" s="2">
        <f t="shared" ca="1" si="46"/>
        <v>0</v>
      </c>
      <c r="K615" s="17">
        <f>YEAR('Data Analysis Addin'!$A615)</f>
        <v>2023</v>
      </c>
    </row>
    <row r="616" spans="1:11" x14ac:dyDescent="0.4">
      <c r="A616" s="18">
        <v>45028</v>
      </c>
      <c r="B616" s="9">
        <v>408.05</v>
      </c>
      <c r="C616" s="11">
        <f t="shared" si="43"/>
        <v>402.26399999999995</v>
      </c>
      <c r="D616" s="11">
        <f t="shared" si="47"/>
        <v>393.78890000000013</v>
      </c>
      <c r="E616" s="9"/>
      <c r="F616" s="9"/>
      <c r="G616" s="9">
        <f t="shared" ca="1" si="44"/>
        <v>402.26399999999995</v>
      </c>
      <c r="H616" s="9">
        <f t="shared" ca="1" si="45"/>
        <v>393.78890000000013</v>
      </c>
      <c r="I616" s="12">
        <f ca="1">IF(AND('Data Analysis Addin'!$G616&lt;='Data Analysis Addin'!$H616,G617&gt;H617), 1, 0)</f>
        <v>0</v>
      </c>
      <c r="J616" s="3">
        <f t="shared" ca="1" si="46"/>
        <v>0</v>
      </c>
      <c r="K616" s="19">
        <f>YEAR('Data Analysis Addin'!$A616)</f>
        <v>2023</v>
      </c>
    </row>
    <row r="617" spans="1:11" x14ac:dyDescent="0.4">
      <c r="A617" s="16">
        <v>45029</v>
      </c>
      <c r="B617" s="8">
        <v>413.47</v>
      </c>
      <c r="C617" s="11">
        <f t="shared" si="43"/>
        <v>402.40379999999999</v>
      </c>
      <c r="D617" s="11">
        <f t="shared" si="47"/>
        <v>393.91330000000016</v>
      </c>
      <c r="E617" s="8"/>
      <c r="F617" s="8"/>
      <c r="G617" s="8">
        <f t="shared" ca="1" si="44"/>
        <v>402.40379999999999</v>
      </c>
      <c r="H617" s="8">
        <f t="shared" ca="1" si="45"/>
        <v>393.91330000000016</v>
      </c>
      <c r="I617" s="12">
        <f ca="1">IF(AND('Data Analysis Addin'!$G617&lt;='Data Analysis Addin'!$H617,G618&gt;H618), 1, 0)</f>
        <v>0</v>
      </c>
      <c r="J617" s="2">
        <f t="shared" ca="1" si="46"/>
        <v>0</v>
      </c>
      <c r="K617" s="17">
        <f>YEAR('Data Analysis Addin'!$A617)</f>
        <v>2023</v>
      </c>
    </row>
    <row r="618" spans="1:11" x14ac:dyDescent="0.4">
      <c r="A618" s="18">
        <v>45030</v>
      </c>
      <c r="B618" s="9">
        <v>412.46</v>
      </c>
      <c r="C618" s="11">
        <f t="shared" si="43"/>
        <v>402.43699999999995</v>
      </c>
      <c r="D618" s="11">
        <f t="shared" si="47"/>
        <v>394.0723500000002</v>
      </c>
      <c r="E618" s="9"/>
      <c r="F618" s="9"/>
      <c r="G618" s="9">
        <f t="shared" ca="1" si="44"/>
        <v>402.43699999999995</v>
      </c>
      <c r="H618" s="9">
        <f t="shared" ca="1" si="45"/>
        <v>394.0723500000002</v>
      </c>
      <c r="I618" s="12">
        <f ca="1">IF(AND('Data Analysis Addin'!$G618&lt;='Data Analysis Addin'!$H618,G619&gt;H619), 1, 0)</f>
        <v>0</v>
      </c>
      <c r="J618" s="3">
        <f t="shared" ca="1" si="46"/>
        <v>0</v>
      </c>
      <c r="K618" s="19">
        <f>YEAR('Data Analysis Addin'!$A618)</f>
        <v>2023</v>
      </c>
    </row>
    <row r="619" spans="1:11" x14ac:dyDescent="0.4">
      <c r="A619" s="16">
        <v>45033</v>
      </c>
      <c r="B619" s="8">
        <v>413.94</v>
      </c>
      <c r="C619" s="11">
        <f t="shared" si="43"/>
        <v>402.38019999999995</v>
      </c>
      <c r="D619" s="11">
        <f t="shared" si="47"/>
        <v>394.24035000000026</v>
      </c>
      <c r="E619" s="8"/>
      <c r="F619" s="8"/>
      <c r="G619" s="8">
        <f t="shared" ca="1" si="44"/>
        <v>402.38019999999995</v>
      </c>
      <c r="H619" s="8">
        <f t="shared" ca="1" si="45"/>
        <v>394.24035000000026</v>
      </c>
      <c r="I619" s="12">
        <f ca="1">IF(AND('Data Analysis Addin'!$G619&lt;='Data Analysis Addin'!$H619,G620&gt;H620), 1, 0)</f>
        <v>0</v>
      </c>
      <c r="J619" s="2">
        <f t="shared" ca="1" si="46"/>
        <v>0</v>
      </c>
      <c r="K619" s="17">
        <f>YEAR('Data Analysis Addin'!$A619)</f>
        <v>2023</v>
      </c>
    </row>
    <row r="620" spans="1:11" x14ac:dyDescent="0.4">
      <c r="A620" s="18">
        <v>45034</v>
      </c>
      <c r="B620" s="9">
        <v>414.21</v>
      </c>
      <c r="C620" s="11">
        <f t="shared" si="43"/>
        <v>402.41739999999999</v>
      </c>
      <c r="D620" s="11">
        <f t="shared" si="47"/>
        <v>394.42515000000026</v>
      </c>
      <c r="E620" s="9"/>
      <c r="F620" s="9"/>
      <c r="G620" s="9">
        <f t="shared" ca="1" si="44"/>
        <v>402.41739999999999</v>
      </c>
      <c r="H620" s="9">
        <f t="shared" ca="1" si="45"/>
        <v>394.42515000000026</v>
      </c>
      <c r="I620" s="12">
        <f ca="1">IF(AND('Data Analysis Addin'!$G620&lt;='Data Analysis Addin'!$H620,G621&gt;H621), 1, 0)</f>
        <v>0</v>
      </c>
      <c r="J620" s="3">
        <f t="shared" ca="1" si="46"/>
        <v>0</v>
      </c>
      <c r="K620" s="19">
        <f>YEAR('Data Analysis Addin'!$A620)</f>
        <v>2023</v>
      </c>
    </row>
    <row r="621" spans="1:11" x14ac:dyDescent="0.4">
      <c r="A621" s="16">
        <v>45035</v>
      </c>
      <c r="B621" s="8">
        <v>414.14</v>
      </c>
      <c r="C621" s="11">
        <f t="shared" si="43"/>
        <v>402.50360000000001</v>
      </c>
      <c r="D621" s="11">
        <f t="shared" si="47"/>
        <v>394.58965000000035</v>
      </c>
      <c r="E621" s="8"/>
      <c r="F621" s="8"/>
      <c r="G621" s="8">
        <f t="shared" ca="1" si="44"/>
        <v>402.50360000000001</v>
      </c>
      <c r="H621" s="8">
        <f t="shared" ca="1" si="45"/>
        <v>394.58965000000035</v>
      </c>
      <c r="I621" s="12">
        <f ca="1">IF(AND('Data Analysis Addin'!$G621&lt;='Data Analysis Addin'!$H621,G622&gt;H622), 1, 0)</f>
        <v>0</v>
      </c>
      <c r="J621" s="2">
        <f t="shared" ca="1" si="46"/>
        <v>0</v>
      </c>
      <c r="K621" s="17">
        <f>YEAR('Data Analysis Addin'!$A621)</f>
        <v>2023</v>
      </c>
    </row>
    <row r="622" spans="1:11" x14ac:dyDescent="0.4">
      <c r="A622" s="18">
        <v>45036</v>
      </c>
      <c r="B622" s="9">
        <v>411.88</v>
      </c>
      <c r="C622" s="11">
        <f t="shared" si="43"/>
        <v>402.43740000000003</v>
      </c>
      <c r="D622" s="11">
        <f t="shared" si="47"/>
        <v>394.73925000000025</v>
      </c>
      <c r="E622" s="9"/>
      <c r="F622" s="9"/>
      <c r="G622" s="9">
        <f t="shared" ca="1" si="44"/>
        <v>402.43740000000003</v>
      </c>
      <c r="H622" s="9">
        <f t="shared" ca="1" si="45"/>
        <v>394.73925000000025</v>
      </c>
      <c r="I622" s="12">
        <f ca="1">IF(AND('Data Analysis Addin'!$G622&lt;='Data Analysis Addin'!$H622,G623&gt;H623), 1, 0)</f>
        <v>0</v>
      </c>
      <c r="J622" s="3">
        <f t="shared" ca="1" si="46"/>
        <v>0</v>
      </c>
      <c r="K622" s="19">
        <f>YEAR('Data Analysis Addin'!$A622)</f>
        <v>2023</v>
      </c>
    </row>
    <row r="623" spans="1:11" x14ac:dyDescent="0.4">
      <c r="A623" s="16">
        <v>45037</v>
      </c>
      <c r="B623" s="8">
        <v>412.2</v>
      </c>
      <c r="C623" s="11">
        <f t="shared" si="43"/>
        <v>402.46840000000009</v>
      </c>
      <c r="D623" s="11">
        <f t="shared" si="47"/>
        <v>394.88400000000024</v>
      </c>
      <c r="E623" s="8"/>
      <c r="F623" s="8"/>
      <c r="G623" s="8">
        <f t="shared" ca="1" si="44"/>
        <v>402.46840000000009</v>
      </c>
      <c r="H623" s="8">
        <f t="shared" ca="1" si="45"/>
        <v>394.88400000000024</v>
      </c>
      <c r="I623" s="12">
        <f ca="1">IF(AND('Data Analysis Addin'!$G623&lt;='Data Analysis Addin'!$H623,G624&gt;H624), 1, 0)</f>
        <v>0</v>
      </c>
      <c r="J623" s="2">
        <f t="shared" ca="1" si="46"/>
        <v>0</v>
      </c>
      <c r="K623" s="17">
        <f>YEAR('Data Analysis Addin'!$A623)</f>
        <v>2023</v>
      </c>
    </row>
    <row r="624" spans="1:11" x14ac:dyDescent="0.4">
      <c r="A624" s="18">
        <v>45040</v>
      </c>
      <c r="B624" s="9">
        <v>412.63</v>
      </c>
      <c r="C624" s="11">
        <f t="shared" si="43"/>
        <v>402.57920000000007</v>
      </c>
      <c r="D624" s="11">
        <f t="shared" si="47"/>
        <v>395.0022000000003</v>
      </c>
      <c r="E624" s="9"/>
      <c r="F624" s="9"/>
      <c r="G624" s="9">
        <f t="shared" ca="1" si="44"/>
        <v>402.57920000000007</v>
      </c>
      <c r="H624" s="9">
        <f t="shared" ca="1" si="45"/>
        <v>395.0022000000003</v>
      </c>
      <c r="I624" s="12">
        <f ca="1">IF(AND('Data Analysis Addin'!$G624&lt;='Data Analysis Addin'!$H624,G625&gt;H625), 1, 0)</f>
        <v>0</v>
      </c>
      <c r="J624" s="3">
        <f t="shared" ca="1" si="46"/>
        <v>0</v>
      </c>
      <c r="K624" s="19">
        <f>YEAR('Data Analysis Addin'!$A624)</f>
        <v>2023</v>
      </c>
    </row>
    <row r="625" spans="1:11" x14ac:dyDescent="0.4">
      <c r="A625" s="16">
        <v>45041</v>
      </c>
      <c r="B625" s="8">
        <v>406.08</v>
      </c>
      <c r="C625" s="11">
        <f t="shared" si="43"/>
        <v>402.54000000000008</v>
      </c>
      <c r="D625" s="11">
        <f t="shared" si="47"/>
        <v>395.08925000000033</v>
      </c>
      <c r="E625" s="8"/>
      <c r="F625" s="8"/>
      <c r="G625" s="8">
        <f t="shared" ca="1" si="44"/>
        <v>402.54000000000008</v>
      </c>
      <c r="H625" s="8">
        <f t="shared" ca="1" si="45"/>
        <v>395.08925000000033</v>
      </c>
      <c r="I625" s="12">
        <f ca="1">IF(AND('Data Analysis Addin'!$G625&lt;='Data Analysis Addin'!$H625,G626&gt;H626), 1, 0)</f>
        <v>0</v>
      </c>
      <c r="J625" s="2">
        <f t="shared" ca="1" si="46"/>
        <v>0</v>
      </c>
      <c r="K625" s="17">
        <f>YEAR('Data Analysis Addin'!$A625)</f>
        <v>2023</v>
      </c>
    </row>
    <row r="626" spans="1:11" x14ac:dyDescent="0.4">
      <c r="A626" s="18">
        <v>45042</v>
      </c>
      <c r="B626" s="9">
        <v>404.36</v>
      </c>
      <c r="C626" s="11">
        <f t="shared" si="43"/>
        <v>402.37060000000002</v>
      </c>
      <c r="D626" s="11">
        <f t="shared" si="47"/>
        <v>395.18990000000025</v>
      </c>
      <c r="E626" s="9"/>
      <c r="F626" s="9"/>
      <c r="G626" s="9">
        <f t="shared" ca="1" si="44"/>
        <v>402.37060000000002</v>
      </c>
      <c r="H626" s="9">
        <f t="shared" ca="1" si="45"/>
        <v>395.18990000000025</v>
      </c>
      <c r="I626" s="12">
        <f ca="1">IF(AND('Data Analysis Addin'!$G626&lt;='Data Analysis Addin'!$H626,G627&gt;H627), 1, 0)</f>
        <v>0</v>
      </c>
      <c r="J626" s="3">
        <f t="shared" ca="1" si="46"/>
        <v>0</v>
      </c>
      <c r="K626" s="19">
        <f>YEAR('Data Analysis Addin'!$A626)</f>
        <v>2023</v>
      </c>
    </row>
    <row r="627" spans="1:11" x14ac:dyDescent="0.4">
      <c r="A627" s="16">
        <v>45043</v>
      </c>
      <c r="B627" s="8">
        <v>412.41</v>
      </c>
      <c r="C627" s="11">
        <f t="shared" si="43"/>
        <v>402.36600000000004</v>
      </c>
      <c r="D627" s="11">
        <f t="shared" si="47"/>
        <v>395.34780000000029</v>
      </c>
      <c r="E627" s="8"/>
      <c r="F627" s="8"/>
      <c r="G627" s="8">
        <f t="shared" ca="1" si="44"/>
        <v>402.36600000000004</v>
      </c>
      <c r="H627" s="8">
        <f t="shared" ca="1" si="45"/>
        <v>395.34780000000029</v>
      </c>
      <c r="I627" s="12">
        <f ca="1">IF(AND('Data Analysis Addin'!$G627&lt;='Data Analysis Addin'!$H627,G628&gt;H628), 1, 0)</f>
        <v>0</v>
      </c>
      <c r="J627" s="2">
        <f t="shared" ca="1" si="46"/>
        <v>0</v>
      </c>
      <c r="K627" s="17">
        <f>YEAR('Data Analysis Addin'!$A627)</f>
        <v>2023</v>
      </c>
    </row>
    <row r="628" spans="1:11" x14ac:dyDescent="0.4">
      <c r="A628" s="18">
        <v>45044</v>
      </c>
      <c r="B628" s="9">
        <v>415.93</v>
      </c>
      <c r="C628" s="11">
        <f t="shared" ref="C628:C691" si="48">AVERAGE(B579:B628)</f>
        <v>402.40500000000009</v>
      </c>
      <c r="D628" s="11">
        <f t="shared" si="47"/>
        <v>395.53330000000022</v>
      </c>
      <c r="E628" s="9"/>
      <c r="F628" s="9"/>
      <c r="G628" s="9">
        <f t="shared" ca="1" si="44"/>
        <v>402.40500000000009</v>
      </c>
      <c r="H628" s="9">
        <f t="shared" ca="1" si="45"/>
        <v>395.53330000000022</v>
      </c>
      <c r="I628" s="12">
        <f ca="1">IF(AND('Data Analysis Addin'!$G628&lt;='Data Analysis Addin'!$H628,G629&gt;H629), 1, 0)</f>
        <v>0</v>
      </c>
      <c r="J628" s="3">
        <f t="shared" ca="1" si="46"/>
        <v>0</v>
      </c>
      <c r="K628" s="19">
        <f>YEAR('Data Analysis Addin'!$A628)</f>
        <v>2023</v>
      </c>
    </row>
    <row r="629" spans="1:11" x14ac:dyDescent="0.4">
      <c r="A629" s="16">
        <v>45047</v>
      </c>
      <c r="B629" s="8">
        <v>415.51</v>
      </c>
      <c r="C629" s="11">
        <f t="shared" si="48"/>
        <v>402.54960000000005</v>
      </c>
      <c r="D629" s="11">
        <f t="shared" si="47"/>
        <v>395.72130000000027</v>
      </c>
      <c r="E629" s="8"/>
      <c r="F629" s="8"/>
      <c r="G629" s="8">
        <f t="shared" ca="1" si="44"/>
        <v>402.54960000000005</v>
      </c>
      <c r="H629" s="8">
        <f t="shared" ca="1" si="45"/>
        <v>395.72130000000027</v>
      </c>
      <c r="I629" s="12">
        <f ca="1">IF(AND('Data Analysis Addin'!$G629&lt;='Data Analysis Addin'!$H629,G630&gt;H630), 1, 0)</f>
        <v>0</v>
      </c>
      <c r="J629" s="2">
        <f t="shared" ca="1" si="46"/>
        <v>0</v>
      </c>
      <c r="K629" s="17">
        <f>YEAR('Data Analysis Addin'!$A629)</f>
        <v>2023</v>
      </c>
    </row>
    <row r="630" spans="1:11" x14ac:dyDescent="0.4">
      <c r="A630" s="18">
        <v>45048</v>
      </c>
      <c r="B630" s="9">
        <v>410.84</v>
      </c>
      <c r="C630" s="11">
        <f t="shared" si="48"/>
        <v>402.62120000000004</v>
      </c>
      <c r="D630" s="11">
        <f t="shared" si="47"/>
        <v>395.84985000000029</v>
      </c>
      <c r="E630" s="9"/>
      <c r="F630" s="9"/>
      <c r="G630" s="9">
        <f t="shared" ca="1" si="44"/>
        <v>402.62120000000004</v>
      </c>
      <c r="H630" s="9">
        <f t="shared" ca="1" si="45"/>
        <v>395.84985000000029</v>
      </c>
      <c r="I630" s="12">
        <f ca="1">IF(AND('Data Analysis Addin'!$G630&lt;='Data Analysis Addin'!$H630,G631&gt;H631), 1, 0)</f>
        <v>0</v>
      </c>
      <c r="J630" s="3">
        <f t="shared" ca="1" si="46"/>
        <v>0</v>
      </c>
      <c r="K630" s="19">
        <f>YEAR('Data Analysis Addin'!$A630)</f>
        <v>2023</v>
      </c>
    </row>
    <row r="631" spans="1:11" x14ac:dyDescent="0.4">
      <c r="A631" s="16">
        <v>45049</v>
      </c>
      <c r="B631" s="8">
        <v>408.02</v>
      </c>
      <c r="C631" s="11">
        <f t="shared" si="48"/>
        <v>402.7998</v>
      </c>
      <c r="D631" s="11">
        <f t="shared" si="47"/>
        <v>395.98020000000025</v>
      </c>
      <c r="E631" s="8"/>
      <c r="F631" s="8"/>
      <c r="G631" s="8">
        <f t="shared" ca="1" si="44"/>
        <v>402.7998</v>
      </c>
      <c r="H631" s="8">
        <f t="shared" ca="1" si="45"/>
        <v>395.98020000000025</v>
      </c>
      <c r="I631" s="12">
        <f ca="1">IF(AND('Data Analysis Addin'!$G631&lt;='Data Analysis Addin'!$H631,G632&gt;H632), 1, 0)</f>
        <v>0</v>
      </c>
      <c r="J631" s="2">
        <f t="shared" ca="1" si="46"/>
        <v>0</v>
      </c>
      <c r="K631" s="17">
        <f>YEAR('Data Analysis Addin'!$A631)</f>
        <v>2023</v>
      </c>
    </row>
    <row r="632" spans="1:11" x14ac:dyDescent="0.4">
      <c r="A632" s="18">
        <v>45050</v>
      </c>
      <c r="B632" s="9">
        <v>405.13</v>
      </c>
      <c r="C632" s="11">
        <f t="shared" si="48"/>
        <v>402.93159999999995</v>
      </c>
      <c r="D632" s="11">
        <f t="shared" si="47"/>
        <v>396.04450000000026</v>
      </c>
      <c r="E632" s="9"/>
      <c r="F632" s="9"/>
      <c r="G632" s="9">
        <f t="shared" ca="1" si="44"/>
        <v>402.93159999999995</v>
      </c>
      <c r="H632" s="9">
        <f t="shared" ca="1" si="45"/>
        <v>396.04450000000026</v>
      </c>
      <c r="I632" s="12">
        <f ca="1">IF(AND('Data Analysis Addin'!$G632&lt;='Data Analysis Addin'!$H632,G633&gt;H633), 1, 0)</f>
        <v>0</v>
      </c>
      <c r="J632" s="3">
        <f t="shared" ca="1" si="46"/>
        <v>0</v>
      </c>
      <c r="K632" s="19">
        <f>YEAR('Data Analysis Addin'!$A632)</f>
        <v>2023</v>
      </c>
    </row>
    <row r="633" spans="1:11" x14ac:dyDescent="0.4">
      <c r="A633" s="16">
        <v>45051</v>
      </c>
      <c r="B633" s="8">
        <v>412.63</v>
      </c>
      <c r="C633" s="11">
        <f t="shared" si="48"/>
        <v>403.17100000000005</v>
      </c>
      <c r="D633" s="11">
        <f t="shared" si="47"/>
        <v>396.13380000000029</v>
      </c>
      <c r="E633" s="8"/>
      <c r="F633" s="8"/>
      <c r="G633" s="8">
        <f t="shared" ca="1" si="44"/>
        <v>403.17100000000005</v>
      </c>
      <c r="H633" s="8">
        <f t="shared" ca="1" si="45"/>
        <v>396.13380000000029</v>
      </c>
      <c r="I633" s="12">
        <f ca="1">IF(AND('Data Analysis Addin'!$G633&lt;='Data Analysis Addin'!$H633,G634&gt;H634), 1, 0)</f>
        <v>0</v>
      </c>
      <c r="J633" s="2">
        <f t="shared" ca="1" si="46"/>
        <v>0</v>
      </c>
      <c r="K633" s="17">
        <f>YEAR('Data Analysis Addin'!$A633)</f>
        <v>2023</v>
      </c>
    </row>
    <row r="634" spans="1:11" x14ac:dyDescent="0.4">
      <c r="A634" s="18">
        <v>45054</v>
      </c>
      <c r="B634" s="9">
        <v>412.74</v>
      </c>
      <c r="C634" s="11">
        <f t="shared" si="48"/>
        <v>403.4982</v>
      </c>
      <c r="D634" s="11">
        <f t="shared" si="47"/>
        <v>396.20355000000023</v>
      </c>
      <c r="E634" s="9"/>
      <c r="F634" s="9"/>
      <c r="G634" s="9">
        <f t="shared" ca="1" si="44"/>
        <v>403.4982</v>
      </c>
      <c r="H634" s="9">
        <f t="shared" ca="1" si="45"/>
        <v>396.20355000000023</v>
      </c>
      <c r="I634" s="12">
        <f ca="1">IF(AND('Data Analysis Addin'!$G634&lt;='Data Analysis Addin'!$H634,G635&gt;H635), 1, 0)</f>
        <v>0</v>
      </c>
      <c r="J634" s="3">
        <f t="shared" ca="1" si="46"/>
        <v>0</v>
      </c>
      <c r="K634" s="19">
        <f>YEAR('Data Analysis Addin'!$A634)</f>
        <v>2023</v>
      </c>
    </row>
    <row r="635" spans="1:11" x14ac:dyDescent="0.4">
      <c r="A635" s="16">
        <v>45055</v>
      </c>
      <c r="B635" s="8">
        <v>410.93</v>
      </c>
      <c r="C635" s="11">
        <f t="shared" si="48"/>
        <v>403.76219999999995</v>
      </c>
      <c r="D635" s="11">
        <f t="shared" si="47"/>
        <v>396.28275000000025</v>
      </c>
      <c r="E635" s="8"/>
      <c r="F635" s="8"/>
      <c r="G635" s="8">
        <f t="shared" ca="1" si="44"/>
        <v>403.76219999999995</v>
      </c>
      <c r="H635" s="8">
        <f t="shared" ca="1" si="45"/>
        <v>396.28275000000025</v>
      </c>
      <c r="I635" s="12">
        <f ca="1">IF(AND('Data Analysis Addin'!$G635&lt;='Data Analysis Addin'!$H635,G636&gt;H636), 1, 0)</f>
        <v>0</v>
      </c>
      <c r="J635" s="2">
        <f t="shared" ca="1" si="46"/>
        <v>0</v>
      </c>
      <c r="K635" s="17">
        <f>YEAR('Data Analysis Addin'!$A635)</f>
        <v>2023</v>
      </c>
    </row>
    <row r="636" spans="1:11" x14ac:dyDescent="0.4">
      <c r="A636" s="18">
        <v>45056</v>
      </c>
      <c r="B636" s="9">
        <v>412.85</v>
      </c>
      <c r="C636" s="11">
        <f t="shared" si="48"/>
        <v>404.09399999999999</v>
      </c>
      <c r="D636" s="11">
        <f t="shared" si="47"/>
        <v>396.36915000000039</v>
      </c>
      <c r="E636" s="9"/>
      <c r="F636" s="9"/>
      <c r="G636" s="9">
        <f t="shared" ca="1" si="44"/>
        <v>404.09399999999999</v>
      </c>
      <c r="H636" s="9">
        <f t="shared" ca="1" si="45"/>
        <v>396.36915000000039</v>
      </c>
      <c r="I636" s="12">
        <f ca="1">IF(AND('Data Analysis Addin'!$G636&lt;='Data Analysis Addin'!$H636,G637&gt;H637), 1, 0)</f>
        <v>0</v>
      </c>
      <c r="J636" s="3">
        <f t="shared" ca="1" si="46"/>
        <v>0</v>
      </c>
      <c r="K636" s="19">
        <f>YEAR('Data Analysis Addin'!$A636)</f>
        <v>2023</v>
      </c>
    </row>
    <row r="637" spans="1:11" x14ac:dyDescent="0.4">
      <c r="A637" s="16">
        <v>45057</v>
      </c>
      <c r="B637" s="8">
        <v>412.13</v>
      </c>
      <c r="C637" s="11">
        <f t="shared" si="48"/>
        <v>404.4418</v>
      </c>
      <c r="D637" s="11">
        <f t="shared" si="47"/>
        <v>396.47535000000033</v>
      </c>
      <c r="E637" s="8"/>
      <c r="F637" s="8"/>
      <c r="G637" s="8">
        <f t="shared" ca="1" si="44"/>
        <v>404.4418</v>
      </c>
      <c r="H637" s="8">
        <f t="shared" ca="1" si="45"/>
        <v>396.47535000000033</v>
      </c>
      <c r="I637" s="12">
        <f ca="1">IF(AND('Data Analysis Addin'!$G637&lt;='Data Analysis Addin'!$H637,G638&gt;H638), 1, 0)</f>
        <v>0</v>
      </c>
      <c r="J637" s="2">
        <f t="shared" ca="1" si="46"/>
        <v>0</v>
      </c>
      <c r="K637" s="17">
        <f>YEAR('Data Analysis Addin'!$A637)</f>
        <v>2023</v>
      </c>
    </row>
    <row r="638" spans="1:11" x14ac:dyDescent="0.4">
      <c r="A638" s="18">
        <v>45058</v>
      </c>
      <c r="B638" s="9">
        <v>411.59</v>
      </c>
      <c r="C638" s="11">
        <f t="shared" si="48"/>
        <v>404.71740000000005</v>
      </c>
      <c r="D638" s="11">
        <f t="shared" si="47"/>
        <v>396.52810000000034</v>
      </c>
      <c r="E638" s="9"/>
      <c r="F638" s="9"/>
      <c r="G638" s="9">
        <f t="shared" ca="1" si="44"/>
        <v>404.71740000000005</v>
      </c>
      <c r="H638" s="9">
        <f t="shared" ca="1" si="45"/>
        <v>396.52810000000034</v>
      </c>
      <c r="I638" s="12">
        <f ca="1">IF(AND('Data Analysis Addin'!$G638&lt;='Data Analysis Addin'!$H638,G639&gt;H639), 1, 0)</f>
        <v>0</v>
      </c>
      <c r="J638" s="3">
        <f t="shared" ca="1" si="46"/>
        <v>0</v>
      </c>
      <c r="K638" s="19">
        <f>YEAR('Data Analysis Addin'!$A638)</f>
        <v>2023</v>
      </c>
    </row>
    <row r="639" spans="1:11" x14ac:dyDescent="0.4">
      <c r="A639" s="16">
        <v>45061</v>
      </c>
      <c r="B639" s="8">
        <v>413.01</v>
      </c>
      <c r="C639" s="11">
        <f t="shared" si="48"/>
        <v>404.8938</v>
      </c>
      <c r="D639" s="11">
        <f t="shared" si="47"/>
        <v>396.56280000000021</v>
      </c>
      <c r="E639" s="8"/>
      <c r="F639" s="8"/>
      <c r="G639" s="8">
        <f t="shared" ca="1" si="44"/>
        <v>404.8938</v>
      </c>
      <c r="H639" s="8">
        <f t="shared" ca="1" si="45"/>
        <v>396.56280000000021</v>
      </c>
      <c r="I639" s="12">
        <f ca="1">IF(AND('Data Analysis Addin'!$G639&lt;='Data Analysis Addin'!$H639,G640&gt;H640), 1, 0)</f>
        <v>0</v>
      </c>
      <c r="J639" s="2">
        <f t="shared" ca="1" si="46"/>
        <v>0</v>
      </c>
      <c r="K639" s="17">
        <f>YEAR('Data Analysis Addin'!$A639)</f>
        <v>2023</v>
      </c>
    </row>
    <row r="640" spans="1:11" x14ac:dyDescent="0.4">
      <c r="A640" s="18">
        <v>45062</v>
      </c>
      <c r="B640" s="9">
        <v>410.25</v>
      </c>
      <c r="C640" s="11">
        <f t="shared" si="48"/>
        <v>405.00939999999997</v>
      </c>
      <c r="D640" s="11">
        <f t="shared" si="47"/>
        <v>396.55410000000018</v>
      </c>
      <c r="E640" s="9"/>
      <c r="F640" s="9"/>
      <c r="G640" s="9">
        <f t="shared" ca="1" si="44"/>
        <v>405.00939999999997</v>
      </c>
      <c r="H640" s="9">
        <f t="shared" ca="1" si="45"/>
        <v>396.55410000000018</v>
      </c>
      <c r="I640" s="12">
        <f ca="1">IF(AND('Data Analysis Addin'!$G640&lt;='Data Analysis Addin'!$H640,G641&gt;H641), 1, 0)</f>
        <v>0</v>
      </c>
      <c r="J640" s="3">
        <f t="shared" ca="1" si="46"/>
        <v>0</v>
      </c>
      <c r="K640" s="19">
        <f>YEAR('Data Analysis Addin'!$A640)</f>
        <v>2023</v>
      </c>
    </row>
    <row r="641" spans="1:11" x14ac:dyDescent="0.4">
      <c r="A641" s="16">
        <v>45063</v>
      </c>
      <c r="B641" s="8">
        <v>415.23</v>
      </c>
      <c r="C641" s="11">
        <f t="shared" si="48"/>
        <v>405.34860000000003</v>
      </c>
      <c r="D641" s="11">
        <f t="shared" si="47"/>
        <v>396.57640000000015</v>
      </c>
      <c r="E641" s="8"/>
      <c r="F641" s="8"/>
      <c r="G641" s="8">
        <f t="shared" ca="1" si="44"/>
        <v>405.34860000000003</v>
      </c>
      <c r="H641" s="8">
        <f t="shared" ca="1" si="45"/>
        <v>396.57640000000015</v>
      </c>
      <c r="I641" s="12">
        <f ca="1">IF(AND('Data Analysis Addin'!$G641&lt;='Data Analysis Addin'!$H641,G642&gt;H642), 1, 0)</f>
        <v>0</v>
      </c>
      <c r="J641" s="2">
        <f t="shared" ca="1" si="46"/>
        <v>0</v>
      </c>
      <c r="K641" s="17">
        <f>YEAR('Data Analysis Addin'!$A641)</f>
        <v>2023</v>
      </c>
    </row>
    <row r="642" spans="1:11" x14ac:dyDescent="0.4">
      <c r="A642" s="18">
        <v>45064</v>
      </c>
      <c r="B642" s="9">
        <v>419.23</v>
      </c>
      <c r="C642" s="11">
        <f t="shared" si="48"/>
        <v>405.75479999999988</v>
      </c>
      <c r="D642" s="11">
        <f t="shared" si="47"/>
        <v>396.63225000000011</v>
      </c>
      <c r="E642" s="9"/>
      <c r="F642" s="9"/>
      <c r="G642" s="9">
        <f t="shared" ca="1" si="44"/>
        <v>405.75479999999988</v>
      </c>
      <c r="H642" s="9">
        <f t="shared" ca="1" si="45"/>
        <v>396.63225000000011</v>
      </c>
      <c r="I642" s="12">
        <f ca="1">IF(AND('Data Analysis Addin'!$G642&lt;='Data Analysis Addin'!$H642,G643&gt;H643), 1, 0)</f>
        <v>0</v>
      </c>
      <c r="J642" s="3">
        <f t="shared" ca="1" si="46"/>
        <v>0</v>
      </c>
      <c r="K642" s="19">
        <f>YEAR('Data Analysis Addin'!$A642)</f>
        <v>2023</v>
      </c>
    </row>
    <row r="643" spans="1:11" x14ac:dyDescent="0.4">
      <c r="A643" s="16">
        <v>45065</v>
      </c>
      <c r="B643" s="8">
        <v>418.62</v>
      </c>
      <c r="C643" s="11">
        <f t="shared" si="48"/>
        <v>406.29599999999982</v>
      </c>
      <c r="D643" s="11">
        <f t="shared" si="47"/>
        <v>396.65310000000011</v>
      </c>
      <c r="E643" s="8"/>
      <c r="F643" s="8"/>
      <c r="G643" s="8">
        <f t="shared" ref="G643:G706" ca="1" si="49">AVERAGE(OFFSET($B643,0,0,-(MIN(ROW()-ROW($B$3)+1,n_50)),1))</f>
        <v>406.29599999999982</v>
      </c>
      <c r="H643" s="8">
        <f t="shared" ref="H643:H706" ca="1" si="50">AVERAGE(OFFSET($B643,0,0,-(MIN(ROW()-ROW($B$3)+1,n_200)),1))</f>
        <v>396.65310000000011</v>
      </c>
      <c r="I643" s="12">
        <f ca="1">IF(AND('Data Analysis Addin'!$G643&lt;='Data Analysis Addin'!$H643,G644&gt;H644), 1, 0)</f>
        <v>0</v>
      </c>
      <c r="J643" s="2">
        <f t="shared" ref="J643:J706" ca="1" si="51">IF($G643&lt;$H643,1,0)</f>
        <v>0</v>
      </c>
      <c r="K643" s="17">
        <f>YEAR('Data Analysis Addin'!$A643)</f>
        <v>2023</v>
      </c>
    </row>
    <row r="644" spans="1:11" x14ac:dyDescent="0.4">
      <c r="A644" s="18">
        <v>45068</v>
      </c>
      <c r="B644" s="9">
        <v>418.79</v>
      </c>
      <c r="C644" s="11">
        <f t="shared" si="48"/>
        <v>406.95359999999988</v>
      </c>
      <c r="D644" s="11">
        <f t="shared" si="47"/>
        <v>396.67620000000011</v>
      </c>
      <c r="E644" s="9"/>
      <c r="F644" s="9"/>
      <c r="G644" s="9">
        <f t="shared" ca="1" si="49"/>
        <v>406.95359999999988</v>
      </c>
      <c r="H644" s="9">
        <f t="shared" ca="1" si="50"/>
        <v>396.67620000000011</v>
      </c>
      <c r="I644" s="12">
        <f ca="1">IF(AND('Data Analysis Addin'!$G644&lt;='Data Analysis Addin'!$H644,G645&gt;H645), 1, 0)</f>
        <v>0</v>
      </c>
      <c r="J644" s="3">
        <f t="shared" ca="1" si="51"/>
        <v>0</v>
      </c>
      <c r="K644" s="19">
        <f>YEAR('Data Analysis Addin'!$A644)</f>
        <v>2023</v>
      </c>
    </row>
    <row r="645" spans="1:11" x14ac:dyDescent="0.4">
      <c r="A645" s="16">
        <v>45069</v>
      </c>
      <c r="B645" s="8">
        <v>414.09</v>
      </c>
      <c r="C645" s="11">
        <f t="shared" si="48"/>
        <v>407.52819999999991</v>
      </c>
      <c r="D645" s="11">
        <f t="shared" si="47"/>
        <v>396.67930000000001</v>
      </c>
      <c r="E645" s="8"/>
      <c r="F645" s="8"/>
      <c r="G645" s="8">
        <f t="shared" ca="1" si="49"/>
        <v>407.52819999999991</v>
      </c>
      <c r="H645" s="8">
        <f t="shared" ca="1" si="50"/>
        <v>396.67930000000001</v>
      </c>
      <c r="I645" s="12">
        <f ca="1">IF(AND('Data Analysis Addin'!$G645&lt;='Data Analysis Addin'!$H645,G646&gt;H646), 1, 0)</f>
        <v>0</v>
      </c>
      <c r="J645" s="2">
        <f t="shared" ca="1" si="51"/>
        <v>0</v>
      </c>
      <c r="K645" s="17">
        <f>YEAR('Data Analysis Addin'!$A645)</f>
        <v>2023</v>
      </c>
    </row>
    <row r="646" spans="1:11" x14ac:dyDescent="0.4">
      <c r="A646" s="18">
        <v>45070</v>
      </c>
      <c r="B646" s="9">
        <v>411.09</v>
      </c>
      <c r="C646" s="11">
        <f t="shared" si="48"/>
        <v>407.91539999999992</v>
      </c>
      <c r="D646" s="11">
        <f t="shared" si="47"/>
        <v>396.66979999999995</v>
      </c>
      <c r="E646" s="9"/>
      <c r="F646" s="9"/>
      <c r="G646" s="9">
        <f t="shared" ca="1" si="49"/>
        <v>407.91539999999992</v>
      </c>
      <c r="H646" s="9">
        <f t="shared" ca="1" si="50"/>
        <v>396.66979999999995</v>
      </c>
      <c r="I646" s="12">
        <f ca="1">IF(AND('Data Analysis Addin'!$G646&lt;='Data Analysis Addin'!$H646,G647&gt;H647), 1, 0)</f>
        <v>0</v>
      </c>
      <c r="J646" s="3">
        <f t="shared" ca="1" si="51"/>
        <v>0</v>
      </c>
      <c r="K646" s="19">
        <f>YEAR('Data Analysis Addin'!$A646)</f>
        <v>2023</v>
      </c>
    </row>
    <row r="647" spans="1:11" x14ac:dyDescent="0.4">
      <c r="A647" s="16">
        <v>45071</v>
      </c>
      <c r="B647" s="8">
        <v>414.65</v>
      </c>
      <c r="C647" s="11">
        <f t="shared" si="48"/>
        <v>408.42279999999994</v>
      </c>
      <c r="D647" s="11">
        <f t="shared" si="47"/>
        <v>396.6862999999999</v>
      </c>
      <c r="E647" s="8"/>
      <c r="F647" s="8"/>
      <c r="G647" s="8">
        <f t="shared" ca="1" si="49"/>
        <v>408.42279999999994</v>
      </c>
      <c r="H647" s="8">
        <f t="shared" ca="1" si="50"/>
        <v>396.6862999999999</v>
      </c>
      <c r="I647" s="12">
        <f ca="1">IF(AND('Data Analysis Addin'!$G647&lt;='Data Analysis Addin'!$H647,G648&gt;H648), 1, 0)</f>
        <v>0</v>
      </c>
      <c r="J647" s="2">
        <f t="shared" ca="1" si="51"/>
        <v>0</v>
      </c>
      <c r="K647" s="17">
        <f>YEAR('Data Analysis Addin'!$A647)</f>
        <v>2023</v>
      </c>
    </row>
    <row r="648" spans="1:11" x14ac:dyDescent="0.4">
      <c r="A648" s="18">
        <v>45072</v>
      </c>
      <c r="B648" s="9">
        <v>420.02</v>
      </c>
      <c r="C648" s="11">
        <f t="shared" si="48"/>
        <v>408.90100000000001</v>
      </c>
      <c r="D648" s="11">
        <f t="shared" si="47"/>
        <v>396.68644999999998</v>
      </c>
      <c r="E648" s="9"/>
      <c r="F648" s="9"/>
      <c r="G648" s="9">
        <f t="shared" ca="1" si="49"/>
        <v>408.90100000000001</v>
      </c>
      <c r="H648" s="9">
        <f t="shared" ca="1" si="50"/>
        <v>396.68644999999998</v>
      </c>
      <c r="I648" s="12">
        <f ca="1">IF(AND('Data Analysis Addin'!$G648&lt;='Data Analysis Addin'!$H648,G649&gt;H649), 1, 0)</f>
        <v>0</v>
      </c>
      <c r="J648" s="3">
        <f t="shared" ca="1" si="51"/>
        <v>0</v>
      </c>
      <c r="K648" s="19">
        <f>YEAR('Data Analysis Addin'!$A648)</f>
        <v>2023</v>
      </c>
    </row>
    <row r="649" spans="1:11" x14ac:dyDescent="0.4">
      <c r="A649" s="16">
        <v>45076</v>
      </c>
      <c r="B649" s="8">
        <v>420.18</v>
      </c>
      <c r="C649" s="11">
        <f t="shared" si="48"/>
        <v>409.50479999999993</v>
      </c>
      <c r="D649" s="11">
        <f t="shared" si="47"/>
        <v>396.68739999999991</v>
      </c>
      <c r="E649" s="8"/>
      <c r="F649" s="8"/>
      <c r="G649" s="8">
        <f t="shared" ca="1" si="49"/>
        <v>409.50479999999993</v>
      </c>
      <c r="H649" s="8">
        <f t="shared" ca="1" si="50"/>
        <v>396.68739999999991</v>
      </c>
      <c r="I649" s="12">
        <f ca="1">IF(AND('Data Analysis Addin'!$G649&lt;='Data Analysis Addin'!$H649,G650&gt;H650), 1, 0)</f>
        <v>0</v>
      </c>
      <c r="J649" s="2">
        <f t="shared" ca="1" si="51"/>
        <v>0</v>
      </c>
      <c r="K649" s="17">
        <f>YEAR('Data Analysis Addin'!$A649)</f>
        <v>2023</v>
      </c>
    </row>
    <row r="650" spans="1:11" x14ac:dyDescent="0.4">
      <c r="A650" s="18">
        <v>45077</v>
      </c>
      <c r="B650" s="9">
        <v>417.85</v>
      </c>
      <c r="C650" s="11">
        <f t="shared" si="48"/>
        <v>409.98699999999997</v>
      </c>
      <c r="D650" s="11">
        <f t="shared" ref="D650:D713" si="52">AVERAGE(B451:B650)</f>
        <v>396.64114999999998</v>
      </c>
      <c r="E650" s="9"/>
      <c r="F650" s="9"/>
      <c r="G650" s="9">
        <f t="shared" ca="1" si="49"/>
        <v>409.98699999999997</v>
      </c>
      <c r="H650" s="9">
        <f t="shared" ca="1" si="50"/>
        <v>396.64114999999998</v>
      </c>
      <c r="I650" s="12">
        <f ca="1">IF(AND('Data Analysis Addin'!$G650&lt;='Data Analysis Addin'!$H650,G651&gt;H651), 1, 0)</f>
        <v>0</v>
      </c>
      <c r="J650" s="3">
        <f t="shared" ca="1" si="51"/>
        <v>0</v>
      </c>
      <c r="K650" s="19">
        <f>YEAR('Data Analysis Addin'!$A650)</f>
        <v>2023</v>
      </c>
    </row>
    <row r="651" spans="1:11" x14ac:dyDescent="0.4">
      <c r="A651" s="16">
        <v>45078</v>
      </c>
      <c r="B651" s="8">
        <v>421.82</v>
      </c>
      <c r="C651" s="11">
        <f t="shared" si="48"/>
        <v>410.44519999999994</v>
      </c>
      <c r="D651" s="11">
        <f t="shared" si="52"/>
        <v>396.60594999999995</v>
      </c>
      <c r="E651" s="8"/>
      <c r="F651" s="8"/>
      <c r="G651" s="8">
        <f t="shared" ca="1" si="49"/>
        <v>410.44519999999994</v>
      </c>
      <c r="H651" s="8">
        <f t="shared" ca="1" si="50"/>
        <v>396.60594999999995</v>
      </c>
      <c r="I651" s="12">
        <f ca="1">IF(AND('Data Analysis Addin'!$G651&lt;='Data Analysis Addin'!$H651,G652&gt;H652), 1, 0)</f>
        <v>0</v>
      </c>
      <c r="J651" s="2">
        <f t="shared" ca="1" si="51"/>
        <v>0</v>
      </c>
      <c r="K651" s="17">
        <f>YEAR('Data Analysis Addin'!$A651)</f>
        <v>2023</v>
      </c>
    </row>
    <row r="652" spans="1:11" x14ac:dyDescent="0.4">
      <c r="A652" s="18">
        <v>45079</v>
      </c>
      <c r="B652" s="9">
        <v>427.92</v>
      </c>
      <c r="C652" s="11">
        <f t="shared" si="48"/>
        <v>411.16140000000001</v>
      </c>
      <c r="D652" s="11">
        <f t="shared" si="52"/>
        <v>396.59704999999997</v>
      </c>
      <c r="E652" s="9"/>
      <c r="F652" s="9"/>
      <c r="G652" s="9">
        <f t="shared" ca="1" si="49"/>
        <v>411.16140000000001</v>
      </c>
      <c r="H652" s="9">
        <f t="shared" ca="1" si="50"/>
        <v>396.59704999999997</v>
      </c>
      <c r="I652" s="12">
        <f ca="1">IF(AND('Data Analysis Addin'!$G652&lt;='Data Analysis Addin'!$H652,G653&gt;H653), 1, 0)</f>
        <v>0</v>
      </c>
      <c r="J652" s="3">
        <f t="shared" ca="1" si="51"/>
        <v>0</v>
      </c>
      <c r="K652" s="19">
        <f>YEAR('Data Analysis Addin'!$A652)</f>
        <v>2023</v>
      </c>
    </row>
    <row r="653" spans="1:11" x14ac:dyDescent="0.4">
      <c r="A653" s="16">
        <v>45082</v>
      </c>
      <c r="B653" s="8">
        <v>427.1</v>
      </c>
      <c r="C653" s="11">
        <f t="shared" si="48"/>
        <v>411.83999999999992</v>
      </c>
      <c r="D653" s="11">
        <f t="shared" si="52"/>
        <v>396.59930000000003</v>
      </c>
      <c r="E653" s="8"/>
      <c r="F653" s="8"/>
      <c r="G653" s="8">
        <f t="shared" ca="1" si="49"/>
        <v>411.83999999999992</v>
      </c>
      <c r="H653" s="8">
        <f t="shared" ca="1" si="50"/>
        <v>396.59930000000003</v>
      </c>
      <c r="I653" s="12">
        <f ca="1">IF(AND('Data Analysis Addin'!$G653&lt;='Data Analysis Addin'!$H653,G654&gt;H654), 1, 0)</f>
        <v>0</v>
      </c>
      <c r="J653" s="2">
        <f t="shared" ca="1" si="51"/>
        <v>0</v>
      </c>
      <c r="K653" s="17">
        <f>YEAR('Data Analysis Addin'!$A653)</f>
        <v>2023</v>
      </c>
    </row>
    <row r="654" spans="1:11" x14ac:dyDescent="0.4">
      <c r="A654" s="18">
        <v>45083</v>
      </c>
      <c r="B654" s="9">
        <v>428.03</v>
      </c>
      <c r="C654" s="11">
        <f t="shared" si="48"/>
        <v>412.48559999999998</v>
      </c>
      <c r="D654" s="11">
        <f t="shared" si="52"/>
        <v>396.6</v>
      </c>
      <c r="E654" s="9"/>
      <c r="F654" s="9"/>
      <c r="G654" s="9">
        <f t="shared" ca="1" si="49"/>
        <v>412.48559999999998</v>
      </c>
      <c r="H654" s="9">
        <f t="shared" ca="1" si="50"/>
        <v>396.6</v>
      </c>
      <c r="I654" s="12">
        <f ca="1">IF(AND('Data Analysis Addin'!$G654&lt;='Data Analysis Addin'!$H654,G655&gt;H655), 1, 0)</f>
        <v>0</v>
      </c>
      <c r="J654" s="3">
        <f t="shared" ca="1" si="51"/>
        <v>0</v>
      </c>
      <c r="K654" s="19">
        <f>YEAR('Data Analysis Addin'!$A654)</f>
        <v>2023</v>
      </c>
    </row>
    <row r="655" spans="1:11" x14ac:dyDescent="0.4">
      <c r="A655" s="16">
        <v>45084</v>
      </c>
      <c r="B655" s="8">
        <v>426.55</v>
      </c>
      <c r="C655" s="11">
        <f t="shared" si="48"/>
        <v>413.08679999999993</v>
      </c>
      <c r="D655" s="11">
        <f t="shared" si="52"/>
        <v>396.62204999999994</v>
      </c>
      <c r="E655" s="8"/>
      <c r="F655" s="8"/>
      <c r="G655" s="8">
        <f t="shared" ca="1" si="49"/>
        <v>413.08679999999993</v>
      </c>
      <c r="H655" s="8">
        <f t="shared" ca="1" si="50"/>
        <v>396.62204999999994</v>
      </c>
      <c r="I655" s="12">
        <f ca="1">IF(AND('Data Analysis Addin'!$G655&lt;='Data Analysis Addin'!$H655,G656&gt;H656), 1, 0)</f>
        <v>0</v>
      </c>
      <c r="J655" s="2">
        <f t="shared" ca="1" si="51"/>
        <v>0</v>
      </c>
      <c r="K655" s="17">
        <f>YEAR('Data Analysis Addin'!$A655)</f>
        <v>2023</v>
      </c>
    </row>
    <row r="656" spans="1:11" x14ac:dyDescent="0.4">
      <c r="A656" s="18">
        <v>45085</v>
      </c>
      <c r="B656" s="9">
        <v>429.13</v>
      </c>
      <c r="C656" s="11">
        <f t="shared" si="48"/>
        <v>413.7573999999999</v>
      </c>
      <c r="D656" s="11">
        <f t="shared" si="52"/>
        <v>396.70095000000003</v>
      </c>
      <c r="E656" s="9"/>
      <c r="F656" s="9"/>
      <c r="G656" s="9">
        <f t="shared" ca="1" si="49"/>
        <v>413.7573999999999</v>
      </c>
      <c r="H656" s="9">
        <f t="shared" ca="1" si="50"/>
        <v>396.70095000000003</v>
      </c>
      <c r="I656" s="12">
        <f ca="1">IF(AND('Data Analysis Addin'!$G656&lt;='Data Analysis Addin'!$H656,G657&gt;H657), 1, 0)</f>
        <v>0</v>
      </c>
      <c r="J656" s="3">
        <f t="shared" ca="1" si="51"/>
        <v>0</v>
      </c>
      <c r="K656" s="19">
        <f>YEAR('Data Analysis Addin'!$A656)</f>
        <v>2023</v>
      </c>
    </row>
    <row r="657" spans="1:11" x14ac:dyDescent="0.4">
      <c r="A657" s="16">
        <v>45086</v>
      </c>
      <c r="B657" s="8">
        <v>429.9</v>
      </c>
      <c r="C657" s="11">
        <f t="shared" si="48"/>
        <v>414.32839999999999</v>
      </c>
      <c r="D657" s="11">
        <f t="shared" si="52"/>
        <v>396.78869999999995</v>
      </c>
      <c r="E657" s="8"/>
      <c r="F657" s="8"/>
      <c r="G657" s="8">
        <f t="shared" ca="1" si="49"/>
        <v>414.32839999999999</v>
      </c>
      <c r="H657" s="8">
        <f t="shared" ca="1" si="50"/>
        <v>396.78869999999995</v>
      </c>
      <c r="I657" s="12">
        <f ca="1">IF(AND('Data Analysis Addin'!$G657&lt;='Data Analysis Addin'!$H657,G658&gt;H658), 1, 0)</f>
        <v>0</v>
      </c>
      <c r="J657" s="2">
        <f t="shared" ca="1" si="51"/>
        <v>0</v>
      </c>
      <c r="K657" s="17">
        <f>YEAR('Data Analysis Addin'!$A657)</f>
        <v>2023</v>
      </c>
    </row>
    <row r="658" spans="1:11" x14ac:dyDescent="0.4">
      <c r="A658" s="18">
        <v>45089</v>
      </c>
      <c r="B658" s="9">
        <v>433.8</v>
      </c>
      <c r="C658" s="11">
        <f t="shared" si="48"/>
        <v>414.93039999999985</v>
      </c>
      <c r="D658" s="11">
        <f t="shared" si="52"/>
        <v>396.88934999999992</v>
      </c>
      <c r="E658" s="9"/>
      <c r="F658" s="9"/>
      <c r="G658" s="9">
        <f t="shared" ca="1" si="49"/>
        <v>414.93039999999985</v>
      </c>
      <c r="H658" s="9">
        <f t="shared" ca="1" si="50"/>
        <v>396.88934999999992</v>
      </c>
      <c r="I658" s="12">
        <f ca="1">IF(AND('Data Analysis Addin'!$G658&lt;='Data Analysis Addin'!$H658,G659&gt;H659), 1, 0)</f>
        <v>0</v>
      </c>
      <c r="J658" s="3">
        <f t="shared" ca="1" si="51"/>
        <v>0</v>
      </c>
      <c r="K658" s="19">
        <f>YEAR('Data Analysis Addin'!$A658)</f>
        <v>2023</v>
      </c>
    </row>
    <row r="659" spans="1:11" x14ac:dyDescent="0.4">
      <c r="A659" s="16">
        <v>45090</v>
      </c>
      <c r="B659" s="8">
        <v>436.66</v>
      </c>
      <c r="C659" s="11">
        <f t="shared" si="48"/>
        <v>415.47579999999988</v>
      </c>
      <c r="D659" s="11">
        <f t="shared" si="52"/>
        <v>396.97509999999994</v>
      </c>
      <c r="E659" s="8"/>
      <c r="F659" s="8"/>
      <c r="G659" s="8">
        <f t="shared" ca="1" si="49"/>
        <v>415.47579999999988</v>
      </c>
      <c r="H659" s="8">
        <f t="shared" ca="1" si="50"/>
        <v>396.97509999999994</v>
      </c>
      <c r="I659" s="12">
        <f ca="1">IF(AND('Data Analysis Addin'!$G659&lt;='Data Analysis Addin'!$H659,G660&gt;H660), 1, 0)</f>
        <v>0</v>
      </c>
      <c r="J659" s="2">
        <f t="shared" ca="1" si="51"/>
        <v>0</v>
      </c>
      <c r="K659" s="17">
        <f>YEAR('Data Analysis Addin'!$A659)</f>
        <v>2023</v>
      </c>
    </row>
    <row r="660" spans="1:11" x14ac:dyDescent="0.4">
      <c r="A660" s="18">
        <v>45091</v>
      </c>
      <c r="B660" s="9">
        <v>437.18</v>
      </c>
      <c r="C660" s="11">
        <f t="shared" si="48"/>
        <v>416.00039999999996</v>
      </c>
      <c r="D660" s="11">
        <f t="shared" si="52"/>
        <v>397.13444999999984</v>
      </c>
      <c r="E660" s="9"/>
      <c r="F660" s="9"/>
      <c r="G660" s="9">
        <f t="shared" ca="1" si="49"/>
        <v>416.00039999999996</v>
      </c>
      <c r="H660" s="9">
        <f t="shared" ca="1" si="50"/>
        <v>397.13444999999984</v>
      </c>
      <c r="I660" s="12">
        <f ca="1">IF(AND('Data Analysis Addin'!$G660&lt;='Data Analysis Addin'!$H660,G661&gt;H661), 1, 0)</f>
        <v>0</v>
      </c>
      <c r="J660" s="3">
        <f t="shared" ca="1" si="51"/>
        <v>0</v>
      </c>
      <c r="K660" s="19">
        <f>YEAR('Data Analysis Addin'!$A660)</f>
        <v>2023</v>
      </c>
    </row>
    <row r="661" spans="1:11" x14ac:dyDescent="0.4">
      <c r="A661" s="16">
        <v>45092</v>
      </c>
      <c r="B661" s="8">
        <v>442.6</v>
      </c>
      <c r="C661" s="11">
        <f t="shared" si="48"/>
        <v>416.67899999999992</v>
      </c>
      <c r="D661" s="11">
        <f t="shared" si="52"/>
        <v>397.33429999999993</v>
      </c>
      <c r="E661" s="8"/>
      <c r="F661" s="8"/>
      <c r="G661" s="8">
        <f t="shared" ca="1" si="49"/>
        <v>416.67899999999992</v>
      </c>
      <c r="H661" s="8">
        <f t="shared" ca="1" si="50"/>
        <v>397.33429999999993</v>
      </c>
      <c r="I661" s="12">
        <f ca="1">IF(AND('Data Analysis Addin'!$G661&lt;='Data Analysis Addin'!$H661,G662&gt;H662), 1, 0)</f>
        <v>0</v>
      </c>
      <c r="J661" s="2">
        <f t="shared" ca="1" si="51"/>
        <v>0</v>
      </c>
      <c r="K661" s="17">
        <f>YEAR('Data Analysis Addin'!$A661)</f>
        <v>2023</v>
      </c>
    </row>
    <row r="662" spans="1:11" x14ac:dyDescent="0.4">
      <c r="A662" s="18">
        <v>45093</v>
      </c>
      <c r="B662" s="9">
        <v>439.46</v>
      </c>
      <c r="C662" s="11">
        <f t="shared" si="48"/>
        <v>417.31619999999987</v>
      </c>
      <c r="D662" s="11">
        <f t="shared" si="52"/>
        <v>397.54055</v>
      </c>
      <c r="E662" s="9"/>
      <c r="F662" s="9"/>
      <c r="G662" s="9">
        <f t="shared" ca="1" si="49"/>
        <v>417.31619999999987</v>
      </c>
      <c r="H662" s="9">
        <f t="shared" ca="1" si="50"/>
        <v>397.54055</v>
      </c>
      <c r="I662" s="12">
        <f ca="1">IF(AND('Data Analysis Addin'!$G662&lt;='Data Analysis Addin'!$H662,G663&gt;H663), 1, 0)</f>
        <v>0</v>
      </c>
      <c r="J662" s="3">
        <f t="shared" ca="1" si="51"/>
        <v>0</v>
      </c>
      <c r="K662" s="19">
        <f>YEAR('Data Analysis Addin'!$A662)</f>
        <v>2023</v>
      </c>
    </row>
    <row r="663" spans="1:11" x14ac:dyDescent="0.4">
      <c r="A663" s="16">
        <v>45097</v>
      </c>
      <c r="B663" s="8">
        <v>437.18</v>
      </c>
      <c r="C663" s="11">
        <f t="shared" si="48"/>
        <v>417.87599999999998</v>
      </c>
      <c r="D663" s="11">
        <f t="shared" si="52"/>
        <v>397.75054999999998</v>
      </c>
      <c r="E663" s="8"/>
      <c r="F663" s="8"/>
      <c r="G663" s="8">
        <f t="shared" ca="1" si="49"/>
        <v>417.87599999999998</v>
      </c>
      <c r="H663" s="8">
        <f t="shared" ca="1" si="50"/>
        <v>397.75054999999998</v>
      </c>
      <c r="I663" s="12">
        <f ca="1">IF(AND('Data Analysis Addin'!$G663&lt;='Data Analysis Addin'!$H663,G664&gt;H664), 1, 0)</f>
        <v>0</v>
      </c>
      <c r="J663" s="2">
        <f t="shared" ca="1" si="51"/>
        <v>0</v>
      </c>
      <c r="K663" s="17">
        <f>YEAR('Data Analysis Addin'!$A663)</f>
        <v>2023</v>
      </c>
    </row>
    <row r="664" spans="1:11" x14ac:dyDescent="0.4">
      <c r="A664" s="18">
        <v>45098</v>
      </c>
      <c r="B664" s="9">
        <v>434.94</v>
      </c>
      <c r="C664" s="11">
        <f t="shared" si="48"/>
        <v>418.38260000000002</v>
      </c>
      <c r="D664" s="11">
        <f t="shared" si="52"/>
        <v>397.94314999999995</v>
      </c>
      <c r="E664" s="9"/>
      <c r="F664" s="9"/>
      <c r="G664" s="9">
        <f t="shared" ca="1" si="49"/>
        <v>418.38260000000002</v>
      </c>
      <c r="H664" s="9">
        <f t="shared" ca="1" si="50"/>
        <v>397.94314999999995</v>
      </c>
      <c r="I664" s="12">
        <f ca="1">IF(AND('Data Analysis Addin'!$G664&lt;='Data Analysis Addin'!$H664,G665&gt;H665), 1, 0)</f>
        <v>0</v>
      </c>
      <c r="J664" s="3">
        <f t="shared" ca="1" si="51"/>
        <v>0</v>
      </c>
      <c r="K664" s="19">
        <f>YEAR('Data Analysis Addin'!$A664)</f>
        <v>2023</v>
      </c>
    </row>
    <row r="665" spans="1:11" x14ac:dyDescent="0.4">
      <c r="A665" s="16">
        <v>45099</v>
      </c>
      <c r="B665" s="8">
        <v>436.51</v>
      </c>
      <c r="C665" s="11">
        <f t="shared" si="48"/>
        <v>418.91840000000002</v>
      </c>
      <c r="D665" s="11">
        <f t="shared" si="52"/>
        <v>398.16449999999992</v>
      </c>
      <c r="E665" s="8"/>
      <c r="F665" s="8"/>
      <c r="G665" s="8">
        <f t="shared" ca="1" si="49"/>
        <v>418.91840000000002</v>
      </c>
      <c r="H665" s="8">
        <f t="shared" ca="1" si="50"/>
        <v>398.16449999999992</v>
      </c>
      <c r="I665" s="12">
        <f ca="1">IF(AND('Data Analysis Addin'!$G665&lt;='Data Analysis Addin'!$H665,G666&gt;H666), 1, 0)</f>
        <v>0</v>
      </c>
      <c r="J665" s="2">
        <f t="shared" ca="1" si="51"/>
        <v>0</v>
      </c>
      <c r="K665" s="17">
        <f>YEAR('Data Analysis Addin'!$A665)</f>
        <v>2023</v>
      </c>
    </row>
    <row r="666" spans="1:11" x14ac:dyDescent="0.4">
      <c r="A666" s="18">
        <v>45100</v>
      </c>
      <c r="B666" s="9">
        <v>433.21</v>
      </c>
      <c r="C666" s="11">
        <f t="shared" si="48"/>
        <v>419.42159999999996</v>
      </c>
      <c r="D666" s="11">
        <f t="shared" si="52"/>
        <v>398.3767499999999</v>
      </c>
      <c r="E666" s="9"/>
      <c r="F666" s="9"/>
      <c r="G666" s="9">
        <f t="shared" ca="1" si="49"/>
        <v>419.42159999999996</v>
      </c>
      <c r="H666" s="9">
        <f t="shared" ca="1" si="50"/>
        <v>398.3767499999999</v>
      </c>
      <c r="I666" s="12">
        <f ca="1">IF(AND('Data Analysis Addin'!$G666&lt;='Data Analysis Addin'!$H666,G667&gt;H667), 1, 0)</f>
        <v>0</v>
      </c>
      <c r="J666" s="3">
        <f t="shared" ca="1" si="51"/>
        <v>0</v>
      </c>
      <c r="K666" s="19">
        <f>YEAR('Data Analysis Addin'!$A666)</f>
        <v>2023</v>
      </c>
    </row>
    <row r="667" spans="1:11" x14ac:dyDescent="0.4">
      <c r="A667" s="16">
        <v>45103</v>
      </c>
      <c r="B667" s="8">
        <v>431.44</v>
      </c>
      <c r="C667" s="11">
        <f t="shared" si="48"/>
        <v>419.78099999999989</v>
      </c>
      <c r="D667" s="11">
        <f t="shared" si="52"/>
        <v>398.54504999999989</v>
      </c>
      <c r="E667" s="8"/>
      <c r="F667" s="8"/>
      <c r="G667" s="8">
        <f t="shared" ca="1" si="49"/>
        <v>419.78099999999989</v>
      </c>
      <c r="H667" s="8">
        <f t="shared" ca="1" si="50"/>
        <v>398.54504999999989</v>
      </c>
      <c r="I667" s="12">
        <f ca="1">IF(AND('Data Analysis Addin'!$G667&lt;='Data Analysis Addin'!$H667,G668&gt;H668), 1, 0)</f>
        <v>0</v>
      </c>
      <c r="J667" s="2">
        <f t="shared" ca="1" si="51"/>
        <v>0</v>
      </c>
      <c r="K667" s="17">
        <f>YEAR('Data Analysis Addin'!$A667)</f>
        <v>2023</v>
      </c>
    </row>
    <row r="668" spans="1:11" x14ac:dyDescent="0.4">
      <c r="A668" s="18">
        <v>45104</v>
      </c>
      <c r="B668" s="9">
        <v>436.17</v>
      </c>
      <c r="C668" s="11">
        <f t="shared" si="48"/>
        <v>420.25519999999983</v>
      </c>
      <c r="D668" s="11">
        <f t="shared" si="52"/>
        <v>398.72399999999988</v>
      </c>
      <c r="E668" s="9"/>
      <c r="F668" s="9"/>
      <c r="G668" s="9">
        <f t="shared" ca="1" si="49"/>
        <v>420.25519999999983</v>
      </c>
      <c r="H668" s="9">
        <f t="shared" ca="1" si="50"/>
        <v>398.72399999999988</v>
      </c>
      <c r="I668" s="12">
        <f ca="1">IF(AND('Data Analysis Addin'!$G668&lt;='Data Analysis Addin'!$H668,G669&gt;H669), 1, 0)</f>
        <v>0</v>
      </c>
      <c r="J668" s="3">
        <f t="shared" ca="1" si="51"/>
        <v>0</v>
      </c>
      <c r="K668" s="19">
        <f>YEAR('Data Analysis Addin'!$A668)</f>
        <v>2023</v>
      </c>
    </row>
    <row r="669" spans="1:11" x14ac:dyDescent="0.4">
      <c r="A669" s="16">
        <v>45105</v>
      </c>
      <c r="B669" s="8">
        <v>436.39</v>
      </c>
      <c r="C669" s="11">
        <f t="shared" si="48"/>
        <v>420.70419999999984</v>
      </c>
      <c r="D669" s="11">
        <f t="shared" si="52"/>
        <v>398.87294999999989</v>
      </c>
      <c r="E669" s="8"/>
      <c r="F669" s="8"/>
      <c r="G669" s="8">
        <f t="shared" ca="1" si="49"/>
        <v>420.70419999999984</v>
      </c>
      <c r="H669" s="8">
        <f t="shared" ca="1" si="50"/>
        <v>398.87294999999989</v>
      </c>
      <c r="I669" s="12">
        <f ca="1">IF(AND('Data Analysis Addin'!$G669&lt;='Data Analysis Addin'!$H669,G670&gt;H670), 1, 0)</f>
        <v>0</v>
      </c>
      <c r="J669" s="2">
        <f t="shared" ca="1" si="51"/>
        <v>0</v>
      </c>
      <c r="K669" s="17">
        <f>YEAR('Data Analysis Addin'!$A669)</f>
        <v>2023</v>
      </c>
    </row>
    <row r="670" spans="1:11" x14ac:dyDescent="0.4">
      <c r="A670" s="18">
        <v>45106</v>
      </c>
      <c r="B670" s="9">
        <v>438.11</v>
      </c>
      <c r="C670" s="11">
        <f t="shared" si="48"/>
        <v>421.18219999999985</v>
      </c>
      <c r="D670" s="11">
        <f t="shared" si="52"/>
        <v>399.00864999999982</v>
      </c>
      <c r="E670" s="9"/>
      <c r="F670" s="9"/>
      <c r="G670" s="9">
        <f t="shared" ca="1" si="49"/>
        <v>421.18219999999985</v>
      </c>
      <c r="H670" s="9">
        <f t="shared" ca="1" si="50"/>
        <v>399.00864999999982</v>
      </c>
      <c r="I670" s="12">
        <f ca="1">IF(AND('Data Analysis Addin'!$G670&lt;='Data Analysis Addin'!$H670,G671&gt;H671), 1, 0)</f>
        <v>0</v>
      </c>
      <c r="J670" s="3">
        <f t="shared" ca="1" si="51"/>
        <v>0</v>
      </c>
      <c r="K670" s="19">
        <f>YEAR('Data Analysis Addin'!$A670)</f>
        <v>2023</v>
      </c>
    </row>
    <row r="671" spans="1:11" x14ac:dyDescent="0.4">
      <c r="A671" s="16">
        <v>45107</v>
      </c>
      <c r="B671" s="8">
        <v>443.28</v>
      </c>
      <c r="C671" s="11">
        <f t="shared" si="48"/>
        <v>421.76499999999987</v>
      </c>
      <c r="D671" s="11">
        <f t="shared" si="52"/>
        <v>399.25954999999988</v>
      </c>
      <c r="E671" s="8"/>
      <c r="F671" s="8"/>
      <c r="G671" s="8">
        <f t="shared" ca="1" si="49"/>
        <v>421.76499999999987</v>
      </c>
      <c r="H671" s="8">
        <f t="shared" ca="1" si="50"/>
        <v>399.25954999999988</v>
      </c>
      <c r="I671" s="12">
        <f ca="1">IF(AND('Data Analysis Addin'!$G671&lt;='Data Analysis Addin'!$H671,G672&gt;H672), 1, 0)</f>
        <v>0</v>
      </c>
      <c r="J671" s="2">
        <f t="shared" ca="1" si="51"/>
        <v>0</v>
      </c>
      <c r="K671" s="17">
        <f>YEAR('Data Analysis Addin'!$A671)</f>
        <v>2023</v>
      </c>
    </row>
    <row r="672" spans="1:11" x14ac:dyDescent="0.4">
      <c r="A672" s="18">
        <v>45110</v>
      </c>
      <c r="B672" s="9">
        <v>443.79</v>
      </c>
      <c r="C672" s="11">
        <f t="shared" si="48"/>
        <v>422.40319999999991</v>
      </c>
      <c r="D672" s="11">
        <f t="shared" si="52"/>
        <v>399.50549999999987</v>
      </c>
      <c r="E672" s="9"/>
      <c r="F672" s="9"/>
      <c r="G672" s="9">
        <f t="shared" ca="1" si="49"/>
        <v>422.40319999999991</v>
      </c>
      <c r="H672" s="9">
        <f t="shared" ca="1" si="50"/>
        <v>399.50549999999987</v>
      </c>
      <c r="I672" s="12">
        <f ca="1">IF(AND('Data Analysis Addin'!$G672&lt;='Data Analysis Addin'!$H672,G673&gt;H673), 1, 0)</f>
        <v>0</v>
      </c>
      <c r="J672" s="3">
        <f t="shared" ca="1" si="51"/>
        <v>0</v>
      </c>
      <c r="K672" s="19">
        <f>YEAR('Data Analysis Addin'!$A672)</f>
        <v>2023</v>
      </c>
    </row>
    <row r="673" spans="1:11" x14ac:dyDescent="0.4">
      <c r="A673" s="16">
        <v>45112</v>
      </c>
      <c r="B673" s="8">
        <v>443.13</v>
      </c>
      <c r="C673" s="11">
        <f t="shared" si="48"/>
        <v>423.02179999999987</v>
      </c>
      <c r="D673" s="11">
        <f t="shared" si="52"/>
        <v>399.77054999999996</v>
      </c>
      <c r="E673" s="8"/>
      <c r="F673" s="8"/>
      <c r="G673" s="8">
        <f t="shared" ca="1" si="49"/>
        <v>423.02179999999987</v>
      </c>
      <c r="H673" s="8">
        <f t="shared" ca="1" si="50"/>
        <v>399.77054999999996</v>
      </c>
      <c r="I673" s="12">
        <f ca="1">IF(AND('Data Analysis Addin'!$G673&lt;='Data Analysis Addin'!$H673,G674&gt;H674), 1, 0)</f>
        <v>0</v>
      </c>
      <c r="J673" s="2">
        <f t="shared" ca="1" si="51"/>
        <v>0</v>
      </c>
      <c r="K673" s="17">
        <f>YEAR('Data Analysis Addin'!$A673)</f>
        <v>2023</v>
      </c>
    </row>
    <row r="674" spans="1:11" x14ac:dyDescent="0.4">
      <c r="A674" s="18">
        <v>45113</v>
      </c>
      <c r="B674" s="9">
        <v>439.66</v>
      </c>
      <c r="C674" s="11">
        <f t="shared" si="48"/>
        <v>423.56239999999991</v>
      </c>
      <c r="D674" s="11">
        <f t="shared" si="52"/>
        <v>400.04104999999998</v>
      </c>
      <c r="E674" s="9"/>
      <c r="F674" s="9"/>
      <c r="G674" s="9">
        <f t="shared" ca="1" si="49"/>
        <v>423.56239999999991</v>
      </c>
      <c r="H674" s="9">
        <f t="shared" ca="1" si="50"/>
        <v>400.04104999999998</v>
      </c>
      <c r="I674" s="12">
        <f ca="1">IF(AND('Data Analysis Addin'!$G674&lt;='Data Analysis Addin'!$H674,G675&gt;H675), 1, 0)</f>
        <v>0</v>
      </c>
      <c r="J674" s="3">
        <f t="shared" ca="1" si="51"/>
        <v>0</v>
      </c>
      <c r="K674" s="19">
        <f>YEAR('Data Analysis Addin'!$A674)</f>
        <v>2023</v>
      </c>
    </row>
    <row r="675" spans="1:11" x14ac:dyDescent="0.4">
      <c r="A675" s="16">
        <v>45114</v>
      </c>
      <c r="B675" s="8">
        <v>438.55</v>
      </c>
      <c r="C675" s="11">
        <f t="shared" si="48"/>
        <v>424.21179999999987</v>
      </c>
      <c r="D675" s="11">
        <f t="shared" si="52"/>
        <v>400.29105000000004</v>
      </c>
      <c r="E675" s="8"/>
      <c r="F675" s="8"/>
      <c r="G675" s="8">
        <f t="shared" ca="1" si="49"/>
        <v>424.21179999999987</v>
      </c>
      <c r="H675" s="8">
        <f t="shared" ca="1" si="50"/>
        <v>400.29105000000004</v>
      </c>
      <c r="I675" s="12">
        <f ca="1">IF(AND('Data Analysis Addin'!$G675&lt;='Data Analysis Addin'!$H675,G676&gt;H676), 1, 0)</f>
        <v>0</v>
      </c>
      <c r="J675" s="2">
        <f t="shared" ca="1" si="51"/>
        <v>0</v>
      </c>
      <c r="K675" s="17">
        <f>YEAR('Data Analysis Addin'!$A675)</f>
        <v>2023</v>
      </c>
    </row>
    <row r="676" spans="1:11" x14ac:dyDescent="0.4">
      <c r="A676" s="18">
        <v>45117</v>
      </c>
      <c r="B676" s="9">
        <v>439.66</v>
      </c>
      <c r="C676" s="11">
        <f t="shared" si="48"/>
        <v>424.91779999999994</v>
      </c>
      <c r="D676" s="11">
        <f t="shared" si="52"/>
        <v>400.56890000000004</v>
      </c>
      <c r="E676" s="9"/>
      <c r="F676" s="9"/>
      <c r="G676" s="9">
        <f t="shared" ca="1" si="49"/>
        <v>424.91779999999994</v>
      </c>
      <c r="H676" s="9">
        <f t="shared" ca="1" si="50"/>
        <v>400.56890000000004</v>
      </c>
      <c r="I676" s="12">
        <f ca="1">IF(AND('Data Analysis Addin'!$G676&lt;='Data Analysis Addin'!$H676,G677&gt;H677), 1, 0)</f>
        <v>0</v>
      </c>
      <c r="J676" s="3">
        <f t="shared" ca="1" si="51"/>
        <v>0</v>
      </c>
      <c r="K676" s="19">
        <f>YEAR('Data Analysis Addin'!$A676)</f>
        <v>2023</v>
      </c>
    </row>
    <row r="677" spans="1:11" x14ac:dyDescent="0.4">
      <c r="A677" s="16">
        <v>45118</v>
      </c>
      <c r="B677" s="8">
        <v>442.46</v>
      </c>
      <c r="C677" s="11">
        <f t="shared" si="48"/>
        <v>425.51879999999989</v>
      </c>
      <c r="D677" s="11">
        <f t="shared" si="52"/>
        <v>400.89425000000017</v>
      </c>
      <c r="E677" s="8"/>
      <c r="F677" s="8"/>
      <c r="G677" s="8">
        <f t="shared" ca="1" si="49"/>
        <v>425.51879999999989</v>
      </c>
      <c r="H677" s="8">
        <f t="shared" ca="1" si="50"/>
        <v>400.89425000000017</v>
      </c>
      <c r="I677" s="12">
        <f ca="1">IF(AND('Data Analysis Addin'!$G677&lt;='Data Analysis Addin'!$H677,G678&gt;H678), 1, 0)</f>
        <v>0</v>
      </c>
      <c r="J677" s="2">
        <f t="shared" ca="1" si="51"/>
        <v>0</v>
      </c>
      <c r="K677" s="17">
        <f>YEAR('Data Analysis Addin'!$A677)</f>
        <v>2023</v>
      </c>
    </row>
    <row r="678" spans="1:11" x14ac:dyDescent="0.4">
      <c r="A678" s="18">
        <v>45119</v>
      </c>
      <c r="B678" s="9">
        <v>446.02</v>
      </c>
      <c r="C678" s="11">
        <f t="shared" si="48"/>
        <v>426.12059999999991</v>
      </c>
      <c r="D678" s="11">
        <f t="shared" si="52"/>
        <v>401.25325000000021</v>
      </c>
      <c r="E678" s="9"/>
      <c r="F678" s="9"/>
      <c r="G678" s="9">
        <f t="shared" ca="1" si="49"/>
        <v>426.12059999999991</v>
      </c>
      <c r="H678" s="9">
        <f t="shared" ca="1" si="50"/>
        <v>401.25325000000021</v>
      </c>
      <c r="I678" s="12">
        <f ca="1">IF(AND('Data Analysis Addin'!$G678&lt;='Data Analysis Addin'!$H678,G679&gt;H679), 1, 0)</f>
        <v>0</v>
      </c>
      <c r="J678" s="3">
        <f t="shared" ca="1" si="51"/>
        <v>0</v>
      </c>
      <c r="K678" s="19">
        <f>YEAR('Data Analysis Addin'!$A678)</f>
        <v>2023</v>
      </c>
    </row>
    <row r="679" spans="1:11" x14ac:dyDescent="0.4">
      <c r="A679" s="16">
        <v>45120</v>
      </c>
      <c r="B679" s="8">
        <v>449.56</v>
      </c>
      <c r="C679" s="11">
        <f t="shared" si="48"/>
        <v>426.80159999999995</v>
      </c>
      <c r="D679" s="11">
        <f t="shared" si="52"/>
        <v>401.66130000000021</v>
      </c>
      <c r="E679" s="8"/>
      <c r="F679" s="8"/>
      <c r="G679" s="8">
        <f t="shared" ca="1" si="49"/>
        <v>426.80159999999995</v>
      </c>
      <c r="H679" s="8">
        <f t="shared" ca="1" si="50"/>
        <v>401.66130000000021</v>
      </c>
      <c r="I679" s="12">
        <f ca="1">IF(AND('Data Analysis Addin'!$G679&lt;='Data Analysis Addin'!$H679,G680&gt;H680), 1, 0)</f>
        <v>0</v>
      </c>
      <c r="J679" s="2">
        <f t="shared" ca="1" si="51"/>
        <v>0</v>
      </c>
      <c r="K679" s="17">
        <f>YEAR('Data Analysis Addin'!$A679)</f>
        <v>2023</v>
      </c>
    </row>
    <row r="680" spans="1:11" x14ac:dyDescent="0.4">
      <c r="A680" s="18">
        <v>45121</v>
      </c>
      <c r="B680" s="9">
        <v>449.28</v>
      </c>
      <c r="C680" s="11">
        <f t="shared" si="48"/>
        <v>427.57040000000001</v>
      </c>
      <c r="D680" s="11">
        <f t="shared" si="52"/>
        <v>402.0861500000002</v>
      </c>
      <c r="E680" s="9"/>
      <c r="F680" s="9"/>
      <c r="G680" s="9">
        <f t="shared" ca="1" si="49"/>
        <v>427.57040000000001</v>
      </c>
      <c r="H680" s="9">
        <f t="shared" ca="1" si="50"/>
        <v>402.0861500000002</v>
      </c>
      <c r="I680" s="12">
        <f ca="1">IF(AND('Data Analysis Addin'!$G680&lt;='Data Analysis Addin'!$H680,G681&gt;H681), 1, 0)</f>
        <v>0</v>
      </c>
      <c r="J680" s="3">
        <f t="shared" ca="1" si="51"/>
        <v>0</v>
      </c>
      <c r="K680" s="19">
        <f>YEAR('Data Analysis Addin'!$A680)</f>
        <v>2023</v>
      </c>
    </row>
    <row r="681" spans="1:11" x14ac:dyDescent="0.4">
      <c r="A681" s="16">
        <v>45124</v>
      </c>
      <c r="B681" s="8">
        <v>450.84</v>
      </c>
      <c r="C681" s="11">
        <f t="shared" si="48"/>
        <v>428.42679999999996</v>
      </c>
      <c r="D681" s="11">
        <f t="shared" si="52"/>
        <v>402.52345000000014</v>
      </c>
      <c r="E681" s="8"/>
      <c r="F681" s="8"/>
      <c r="G681" s="8">
        <f t="shared" ca="1" si="49"/>
        <v>428.42679999999996</v>
      </c>
      <c r="H681" s="8">
        <f t="shared" ca="1" si="50"/>
        <v>402.52345000000014</v>
      </c>
      <c r="I681" s="12">
        <f ca="1">IF(AND('Data Analysis Addin'!$G681&lt;='Data Analysis Addin'!$H681,G682&gt;H682), 1, 0)</f>
        <v>0</v>
      </c>
      <c r="J681" s="2">
        <f t="shared" ca="1" si="51"/>
        <v>0</v>
      </c>
      <c r="K681" s="17">
        <f>YEAR('Data Analysis Addin'!$A681)</f>
        <v>2023</v>
      </c>
    </row>
    <row r="682" spans="1:11" x14ac:dyDescent="0.4">
      <c r="A682" s="18">
        <v>45125</v>
      </c>
      <c r="B682" s="9">
        <v>454.19</v>
      </c>
      <c r="C682" s="11">
        <f t="shared" si="48"/>
        <v>429.40799999999996</v>
      </c>
      <c r="D682" s="11">
        <f t="shared" si="52"/>
        <v>402.94175000000018</v>
      </c>
      <c r="E682" s="9"/>
      <c r="F682" s="9"/>
      <c r="G682" s="9">
        <f t="shared" ca="1" si="49"/>
        <v>429.40799999999996</v>
      </c>
      <c r="H682" s="9">
        <f t="shared" ca="1" si="50"/>
        <v>402.94175000000018</v>
      </c>
      <c r="I682" s="12">
        <f ca="1">IF(AND('Data Analysis Addin'!$G682&lt;='Data Analysis Addin'!$H682,G683&gt;H683), 1, 0)</f>
        <v>0</v>
      </c>
      <c r="J682" s="3">
        <f t="shared" ca="1" si="51"/>
        <v>0</v>
      </c>
      <c r="K682" s="19">
        <f>YEAR('Data Analysis Addin'!$A682)</f>
        <v>2023</v>
      </c>
    </row>
    <row r="683" spans="1:11" x14ac:dyDescent="0.4">
      <c r="A683" s="16">
        <v>45126</v>
      </c>
      <c r="B683" s="8">
        <v>455.2</v>
      </c>
      <c r="C683" s="11">
        <f t="shared" si="48"/>
        <v>430.25939999999997</v>
      </c>
      <c r="D683" s="11">
        <f t="shared" si="52"/>
        <v>403.40380000000022</v>
      </c>
      <c r="E683" s="8"/>
      <c r="F683" s="8"/>
      <c r="G683" s="8">
        <f t="shared" ca="1" si="49"/>
        <v>430.25939999999997</v>
      </c>
      <c r="H683" s="8">
        <f t="shared" ca="1" si="50"/>
        <v>403.40380000000022</v>
      </c>
      <c r="I683" s="12">
        <f ca="1">IF(AND('Data Analysis Addin'!$G683&lt;='Data Analysis Addin'!$H683,G684&gt;H684), 1, 0)</f>
        <v>0</v>
      </c>
      <c r="J683" s="2">
        <f t="shared" ca="1" si="51"/>
        <v>0</v>
      </c>
      <c r="K683" s="17">
        <f>YEAR('Data Analysis Addin'!$A683)</f>
        <v>2023</v>
      </c>
    </row>
    <row r="684" spans="1:11" x14ac:dyDescent="0.4">
      <c r="A684" s="18">
        <v>45127</v>
      </c>
      <c r="B684" s="9">
        <v>452.18</v>
      </c>
      <c r="C684" s="11">
        <f t="shared" si="48"/>
        <v>431.04820000000001</v>
      </c>
      <c r="D684" s="11">
        <f t="shared" si="52"/>
        <v>403.87880000000013</v>
      </c>
      <c r="E684" s="9"/>
      <c r="F684" s="9"/>
      <c r="G684" s="9">
        <f t="shared" ca="1" si="49"/>
        <v>431.04820000000001</v>
      </c>
      <c r="H684" s="9">
        <f t="shared" ca="1" si="50"/>
        <v>403.87880000000013</v>
      </c>
      <c r="I684" s="12">
        <f ca="1">IF(AND('Data Analysis Addin'!$G684&lt;='Data Analysis Addin'!$H684,G685&gt;H685), 1, 0)</f>
        <v>0</v>
      </c>
      <c r="J684" s="3">
        <f t="shared" ca="1" si="51"/>
        <v>0</v>
      </c>
      <c r="K684" s="19">
        <f>YEAR('Data Analysis Addin'!$A684)</f>
        <v>2023</v>
      </c>
    </row>
    <row r="685" spans="1:11" x14ac:dyDescent="0.4">
      <c r="A685" s="16">
        <v>45128</v>
      </c>
      <c r="B685" s="8">
        <v>452.18</v>
      </c>
      <c r="C685" s="11">
        <f t="shared" si="48"/>
        <v>431.8732</v>
      </c>
      <c r="D685" s="11">
        <f t="shared" si="52"/>
        <v>404.3066500000001</v>
      </c>
      <c r="E685" s="8"/>
      <c r="F685" s="8"/>
      <c r="G685" s="8">
        <f t="shared" ca="1" si="49"/>
        <v>431.8732</v>
      </c>
      <c r="H685" s="8">
        <f t="shared" ca="1" si="50"/>
        <v>404.3066500000001</v>
      </c>
      <c r="I685" s="12">
        <f ca="1">IF(AND('Data Analysis Addin'!$G685&lt;='Data Analysis Addin'!$H685,G686&gt;H686), 1, 0)</f>
        <v>0</v>
      </c>
      <c r="J685" s="2">
        <f t="shared" ca="1" si="51"/>
        <v>0</v>
      </c>
      <c r="K685" s="17">
        <f>YEAR('Data Analysis Addin'!$A685)</f>
        <v>2023</v>
      </c>
    </row>
    <row r="686" spans="1:11" x14ac:dyDescent="0.4">
      <c r="A686" s="18">
        <v>45131</v>
      </c>
      <c r="B686" s="9">
        <v>454.2</v>
      </c>
      <c r="C686" s="11">
        <f t="shared" si="48"/>
        <v>432.7002</v>
      </c>
      <c r="D686" s="11">
        <f t="shared" si="52"/>
        <v>404.68779999999998</v>
      </c>
      <c r="E686" s="9"/>
      <c r="F686" s="9"/>
      <c r="G686" s="9">
        <f t="shared" ca="1" si="49"/>
        <v>432.7002</v>
      </c>
      <c r="H686" s="9">
        <f t="shared" ca="1" si="50"/>
        <v>404.68779999999998</v>
      </c>
      <c r="I686" s="12">
        <f ca="1">IF(AND('Data Analysis Addin'!$G686&lt;='Data Analysis Addin'!$H686,G687&gt;H687), 1, 0)</f>
        <v>0</v>
      </c>
      <c r="J686" s="3">
        <f t="shared" ca="1" si="51"/>
        <v>0</v>
      </c>
      <c r="K686" s="19">
        <f>YEAR('Data Analysis Addin'!$A686)</f>
        <v>2023</v>
      </c>
    </row>
    <row r="687" spans="1:11" x14ac:dyDescent="0.4">
      <c r="A687" s="16">
        <v>45132</v>
      </c>
      <c r="B687" s="8">
        <v>455.44</v>
      </c>
      <c r="C687" s="11">
        <f t="shared" si="48"/>
        <v>433.56639999999999</v>
      </c>
      <c r="D687" s="11">
        <f t="shared" si="52"/>
        <v>405.07955000000004</v>
      </c>
      <c r="E687" s="8"/>
      <c r="F687" s="8"/>
      <c r="G687" s="8">
        <f t="shared" ca="1" si="49"/>
        <v>433.56639999999999</v>
      </c>
      <c r="H687" s="8">
        <f t="shared" ca="1" si="50"/>
        <v>405.07955000000004</v>
      </c>
      <c r="I687" s="12">
        <f ca="1">IF(AND('Data Analysis Addin'!$G687&lt;='Data Analysis Addin'!$H687,G688&gt;H688), 1, 0)</f>
        <v>0</v>
      </c>
      <c r="J687" s="2">
        <f t="shared" ca="1" si="51"/>
        <v>0</v>
      </c>
      <c r="K687" s="17">
        <f>YEAR('Data Analysis Addin'!$A687)</f>
        <v>2023</v>
      </c>
    </row>
    <row r="688" spans="1:11" x14ac:dyDescent="0.4">
      <c r="A688" s="18">
        <v>45133</v>
      </c>
      <c r="B688" s="9">
        <v>455.51</v>
      </c>
      <c r="C688" s="11">
        <f t="shared" si="48"/>
        <v>434.44479999999999</v>
      </c>
      <c r="D688" s="11">
        <f t="shared" si="52"/>
        <v>405.49109999999996</v>
      </c>
      <c r="E688" s="9"/>
      <c r="F688" s="9"/>
      <c r="G688" s="9">
        <f t="shared" ca="1" si="49"/>
        <v>434.44479999999999</v>
      </c>
      <c r="H688" s="9">
        <f t="shared" ca="1" si="50"/>
        <v>405.49109999999996</v>
      </c>
      <c r="I688" s="12">
        <f ca="1">IF(AND('Data Analysis Addin'!$G688&lt;='Data Analysis Addin'!$H688,G689&gt;H689), 1, 0)</f>
        <v>0</v>
      </c>
      <c r="J688" s="3">
        <f t="shared" ca="1" si="51"/>
        <v>0</v>
      </c>
      <c r="K688" s="19">
        <f>YEAR('Data Analysis Addin'!$A688)</f>
        <v>2023</v>
      </c>
    </row>
    <row r="689" spans="1:11" x14ac:dyDescent="0.4">
      <c r="A689" s="16">
        <v>45134</v>
      </c>
      <c r="B689" s="8">
        <v>452.49</v>
      </c>
      <c r="C689" s="11">
        <f t="shared" si="48"/>
        <v>435.23440000000005</v>
      </c>
      <c r="D689" s="11">
        <f t="shared" si="52"/>
        <v>405.93959999999998</v>
      </c>
      <c r="E689" s="8"/>
      <c r="F689" s="8"/>
      <c r="G689" s="8">
        <f t="shared" ca="1" si="49"/>
        <v>435.23440000000005</v>
      </c>
      <c r="H689" s="8">
        <f t="shared" ca="1" si="50"/>
        <v>405.93959999999998</v>
      </c>
      <c r="I689" s="12">
        <f ca="1">IF(AND('Data Analysis Addin'!$G689&lt;='Data Analysis Addin'!$H689,G690&gt;H690), 1, 0)</f>
        <v>0</v>
      </c>
      <c r="J689" s="2">
        <f t="shared" ca="1" si="51"/>
        <v>0</v>
      </c>
      <c r="K689" s="17">
        <f>YEAR('Data Analysis Addin'!$A689)</f>
        <v>2023</v>
      </c>
    </row>
    <row r="690" spans="1:11" x14ac:dyDescent="0.4">
      <c r="A690" s="18">
        <v>45135</v>
      </c>
      <c r="B690" s="9">
        <v>456.92</v>
      </c>
      <c r="C690" s="11">
        <f t="shared" si="48"/>
        <v>436.16779999999994</v>
      </c>
      <c r="D690" s="11">
        <f t="shared" si="52"/>
        <v>406.42409999999995</v>
      </c>
      <c r="E690" s="9"/>
      <c r="F690" s="9"/>
      <c r="G690" s="9">
        <f t="shared" ca="1" si="49"/>
        <v>436.16779999999994</v>
      </c>
      <c r="H690" s="9">
        <f t="shared" ca="1" si="50"/>
        <v>406.42409999999995</v>
      </c>
      <c r="I690" s="12">
        <f ca="1">IF(AND('Data Analysis Addin'!$G690&lt;='Data Analysis Addin'!$H690,G691&gt;H691), 1, 0)</f>
        <v>0</v>
      </c>
      <c r="J690" s="3">
        <f t="shared" ca="1" si="51"/>
        <v>0</v>
      </c>
      <c r="K690" s="19">
        <f>YEAR('Data Analysis Addin'!$A690)</f>
        <v>2023</v>
      </c>
    </row>
    <row r="691" spans="1:11" x14ac:dyDescent="0.4">
      <c r="A691" s="16">
        <v>45138</v>
      </c>
      <c r="B691" s="8">
        <v>457.79</v>
      </c>
      <c r="C691" s="11">
        <f t="shared" si="48"/>
        <v>437.01899999999995</v>
      </c>
      <c r="D691" s="11">
        <f t="shared" si="52"/>
        <v>406.92434999999989</v>
      </c>
      <c r="E691" s="8"/>
      <c r="F691" s="8"/>
      <c r="G691" s="8">
        <f t="shared" ca="1" si="49"/>
        <v>437.01899999999995</v>
      </c>
      <c r="H691" s="8">
        <f t="shared" ca="1" si="50"/>
        <v>406.92434999999989</v>
      </c>
      <c r="I691" s="12">
        <f ca="1">IF(AND('Data Analysis Addin'!$G691&lt;='Data Analysis Addin'!$H691,G692&gt;H692), 1, 0)</f>
        <v>0</v>
      </c>
      <c r="J691" s="2">
        <f t="shared" ca="1" si="51"/>
        <v>0</v>
      </c>
      <c r="K691" s="17">
        <f>YEAR('Data Analysis Addin'!$A691)</f>
        <v>2023</v>
      </c>
    </row>
    <row r="692" spans="1:11" x14ac:dyDescent="0.4">
      <c r="A692" s="18">
        <v>45139</v>
      </c>
      <c r="B692" s="9">
        <v>456.48</v>
      </c>
      <c r="C692" s="11">
        <f t="shared" ref="C692:C755" si="53">AVERAGE(B643:B692)</f>
        <v>437.76399999999995</v>
      </c>
      <c r="D692" s="11">
        <f t="shared" si="52"/>
        <v>407.42394999999988</v>
      </c>
      <c r="E692" s="9"/>
      <c r="F692" s="9"/>
      <c r="G692" s="9">
        <f t="shared" ca="1" si="49"/>
        <v>437.76399999999995</v>
      </c>
      <c r="H692" s="9">
        <f t="shared" ca="1" si="50"/>
        <v>407.42394999999988</v>
      </c>
      <c r="I692" s="12">
        <f ca="1">IF(AND('Data Analysis Addin'!$G692&lt;='Data Analysis Addin'!$H692,G693&gt;H693), 1, 0)</f>
        <v>0</v>
      </c>
      <c r="J692" s="3">
        <f t="shared" ca="1" si="51"/>
        <v>0</v>
      </c>
      <c r="K692" s="19">
        <f>YEAR('Data Analysis Addin'!$A692)</f>
        <v>2023</v>
      </c>
    </row>
    <row r="693" spans="1:11" x14ac:dyDescent="0.4">
      <c r="A693" s="16">
        <v>45140</v>
      </c>
      <c r="B693" s="8">
        <v>450.13</v>
      </c>
      <c r="C693" s="11">
        <f t="shared" si="53"/>
        <v>438.39419999999996</v>
      </c>
      <c r="D693" s="11">
        <f t="shared" si="52"/>
        <v>407.84474999999992</v>
      </c>
      <c r="E693" s="8"/>
      <c r="F693" s="8"/>
      <c r="G693" s="8">
        <f t="shared" ca="1" si="49"/>
        <v>438.39419999999996</v>
      </c>
      <c r="H693" s="8">
        <f t="shared" ca="1" si="50"/>
        <v>407.84474999999992</v>
      </c>
      <c r="I693" s="12">
        <f ca="1">IF(AND('Data Analysis Addin'!$G693&lt;='Data Analysis Addin'!$H693,G694&gt;H694), 1, 0)</f>
        <v>0</v>
      </c>
      <c r="J693" s="2">
        <f t="shared" ca="1" si="51"/>
        <v>0</v>
      </c>
      <c r="K693" s="17">
        <f>YEAR('Data Analysis Addin'!$A693)</f>
        <v>2023</v>
      </c>
    </row>
    <row r="694" spans="1:11" x14ac:dyDescent="0.4">
      <c r="A694" s="18">
        <v>45141</v>
      </c>
      <c r="B694" s="9">
        <v>448.84</v>
      </c>
      <c r="C694" s="11">
        <f t="shared" si="53"/>
        <v>438.99520000000007</v>
      </c>
      <c r="D694" s="11">
        <f t="shared" si="52"/>
        <v>408.30079999999987</v>
      </c>
      <c r="E694" s="9"/>
      <c r="F694" s="9"/>
      <c r="G694" s="9">
        <f t="shared" ca="1" si="49"/>
        <v>438.99520000000007</v>
      </c>
      <c r="H694" s="9">
        <f t="shared" ca="1" si="50"/>
        <v>408.30079999999987</v>
      </c>
      <c r="I694" s="12">
        <f ca="1">IF(AND('Data Analysis Addin'!$G694&lt;='Data Analysis Addin'!$H694,G695&gt;H695), 1, 0)</f>
        <v>0</v>
      </c>
      <c r="J694" s="3">
        <f t="shared" ca="1" si="51"/>
        <v>0</v>
      </c>
      <c r="K694" s="19">
        <f>YEAR('Data Analysis Addin'!$A694)</f>
        <v>2023</v>
      </c>
    </row>
    <row r="695" spans="1:11" x14ac:dyDescent="0.4">
      <c r="A695" s="16">
        <v>45142</v>
      </c>
      <c r="B695" s="8">
        <v>446.81</v>
      </c>
      <c r="C695" s="11">
        <f t="shared" si="53"/>
        <v>439.64959999999996</v>
      </c>
      <c r="D695" s="11">
        <f t="shared" si="52"/>
        <v>408.7007499999998</v>
      </c>
      <c r="E695" s="8"/>
      <c r="F695" s="8"/>
      <c r="G695" s="8">
        <f t="shared" ca="1" si="49"/>
        <v>439.64959999999996</v>
      </c>
      <c r="H695" s="8">
        <f t="shared" ca="1" si="50"/>
        <v>408.7007499999998</v>
      </c>
      <c r="I695" s="12">
        <f ca="1">IF(AND('Data Analysis Addin'!$G695&lt;='Data Analysis Addin'!$H695,G696&gt;H696), 1, 0)</f>
        <v>0</v>
      </c>
      <c r="J695" s="2">
        <f t="shared" ca="1" si="51"/>
        <v>0</v>
      </c>
      <c r="K695" s="17">
        <f>YEAR('Data Analysis Addin'!$A695)</f>
        <v>2023</v>
      </c>
    </row>
    <row r="696" spans="1:11" x14ac:dyDescent="0.4">
      <c r="A696" s="18">
        <v>45145</v>
      </c>
      <c r="B696" s="9">
        <v>450.71</v>
      </c>
      <c r="C696" s="11">
        <f t="shared" si="53"/>
        <v>440.44200000000006</v>
      </c>
      <c r="D696" s="11">
        <f t="shared" si="52"/>
        <v>409.09864999999991</v>
      </c>
      <c r="E696" s="9"/>
      <c r="F696" s="9"/>
      <c r="G696" s="9">
        <f t="shared" ca="1" si="49"/>
        <v>440.44200000000006</v>
      </c>
      <c r="H696" s="9">
        <f t="shared" ca="1" si="50"/>
        <v>409.09864999999991</v>
      </c>
      <c r="I696" s="12">
        <f ca="1">IF(AND('Data Analysis Addin'!$G696&lt;='Data Analysis Addin'!$H696,G697&gt;H697), 1, 0)</f>
        <v>0</v>
      </c>
      <c r="J696" s="3">
        <f t="shared" ca="1" si="51"/>
        <v>0</v>
      </c>
      <c r="K696" s="19">
        <f>YEAR('Data Analysis Addin'!$A696)</f>
        <v>2023</v>
      </c>
    </row>
    <row r="697" spans="1:11" x14ac:dyDescent="0.4">
      <c r="A697" s="16">
        <v>45146</v>
      </c>
      <c r="B697" s="8">
        <v>448.75</v>
      </c>
      <c r="C697" s="11">
        <f t="shared" si="53"/>
        <v>441.12400000000002</v>
      </c>
      <c r="D697" s="11">
        <f t="shared" si="52"/>
        <v>409.49989999999991</v>
      </c>
      <c r="E697" s="8"/>
      <c r="F697" s="8"/>
      <c r="G697" s="8">
        <f t="shared" ca="1" si="49"/>
        <v>441.12400000000002</v>
      </c>
      <c r="H697" s="8">
        <f t="shared" ca="1" si="50"/>
        <v>409.49989999999991</v>
      </c>
      <c r="I697" s="12">
        <f ca="1">IF(AND('Data Analysis Addin'!$G697&lt;='Data Analysis Addin'!$H697,G698&gt;H698), 1, 0)</f>
        <v>0</v>
      </c>
      <c r="J697" s="2">
        <f t="shared" ca="1" si="51"/>
        <v>0</v>
      </c>
      <c r="K697" s="17">
        <f>YEAR('Data Analysis Addin'!$A697)</f>
        <v>2023</v>
      </c>
    </row>
    <row r="698" spans="1:11" x14ac:dyDescent="0.4">
      <c r="A698" s="18">
        <v>45147</v>
      </c>
      <c r="B698" s="9">
        <v>445.75</v>
      </c>
      <c r="C698" s="11">
        <f t="shared" si="53"/>
        <v>441.6386</v>
      </c>
      <c r="D698" s="11">
        <f t="shared" si="52"/>
        <v>409.9015999999998</v>
      </c>
      <c r="E698" s="9"/>
      <c r="F698" s="9"/>
      <c r="G698" s="9">
        <f t="shared" ca="1" si="49"/>
        <v>441.6386</v>
      </c>
      <c r="H698" s="9">
        <f t="shared" ca="1" si="50"/>
        <v>409.9015999999998</v>
      </c>
      <c r="I698" s="12">
        <f ca="1">IF(AND('Data Analysis Addin'!$G698&lt;='Data Analysis Addin'!$H698,G699&gt;H699), 1, 0)</f>
        <v>0</v>
      </c>
      <c r="J698" s="3">
        <f t="shared" ca="1" si="51"/>
        <v>0</v>
      </c>
      <c r="K698" s="19">
        <f>YEAR('Data Analysis Addin'!$A698)</f>
        <v>2023</v>
      </c>
    </row>
    <row r="699" spans="1:11" x14ac:dyDescent="0.4">
      <c r="A699" s="16">
        <v>45148</v>
      </c>
      <c r="B699" s="8">
        <v>445.91</v>
      </c>
      <c r="C699" s="11">
        <f t="shared" si="53"/>
        <v>442.15320000000008</v>
      </c>
      <c r="D699" s="11">
        <f t="shared" si="52"/>
        <v>410.25969999999984</v>
      </c>
      <c r="E699" s="8"/>
      <c r="F699" s="8"/>
      <c r="G699" s="8">
        <f t="shared" ca="1" si="49"/>
        <v>442.15320000000008</v>
      </c>
      <c r="H699" s="8">
        <f t="shared" ca="1" si="50"/>
        <v>410.25969999999984</v>
      </c>
      <c r="I699" s="12">
        <f ca="1">IF(AND('Data Analysis Addin'!$G699&lt;='Data Analysis Addin'!$H699,G700&gt;H700), 1, 0)</f>
        <v>0</v>
      </c>
      <c r="J699" s="2">
        <f t="shared" ca="1" si="51"/>
        <v>0</v>
      </c>
      <c r="K699" s="17">
        <f>YEAR('Data Analysis Addin'!$A699)</f>
        <v>2023</v>
      </c>
    </row>
    <row r="700" spans="1:11" x14ac:dyDescent="0.4">
      <c r="A700" s="18">
        <v>45149</v>
      </c>
      <c r="B700" s="9">
        <v>445.65</v>
      </c>
      <c r="C700" s="11">
        <f t="shared" si="53"/>
        <v>442.70920000000012</v>
      </c>
      <c r="D700" s="11">
        <f t="shared" si="52"/>
        <v>410.59359999999987</v>
      </c>
      <c r="E700" s="9"/>
      <c r="F700" s="9"/>
      <c r="G700" s="9">
        <f t="shared" ca="1" si="49"/>
        <v>442.70920000000012</v>
      </c>
      <c r="H700" s="9">
        <f t="shared" ca="1" si="50"/>
        <v>410.59359999999987</v>
      </c>
      <c r="I700" s="12">
        <f ca="1">IF(AND('Data Analysis Addin'!$G700&lt;='Data Analysis Addin'!$H700,G701&gt;H701), 1, 0)</f>
        <v>0</v>
      </c>
      <c r="J700" s="3">
        <f t="shared" ca="1" si="51"/>
        <v>0</v>
      </c>
      <c r="K700" s="19">
        <f>YEAR('Data Analysis Addin'!$A700)</f>
        <v>2023</v>
      </c>
    </row>
    <row r="701" spans="1:11" x14ac:dyDescent="0.4">
      <c r="A701" s="16">
        <v>45152</v>
      </c>
      <c r="B701" s="8">
        <v>448.11</v>
      </c>
      <c r="C701" s="11">
        <f t="shared" si="53"/>
        <v>443.23500000000013</v>
      </c>
      <c r="D701" s="11">
        <f t="shared" si="52"/>
        <v>410.9095499999998</v>
      </c>
      <c r="E701" s="8"/>
      <c r="F701" s="8"/>
      <c r="G701" s="8">
        <f t="shared" ca="1" si="49"/>
        <v>443.23500000000013</v>
      </c>
      <c r="H701" s="8">
        <f t="shared" ca="1" si="50"/>
        <v>410.9095499999998</v>
      </c>
      <c r="I701" s="12">
        <f ca="1">IF(AND('Data Analysis Addin'!$G701&lt;='Data Analysis Addin'!$H701,G702&gt;H702), 1, 0)</f>
        <v>0</v>
      </c>
      <c r="J701" s="2">
        <f t="shared" ca="1" si="51"/>
        <v>0</v>
      </c>
      <c r="K701" s="17">
        <f>YEAR('Data Analysis Addin'!$A701)</f>
        <v>2023</v>
      </c>
    </row>
    <row r="702" spans="1:11" x14ac:dyDescent="0.4">
      <c r="A702" s="18">
        <v>45153</v>
      </c>
      <c r="B702" s="9">
        <v>442.89</v>
      </c>
      <c r="C702" s="11">
        <f t="shared" si="53"/>
        <v>443.53440000000012</v>
      </c>
      <c r="D702" s="11">
        <f t="shared" si="52"/>
        <v>411.21389999999985</v>
      </c>
      <c r="E702" s="9"/>
      <c r="F702" s="9"/>
      <c r="G702" s="9">
        <f t="shared" ca="1" si="49"/>
        <v>443.53440000000012</v>
      </c>
      <c r="H702" s="9">
        <f t="shared" ca="1" si="50"/>
        <v>411.21389999999985</v>
      </c>
      <c r="I702" s="12">
        <f ca="1">IF(AND('Data Analysis Addin'!$G702&lt;='Data Analysis Addin'!$H702,G703&gt;H703), 1, 0)</f>
        <v>0</v>
      </c>
      <c r="J702" s="3">
        <f t="shared" ca="1" si="51"/>
        <v>0</v>
      </c>
      <c r="K702" s="19">
        <f>YEAR('Data Analysis Addin'!$A702)</f>
        <v>2023</v>
      </c>
    </row>
    <row r="703" spans="1:11" x14ac:dyDescent="0.4">
      <c r="A703" s="16">
        <v>45154</v>
      </c>
      <c r="B703" s="8">
        <v>439.64</v>
      </c>
      <c r="C703" s="11">
        <f t="shared" si="53"/>
        <v>443.78520000000003</v>
      </c>
      <c r="D703" s="11">
        <f t="shared" si="52"/>
        <v>411.51219999999989</v>
      </c>
      <c r="E703" s="8"/>
      <c r="F703" s="8"/>
      <c r="G703" s="8">
        <f t="shared" ca="1" si="49"/>
        <v>443.78520000000003</v>
      </c>
      <c r="H703" s="8">
        <f t="shared" ca="1" si="50"/>
        <v>411.51219999999989</v>
      </c>
      <c r="I703" s="12">
        <f ca="1">IF(AND('Data Analysis Addin'!$G703&lt;='Data Analysis Addin'!$H703,G704&gt;H704), 1, 0)</f>
        <v>0</v>
      </c>
      <c r="J703" s="2">
        <f t="shared" ca="1" si="51"/>
        <v>0</v>
      </c>
      <c r="K703" s="17">
        <f>YEAR('Data Analysis Addin'!$A703)</f>
        <v>2023</v>
      </c>
    </row>
    <row r="704" spans="1:11" x14ac:dyDescent="0.4">
      <c r="A704" s="18">
        <v>45155</v>
      </c>
      <c r="B704" s="9">
        <v>436.29</v>
      </c>
      <c r="C704" s="11">
        <f t="shared" si="53"/>
        <v>443.95040000000006</v>
      </c>
      <c r="D704" s="11">
        <f t="shared" si="52"/>
        <v>411.74854999999974</v>
      </c>
      <c r="E704" s="9"/>
      <c r="F704" s="9"/>
      <c r="G704" s="9">
        <f t="shared" ca="1" si="49"/>
        <v>443.95040000000006</v>
      </c>
      <c r="H704" s="9">
        <f t="shared" ca="1" si="50"/>
        <v>411.74854999999974</v>
      </c>
      <c r="I704" s="12">
        <f ca="1">IF(AND('Data Analysis Addin'!$G704&lt;='Data Analysis Addin'!$H704,G705&gt;H705), 1, 0)</f>
        <v>0</v>
      </c>
      <c r="J704" s="3">
        <f t="shared" ca="1" si="51"/>
        <v>0</v>
      </c>
      <c r="K704" s="19">
        <f>YEAR('Data Analysis Addin'!$A704)</f>
        <v>2023</v>
      </c>
    </row>
    <row r="705" spans="1:11" x14ac:dyDescent="0.4">
      <c r="A705" s="16">
        <v>45156</v>
      </c>
      <c r="B705" s="8">
        <v>436.5</v>
      </c>
      <c r="C705" s="11">
        <f t="shared" si="53"/>
        <v>444.14940000000007</v>
      </c>
      <c r="D705" s="11">
        <f t="shared" si="52"/>
        <v>411.99999999999983</v>
      </c>
      <c r="E705" s="8"/>
      <c r="F705" s="8"/>
      <c r="G705" s="8">
        <f t="shared" ca="1" si="49"/>
        <v>444.14940000000007</v>
      </c>
      <c r="H705" s="8">
        <f t="shared" ca="1" si="50"/>
        <v>411.99999999999983</v>
      </c>
      <c r="I705" s="12">
        <f ca="1">IF(AND('Data Analysis Addin'!$G705&lt;='Data Analysis Addin'!$H705,G706&gt;H706), 1, 0)</f>
        <v>0</v>
      </c>
      <c r="J705" s="2">
        <f t="shared" ca="1" si="51"/>
        <v>0</v>
      </c>
      <c r="K705" s="17">
        <f>YEAR('Data Analysis Addin'!$A705)</f>
        <v>2023</v>
      </c>
    </row>
    <row r="706" spans="1:11" x14ac:dyDescent="0.4">
      <c r="A706" s="18">
        <v>45159</v>
      </c>
      <c r="B706" s="9">
        <v>439.34</v>
      </c>
      <c r="C706" s="11">
        <f t="shared" si="53"/>
        <v>444.35360000000009</v>
      </c>
      <c r="D706" s="11">
        <f t="shared" si="52"/>
        <v>412.27409999999981</v>
      </c>
      <c r="E706" s="9"/>
      <c r="F706" s="9"/>
      <c r="G706" s="9">
        <f t="shared" ca="1" si="49"/>
        <v>444.35360000000009</v>
      </c>
      <c r="H706" s="9">
        <f t="shared" ca="1" si="50"/>
        <v>412.27409999999981</v>
      </c>
      <c r="I706" s="12">
        <f ca="1">IF(AND('Data Analysis Addin'!$G706&lt;='Data Analysis Addin'!$H706,G707&gt;H707), 1, 0)</f>
        <v>0</v>
      </c>
      <c r="J706" s="3">
        <f t="shared" ca="1" si="51"/>
        <v>0</v>
      </c>
      <c r="K706" s="19">
        <f>YEAR('Data Analysis Addin'!$A706)</f>
        <v>2023</v>
      </c>
    </row>
    <row r="707" spans="1:11" x14ac:dyDescent="0.4">
      <c r="A707" s="16">
        <v>45160</v>
      </c>
      <c r="B707" s="8">
        <v>438.15</v>
      </c>
      <c r="C707" s="11">
        <f t="shared" si="53"/>
        <v>444.51860000000011</v>
      </c>
      <c r="D707" s="11">
        <f t="shared" si="52"/>
        <v>412.59049999999974</v>
      </c>
      <c r="E707" s="8"/>
      <c r="F707" s="8"/>
      <c r="G707" s="8">
        <f t="shared" ref="G707:G770" ca="1" si="54">AVERAGE(OFFSET($B707,0,0,-(MIN(ROW()-ROW($B$3)+1,n_50)),1))</f>
        <v>444.51860000000011</v>
      </c>
      <c r="H707" s="8">
        <f t="shared" ref="H707:H770" ca="1" si="55">AVERAGE(OFFSET($B707,0,0,-(MIN(ROW()-ROW($B$3)+1,n_200)),1))</f>
        <v>412.59049999999974</v>
      </c>
      <c r="I707" s="12">
        <f ca="1">IF(AND('Data Analysis Addin'!$G707&lt;='Data Analysis Addin'!$H707,G708&gt;H708), 1, 0)</f>
        <v>0</v>
      </c>
      <c r="J707" s="2">
        <f t="shared" ref="J707:J770" ca="1" si="56">IF($G707&lt;$H707,1,0)</f>
        <v>0</v>
      </c>
      <c r="K707" s="17">
        <f>YEAR('Data Analysis Addin'!$A707)</f>
        <v>2023</v>
      </c>
    </row>
    <row r="708" spans="1:11" x14ac:dyDescent="0.4">
      <c r="A708" s="18">
        <v>45161</v>
      </c>
      <c r="B708" s="9">
        <v>443.03</v>
      </c>
      <c r="C708" s="11">
        <f t="shared" si="53"/>
        <v>444.70320000000009</v>
      </c>
      <c r="D708" s="11">
        <f t="shared" si="52"/>
        <v>412.95059999999978</v>
      </c>
      <c r="E708" s="9"/>
      <c r="F708" s="9"/>
      <c r="G708" s="9">
        <f t="shared" ca="1" si="54"/>
        <v>444.70320000000009</v>
      </c>
      <c r="H708" s="9">
        <f t="shared" ca="1" si="55"/>
        <v>412.95059999999978</v>
      </c>
      <c r="I708" s="12">
        <f ca="1">IF(AND('Data Analysis Addin'!$G708&lt;='Data Analysis Addin'!$H708,G709&gt;H709), 1, 0)</f>
        <v>0</v>
      </c>
      <c r="J708" s="3">
        <f t="shared" ca="1" si="56"/>
        <v>0</v>
      </c>
      <c r="K708" s="19">
        <f>YEAR('Data Analysis Addin'!$A708)</f>
        <v>2023</v>
      </c>
    </row>
    <row r="709" spans="1:11" x14ac:dyDescent="0.4">
      <c r="A709" s="16">
        <v>45162</v>
      </c>
      <c r="B709" s="8">
        <v>436.89</v>
      </c>
      <c r="C709" s="11">
        <f t="shared" si="53"/>
        <v>444.70780000000008</v>
      </c>
      <c r="D709" s="11">
        <f t="shared" si="52"/>
        <v>413.2532999999998</v>
      </c>
      <c r="E709" s="8"/>
      <c r="F709" s="8"/>
      <c r="G709" s="8">
        <f t="shared" ca="1" si="54"/>
        <v>444.70780000000008</v>
      </c>
      <c r="H709" s="8">
        <f t="shared" ca="1" si="55"/>
        <v>413.2532999999998</v>
      </c>
      <c r="I709" s="12">
        <f ca="1">IF(AND('Data Analysis Addin'!$G709&lt;='Data Analysis Addin'!$H709,G710&gt;H710), 1, 0)</f>
        <v>0</v>
      </c>
      <c r="J709" s="2">
        <f t="shared" ca="1" si="56"/>
        <v>0</v>
      </c>
      <c r="K709" s="17">
        <f>YEAR('Data Analysis Addin'!$A709)</f>
        <v>2023</v>
      </c>
    </row>
    <row r="710" spans="1:11" x14ac:dyDescent="0.4">
      <c r="A710" s="18">
        <v>45163</v>
      </c>
      <c r="B710" s="9">
        <v>439.97</v>
      </c>
      <c r="C710" s="11">
        <f t="shared" si="53"/>
        <v>444.76360000000005</v>
      </c>
      <c r="D710" s="11">
        <f t="shared" si="52"/>
        <v>413.55339999999984</v>
      </c>
      <c r="E710" s="9"/>
      <c r="F710" s="9"/>
      <c r="G710" s="9">
        <f t="shared" ca="1" si="54"/>
        <v>444.76360000000005</v>
      </c>
      <c r="H710" s="9">
        <f t="shared" ca="1" si="55"/>
        <v>413.55339999999984</v>
      </c>
      <c r="I710" s="12">
        <f ca="1">IF(AND('Data Analysis Addin'!$G710&lt;='Data Analysis Addin'!$H710,G711&gt;H711), 1, 0)</f>
        <v>0</v>
      </c>
      <c r="J710" s="3">
        <f t="shared" ca="1" si="56"/>
        <v>0</v>
      </c>
      <c r="K710" s="19">
        <f>YEAR('Data Analysis Addin'!$A710)</f>
        <v>2023</v>
      </c>
    </row>
    <row r="711" spans="1:11" x14ac:dyDescent="0.4">
      <c r="A711" s="16">
        <v>45166</v>
      </c>
      <c r="B711" s="8">
        <v>442.76</v>
      </c>
      <c r="C711" s="11">
        <f t="shared" si="53"/>
        <v>444.76679999999999</v>
      </c>
      <c r="D711" s="11">
        <f t="shared" si="52"/>
        <v>413.85719999999981</v>
      </c>
      <c r="E711" s="8"/>
      <c r="F711" s="8"/>
      <c r="G711" s="8">
        <f t="shared" ca="1" si="54"/>
        <v>444.76679999999999</v>
      </c>
      <c r="H711" s="8">
        <f t="shared" ca="1" si="55"/>
        <v>413.85719999999981</v>
      </c>
      <c r="I711" s="12">
        <f ca="1">IF(AND('Data Analysis Addin'!$G711&lt;='Data Analysis Addin'!$H711,G712&gt;H712), 1, 0)</f>
        <v>0</v>
      </c>
      <c r="J711" s="2">
        <f t="shared" ca="1" si="56"/>
        <v>0</v>
      </c>
      <c r="K711" s="17">
        <f>YEAR('Data Analysis Addin'!$A711)</f>
        <v>2023</v>
      </c>
    </row>
    <row r="712" spans="1:11" x14ac:dyDescent="0.4">
      <c r="A712" s="18">
        <v>45167</v>
      </c>
      <c r="B712" s="9">
        <v>449.16</v>
      </c>
      <c r="C712" s="11">
        <f t="shared" si="53"/>
        <v>444.96080000000006</v>
      </c>
      <c r="D712" s="11">
        <f t="shared" si="52"/>
        <v>414.23234999999971</v>
      </c>
      <c r="E712" s="9"/>
      <c r="F712" s="9"/>
      <c r="G712" s="9">
        <f t="shared" ca="1" si="54"/>
        <v>444.96080000000006</v>
      </c>
      <c r="H712" s="9">
        <f t="shared" ca="1" si="55"/>
        <v>414.23234999999971</v>
      </c>
      <c r="I712" s="12">
        <f ca="1">IF(AND('Data Analysis Addin'!$G712&lt;='Data Analysis Addin'!$H712,G713&gt;H713), 1, 0)</f>
        <v>0</v>
      </c>
      <c r="J712" s="3">
        <f t="shared" ca="1" si="56"/>
        <v>0</v>
      </c>
      <c r="K712" s="19">
        <f>YEAR('Data Analysis Addin'!$A712)</f>
        <v>2023</v>
      </c>
    </row>
    <row r="713" spans="1:11" x14ac:dyDescent="0.4">
      <c r="A713" s="16">
        <v>45168</v>
      </c>
      <c r="B713" s="8">
        <v>451.01</v>
      </c>
      <c r="C713" s="11">
        <f t="shared" si="53"/>
        <v>445.23739999999998</v>
      </c>
      <c r="D713" s="11">
        <f t="shared" si="52"/>
        <v>414.51394999999968</v>
      </c>
      <c r="E713" s="8"/>
      <c r="F713" s="8"/>
      <c r="G713" s="8">
        <f t="shared" ca="1" si="54"/>
        <v>445.23739999999998</v>
      </c>
      <c r="H713" s="8">
        <f t="shared" ca="1" si="55"/>
        <v>414.51394999999968</v>
      </c>
      <c r="I713" s="12">
        <f ca="1">IF(AND('Data Analysis Addin'!$G713&lt;='Data Analysis Addin'!$H713,G714&gt;H714), 1, 0)</f>
        <v>0</v>
      </c>
      <c r="J713" s="2">
        <f t="shared" ca="1" si="56"/>
        <v>0</v>
      </c>
      <c r="K713" s="17">
        <f>YEAR('Data Analysis Addin'!$A713)</f>
        <v>2023</v>
      </c>
    </row>
    <row r="714" spans="1:11" x14ac:dyDescent="0.4">
      <c r="A714" s="18">
        <v>45169</v>
      </c>
      <c r="B714" s="9">
        <v>450.35</v>
      </c>
      <c r="C714" s="11">
        <f t="shared" si="53"/>
        <v>445.54559999999992</v>
      </c>
      <c r="D714" s="11">
        <f t="shared" ref="D714:D777" si="57">AVERAGE(B515:B714)</f>
        <v>414.77314999999976</v>
      </c>
      <c r="E714" s="9"/>
      <c r="F714" s="9"/>
      <c r="G714" s="9">
        <f t="shared" ca="1" si="54"/>
        <v>445.54559999999992</v>
      </c>
      <c r="H714" s="9">
        <f t="shared" ca="1" si="55"/>
        <v>414.77314999999976</v>
      </c>
      <c r="I714" s="12">
        <f ca="1">IF(AND('Data Analysis Addin'!$G714&lt;='Data Analysis Addin'!$H714,G715&gt;H715), 1, 0)</f>
        <v>0</v>
      </c>
      <c r="J714" s="3">
        <f t="shared" ca="1" si="56"/>
        <v>0</v>
      </c>
      <c r="K714" s="19">
        <f>YEAR('Data Analysis Addin'!$A714)</f>
        <v>2023</v>
      </c>
    </row>
    <row r="715" spans="1:11" x14ac:dyDescent="0.4">
      <c r="A715" s="16">
        <v>45170</v>
      </c>
      <c r="B715" s="8">
        <v>451.19</v>
      </c>
      <c r="C715" s="11">
        <f t="shared" si="53"/>
        <v>445.83919999999989</v>
      </c>
      <c r="D715" s="11">
        <f t="shared" si="57"/>
        <v>415.0534999999997</v>
      </c>
      <c r="E715" s="8"/>
      <c r="F715" s="8"/>
      <c r="G715" s="8">
        <f t="shared" ca="1" si="54"/>
        <v>445.83919999999989</v>
      </c>
      <c r="H715" s="8">
        <f t="shared" ca="1" si="55"/>
        <v>415.0534999999997</v>
      </c>
      <c r="I715" s="12">
        <f ca="1">IF(AND('Data Analysis Addin'!$G715&lt;='Data Analysis Addin'!$H715,G716&gt;H716), 1, 0)</f>
        <v>0</v>
      </c>
      <c r="J715" s="2">
        <f t="shared" ca="1" si="56"/>
        <v>0</v>
      </c>
      <c r="K715" s="17">
        <f>YEAR('Data Analysis Addin'!$A715)</f>
        <v>2023</v>
      </c>
    </row>
    <row r="716" spans="1:11" x14ac:dyDescent="0.4">
      <c r="A716" s="18">
        <v>45174</v>
      </c>
      <c r="B716" s="9">
        <v>449.24</v>
      </c>
      <c r="C716" s="11">
        <f t="shared" si="53"/>
        <v>446.15979999999996</v>
      </c>
      <c r="D716" s="11">
        <f t="shared" si="57"/>
        <v>415.30724999999978</v>
      </c>
      <c r="E716" s="9"/>
      <c r="F716" s="9"/>
      <c r="G716" s="9">
        <f t="shared" ca="1" si="54"/>
        <v>446.15979999999996</v>
      </c>
      <c r="H716" s="9">
        <f t="shared" ca="1" si="55"/>
        <v>415.30724999999978</v>
      </c>
      <c r="I716" s="12">
        <f ca="1">IF(AND('Data Analysis Addin'!$G716&lt;='Data Analysis Addin'!$H716,G717&gt;H717), 1, 0)</f>
        <v>0</v>
      </c>
      <c r="J716" s="3">
        <f t="shared" ca="1" si="56"/>
        <v>0</v>
      </c>
      <c r="K716" s="19">
        <f>YEAR('Data Analysis Addin'!$A716)</f>
        <v>2023</v>
      </c>
    </row>
    <row r="717" spans="1:11" x14ac:dyDescent="0.4">
      <c r="A717" s="16">
        <v>45175</v>
      </c>
      <c r="B717" s="8">
        <v>446.22</v>
      </c>
      <c r="C717" s="11">
        <f t="shared" si="53"/>
        <v>446.45539999999994</v>
      </c>
      <c r="D717" s="11">
        <f t="shared" si="57"/>
        <v>415.56109999999973</v>
      </c>
      <c r="E717" s="8"/>
      <c r="F717" s="8"/>
      <c r="G717" s="8">
        <f t="shared" ca="1" si="54"/>
        <v>446.45539999999994</v>
      </c>
      <c r="H717" s="8">
        <f t="shared" ca="1" si="55"/>
        <v>415.56109999999973</v>
      </c>
      <c r="I717" s="12">
        <f ca="1">IF(AND('Data Analysis Addin'!$G717&lt;='Data Analysis Addin'!$H717,G718&gt;H718), 1, 0)</f>
        <v>0</v>
      </c>
      <c r="J717" s="2">
        <f t="shared" ca="1" si="56"/>
        <v>0</v>
      </c>
      <c r="K717" s="17">
        <f>YEAR('Data Analysis Addin'!$A717)</f>
        <v>2023</v>
      </c>
    </row>
    <row r="718" spans="1:11" x14ac:dyDescent="0.4">
      <c r="A718" s="18">
        <v>45176</v>
      </c>
      <c r="B718" s="9">
        <v>444.85</v>
      </c>
      <c r="C718" s="11">
        <f t="shared" si="53"/>
        <v>446.62899999999985</v>
      </c>
      <c r="D718" s="11">
        <f t="shared" si="57"/>
        <v>415.81414999999981</v>
      </c>
      <c r="E718" s="9"/>
      <c r="F718" s="9"/>
      <c r="G718" s="9">
        <f t="shared" ca="1" si="54"/>
        <v>446.62899999999985</v>
      </c>
      <c r="H718" s="9">
        <f t="shared" ca="1" si="55"/>
        <v>415.81414999999981</v>
      </c>
      <c r="I718" s="12">
        <f ca="1">IF(AND('Data Analysis Addin'!$G718&lt;='Data Analysis Addin'!$H718,G719&gt;H719), 1, 0)</f>
        <v>0</v>
      </c>
      <c r="J718" s="3">
        <f t="shared" ca="1" si="56"/>
        <v>0</v>
      </c>
      <c r="K718" s="19">
        <f>YEAR('Data Analysis Addin'!$A718)</f>
        <v>2023</v>
      </c>
    </row>
    <row r="719" spans="1:11" x14ac:dyDescent="0.4">
      <c r="A719" s="16">
        <v>45177</v>
      </c>
      <c r="B719" s="8">
        <v>445.52</v>
      </c>
      <c r="C719" s="11">
        <f t="shared" si="53"/>
        <v>446.81159999999988</v>
      </c>
      <c r="D719" s="11">
        <f t="shared" si="57"/>
        <v>416.06159999999977</v>
      </c>
      <c r="E719" s="8"/>
      <c r="F719" s="8"/>
      <c r="G719" s="8">
        <f t="shared" ca="1" si="54"/>
        <v>446.81159999999988</v>
      </c>
      <c r="H719" s="8">
        <f t="shared" ca="1" si="55"/>
        <v>416.06159999999977</v>
      </c>
      <c r="I719" s="12">
        <f ca="1">IF(AND('Data Analysis Addin'!$G719&lt;='Data Analysis Addin'!$H719,G720&gt;H720), 1, 0)</f>
        <v>0</v>
      </c>
      <c r="J719" s="2">
        <f t="shared" ca="1" si="56"/>
        <v>0</v>
      </c>
      <c r="K719" s="17">
        <f>YEAR('Data Analysis Addin'!$A719)</f>
        <v>2023</v>
      </c>
    </row>
    <row r="720" spans="1:11" x14ac:dyDescent="0.4">
      <c r="A720" s="18">
        <v>45180</v>
      </c>
      <c r="B720" s="9">
        <v>448.45</v>
      </c>
      <c r="C720" s="11">
        <f t="shared" si="53"/>
        <v>447.01839999999987</v>
      </c>
      <c r="D720" s="11">
        <f t="shared" si="57"/>
        <v>416.33089999999976</v>
      </c>
      <c r="E720" s="9"/>
      <c r="F720" s="9"/>
      <c r="G720" s="9">
        <f t="shared" ca="1" si="54"/>
        <v>447.01839999999987</v>
      </c>
      <c r="H720" s="9">
        <f t="shared" ca="1" si="55"/>
        <v>416.33089999999976</v>
      </c>
      <c r="I720" s="12">
        <f ca="1">IF(AND('Data Analysis Addin'!$G720&lt;='Data Analysis Addin'!$H720,G721&gt;H721), 1, 0)</f>
        <v>0</v>
      </c>
      <c r="J720" s="3">
        <f t="shared" ca="1" si="56"/>
        <v>0</v>
      </c>
      <c r="K720" s="19">
        <f>YEAR('Data Analysis Addin'!$A720)</f>
        <v>2023</v>
      </c>
    </row>
    <row r="721" spans="1:11" x14ac:dyDescent="0.4">
      <c r="A721" s="16">
        <v>45181</v>
      </c>
      <c r="B721" s="8">
        <v>445.99</v>
      </c>
      <c r="C721" s="11">
        <f t="shared" si="53"/>
        <v>447.07259999999985</v>
      </c>
      <c r="D721" s="11">
        <f t="shared" si="57"/>
        <v>416.56134999999972</v>
      </c>
      <c r="E721" s="8"/>
      <c r="F721" s="8"/>
      <c r="G721" s="8">
        <f t="shared" ca="1" si="54"/>
        <v>447.07259999999985</v>
      </c>
      <c r="H721" s="8">
        <f t="shared" ca="1" si="55"/>
        <v>416.56134999999972</v>
      </c>
      <c r="I721" s="12">
        <f ca="1">IF(AND('Data Analysis Addin'!$G721&lt;='Data Analysis Addin'!$H721,G722&gt;H722), 1, 0)</f>
        <v>0</v>
      </c>
      <c r="J721" s="2">
        <f t="shared" ca="1" si="56"/>
        <v>0</v>
      </c>
      <c r="K721" s="17">
        <f>YEAR('Data Analysis Addin'!$A721)</f>
        <v>2023</v>
      </c>
    </row>
    <row r="722" spans="1:11" x14ac:dyDescent="0.4">
      <c r="A722" s="18">
        <v>45182</v>
      </c>
      <c r="B722" s="9">
        <v>446.51</v>
      </c>
      <c r="C722" s="11">
        <f t="shared" si="53"/>
        <v>447.1269999999999</v>
      </c>
      <c r="D722" s="11">
        <f t="shared" si="57"/>
        <v>416.78179999999981</v>
      </c>
      <c r="E722" s="9"/>
      <c r="F722" s="9"/>
      <c r="G722" s="9">
        <f t="shared" ca="1" si="54"/>
        <v>447.1269999999999</v>
      </c>
      <c r="H722" s="9">
        <f t="shared" ca="1" si="55"/>
        <v>416.78179999999981</v>
      </c>
      <c r="I722" s="12">
        <f ca="1">IF(AND('Data Analysis Addin'!$G722&lt;='Data Analysis Addin'!$H722,G723&gt;H723), 1, 0)</f>
        <v>0</v>
      </c>
      <c r="J722" s="3">
        <f t="shared" ca="1" si="56"/>
        <v>0</v>
      </c>
      <c r="K722" s="19">
        <f>YEAR('Data Analysis Addin'!$A722)</f>
        <v>2023</v>
      </c>
    </row>
    <row r="723" spans="1:11" x14ac:dyDescent="0.4">
      <c r="A723" s="16">
        <v>45183</v>
      </c>
      <c r="B723" s="8">
        <v>450.36</v>
      </c>
      <c r="C723" s="11">
        <f t="shared" si="53"/>
        <v>447.27159999999986</v>
      </c>
      <c r="D723" s="11">
        <f t="shared" si="57"/>
        <v>417.02194999999978</v>
      </c>
      <c r="E723" s="8"/>
      <c r="F723" s="8"/>
      <c r="G723" s="8">
        <f t="shared" ca="1" si="54"/>
        <v>447.27159999999986</v>
      </c>
      <c r="H723" s="8">
        <f t="shared" ca="1" si="55"/>
        <v>417.02194999999978</v>
      </c>
      <c r="I723" s="12">
        <f ca="1">IF(AND('Data Analysis Addin'!$G723&lt;='Data Analysis Addin'!$H723,G724&gt;H724), 1, 0)</f>
        <v>0</v>
      </c>
      <c r="J723" s="2">
        <f t="shared" ca="1" si="56"/>
        <v>0</v>
      </c>
      <c r="K723" s="17">
        <f>YEAR('Data Analysis Addin'!$A723)</f>
        <v>2023</v>
      </c>
    </row>
    <row r="724" spans="1:11" x14ac:dyDescent="0.4">
      <c r="A724" s="18">
        <v>45184</v>
      </c>
      <c r="B724" s="9">
        <v>443.37</v>
      </c>
      <c r="C724" s="11">
        <f t="shared" si="53"/>
        <v>447.34579999999988</v>
      </c>
      <c r="D724" s="11">
        <f t="shared" si="57"/>
        <v>417.25924999999972</v>
      </c>
      <c r="E724" s="9"/>
      <c r="F724" s="9"/>
      <c r="G724" s="9">
        <f t="shared" ca="1" si="54"/>
        <v>447.34579999999988</v>
      </c>
      <c r="H724" s="9">
        <f t="shared" ca="1" si="55"/>
        <v>417.25924999999972</v>
      </c>
      <c r="I724" s="12">
        <f ca="1">IF(AND('Data Analysis Addin'!$G724&lt;='Data Analysis Addin'!$H724,G725&gt;H725), 1, 0)</f>
        <v>0</v>
      </c>
      <c r="J724" s="3">
        <f t="shared" ca="1" si="56"/>
        <v>0</v>
      </c>
      <c r="K724" s="19">
        <f>YEAR('Data Analysis Addin'!$A724)</f>
        <v>2023</v>
      </c>
    </row>
    <row r="725" spans="1:11" x14ac:dyDescent="0.4">
      <c r="A725" s="16">
        <v>45187</v>
      </c>
      <c r="B725" s="8">
        <v>443.63</v>
      </c>
      <c r="C725" s="11">
        <f t="shared" si="53"/>
        <v>447.4473999999999</v>
      </c>
      <c r="D725" s="11">
        <f t="shared" si="57"/>
        <v>417.50124999999986</v>
      </c>
      <c r="E725" s="8"/>
      <c r="F725" s="8"/>
      <c r="G725" s="8">
        <f t="shared" ca="1" si="54"/>
        <v>447.4473999999999</v>
      </c>
      <c r="H725" s="8">
        <f t="shared" ca="1" si="55"/>
        <v>417.50124999999986</v>
      </c>
      <c r="I725" s="12">
        <f ca="1">IF(AND('Data Analysis Addin'!$G725&lt;='Data Analysis Addin'!$H725,G726&gt;H726), 1, 0)</f>
        <v>0</v>
      </c>
      <c r="J725" s="2">
        <f t="shared" ca="1" si="56"/>
        <v>0</v>
      </c>
      <c r="K725" s="17">
        <f>YEAR('Data Analysis Addin'!$A725)</f>
        <v>2023</v>
      </c>
    </row>
    <row r="726" spans="1:11" x14ac:dyDescent="0.4">
      <c r="A726" s="18">
        <v>45188</v>
      </c>
      <c r="B726" s="9">
        <v>442.71</v>
      </c>
      <c r="C726" s="11">
        <f t="shared" si="53"/>
        <v>447.50839999999994</v>
      </c>
      <c r="D726" s="11">
        <f t="shared" si="57"/>
        <v>417.67639999999994</v>
      </c>
      <c r="E726" s="9"/>
      <c r="F726" s="9"/>
      <c r="G726" s="9">
        <f t="shared" ca="1" si="54"/>
        <v>447.50839999999994</v>
      </c>
      <c r="H726" s="9">
        <f t="shared" ca="1" si="55"/>
        <v>417.67639999999994</v>
      </c>
      <c r="I726" s="12">
        <f ca="1">IF(AND('Data Analysis Addin'!$G726&lt;='Data Analysis Addin'!$H726,G727&gt;H727), 1, 0)</f>
        <v>0</v>
      </c>
      <c r="J726" s="3">
        <f t="shared" ca="1" si="56"/>
        <v>0</v>
      </c>
      <c r="K726" s="19">
        <f>YEAR('Data Analysis Addin'!$A726)</f>
        <v>2023</v>
      </c>
    </row>
    <row r="727" spans="1:11" x14ac:dyDescent="0.4">
      <c r="A727" s="16">
        <v>45189</v>
      </c>
      <c r="B727" s="8">
        <v>438.64</v>
      </c>
      <c r="C727" s="11">
        <f t="shared" si="53"/>
        <v>447.43199999999996</v>
      </c>
      <c r="D727" s="11">
        <f t="shared" si="57"/>
        <v>417.83269999999987</v>
      </c>
      <c r="E727" s="8"/>
      <c r="F727" s="8"/>
      <c r="G727" s="8">
        <f t="shared" ca="1" si="54"/>
        <v>447.43199999999996</v>
      </c>
      <c r="H727" s="8">
        <f t="shared" ca="1" si="55"/>
        <v>417.83269999999987</v>
      </c>
      <c r="I727" s="12">
        <f ca="1">IF(AND('Data Analysis Addin'!$G727&lt;='Data Analysis Addin'!$H727,G728&gt;H728), 1, 0)</f>
        <v>0</v>
      </c>
      <c r="J727" s="2">
        <f t="shared" ca="1" si="56"/>
        <v>0</v>
      </c>
      <c r="K727" s="17">
        <f>YEAR('Data Analysis Addin'!$A727)</f>
        <v>2023</v>
      </c>
    </row>
    <row r="728" spans="1:11" x14ac:dyDescent="0.4">
      <c r="A728" s="18">
        <v>45190</v>
      </c>
      <c r="B728" s="9">
        <v>431.39</v>
      </c>
      <c r="C728" s="11">
        <f t="shared" si="53"/>
        <v>447.13940000000002</v>
      </c>
      <c r="D728" s="11">
        <f t="shared" si="57"/>
        <v>417.95509999999996</v>
      </c>
      <c r="E728" s="9"/>
      <c r="F728" s="9"/>
      <c r="G728" s="9">
        <f t="shared" ca="1" si="54"/>
        <v>447.13940000000002</v>
      </c>
      <c r="H728" s="9">
        <f t="shared" ca="1" si="55"/>
        <v>417.95509999999996</v>
      </c>
      <c r="I728" s="12">
        <f ca="1">IF(AND('Data Analysis Addin'!$G728&lt;='Data Analysis Addin'!$H728,G729&gt;H729), 1, 0)</f>
        <v>0</v>
      </c>
      <c r="J728" s="3">
        <f t="shared" ca="1" si="56"/>
        <v>0</v>
      </c>
      <c r="K728" s="19">
        <f>YEAR('Data Analysis Addin'!$A728)</f>
        <v>2023</v>
      </c>
    </row>
    <row r="729" spans="1:11" x14ac:dyDescent="0.4">
      <c r="A729" s="16">
        <v>45191</v>
      </c>
      <c r="B729" s="8">
        <v>430.42</v>
      </c>
      <c r="C729" s="11">
        <f t="shared" si="53"/>
        <v>446.75659999999993</v>
      </c>
      <c r="D729" s="11">
        <f t="shared" si="57"/>
        <v>418.10924999999997</v>
      </c>
      <c r="E729" s="8"/>
      <c r="F729" s="8"/>
      <c r="G729" s="8">
        <f t="shared" ca="1" si="54"/>
        <v>446.75659999999993</v>
      </c>
      <c r="H729" s="8">
        <f t="shared" ca="1" si="55"/>
        <v>418.10924999999997</v>
      </c>
      <c r="I729" s="12">
        <f ca="1">IF(AND('Data Analysis Addin'!$G729&lt;='Data Analysis Addin'!$H729,G730&gt;H730), 1, 0)</f>
        <v>0</v>
      </c>
      <c r="J729" s="2">
        <f t="shared" ca="1" si="56"/>
        <v>0</v>
      </c>
      <c r="K729" s="17">
        <f>YEAR('Data Analysis Addin'!$A729)</f>
        <v>2023</v>
      </c>
    </row>
    <row r="730" spans="1:11" x14ac:dyDescent="0.4">
      <c r="A730" s="18">
        <v>45194</v>
      </c>
      <c r="B730" s="9">
        <v>432.23</v>
      </c>
      <c r="C730" s="11">
        <f t="shared" si="53"/>
        <v>446.41559999999998</v>
      </c>
      <c r="D730" s="11">
        <f t="shared" si="57"/>
        <v>418.30124999999992</v>
      </c>
      <c r="E730" s="9"/>
      <c r="F730" s="9"/>
      <c r="G730" s="9">
        <f t="shared" ca="1" si="54"/>
        <v>446.41559999999998</v>
      </c>
      <c r="H730" s="9">
        <f t="shared" ca="1" si="55"/>
        <v>418.30124999999992</v>
      </c>
      <c r="I730" s="12">
        <f ca="1">IF(AND('Data Analysis Addin'!$G730&lt;='Data Analysis Addin'!$H730,G731&gt;H731), 1, 0)</f>
        <v>0</v>
      </c>
      <c r="J730" s="3">
        <f t="shared" ca="1" si="56"/>
        <v>0</v>
      </c>
      <c r="K730" s="19">
        <f>YEAR('Data Analysis Addin'!$A730)</f>
        <v>2023</v>
      </c>
    </row>
    <row r="731" spans="1:11" x14ac:dyDescent="0.4">
      <c r="A731" s="16">
        <v>45195</v>
      </c>
      <c r="B731" s="8">
        <v>425.88</v>
      </c>
      <c r="C731" s="11">
        <f t="shared" si="53"/>
        <v>445.91640000000001</v>
      </c>
      <c r="D731" s="11">
        <f t="shared" si="57"/>
        <v>418.46484999999996</v>
      </c>
      <c r="E731" s="8"/>
      <c r="F731" s="8"/>
      <c r="G731" s="8">
        <f t="shared" ca="1" si="54"/>
        <v>445.91640000000001</v>
      </c>
      <c r="H731" s="8">
        <f t="shared" ca="1" si="55"/>
        <v>418.46484999999996</v>
      </c>
      <c r="I731" s="12">
        <f ca="1">IF(AND('Data Analysis Addin'!$G731&lt;='Data Analysis Addin'!$H731,G732&gt;H732), 1, 0)</f>
        <v>0</v>
      </c>
      <c r="J731" s="2">
        <f t="shared" ca="1" si="56"/>
        <v>0</v>
      </c>
      <c r="K731" s="17">
        <f>YEAR('Data Analysis Addin'!$A731)</f>
        <v>2023</v>
      </c>
    </row>
    <row r="732" spans="1:11" x14ac:dyDescent="0.4">
      <c r="A732" s="18">
        <v>45196</v>
      </c>
      <c r="B732" s="9">
        <v>426.05</v>
      </c>
      <c r="C732" s="11">
        <f t="shared" si="53"/>
        <v>445.35359999999991</v>
      </c>
      <c r="D732" s="11">
        <f t="shared" si="57"/>
        <v>418.61389999999994</v>
      </c>
      <c r="E732" s="9"/>
      <c r="F732" s="9"/>
      <c r="G732" s="9">
        <f t="shared" ca="1" si="54"/>
        <v>445.35359999999991</v>
      </c>
      <c r="H732" s="9">
        <f t="shared" ca="1" si="55"/>
        <v>418.61389999999994</v>
      </c>
      <c r="I732" s="12">
        <f ca="1">IF(AND('Data Analysis Addin'!$G732&lt;='Data Analysis Addin'!$H732,G733&gt;H733), 1, 0)</f>
        <v>0</v>
      </c>
      <c r="J732" s="3">
        <f t="shared" ca="1" si="56"/>
        <v>0</v>
      </c>
      <c r="K732" s="19">
        <f>YEAR('Data Analysis Addin'!$A732)</f>
        <v>2023</v>
      </c>
    </row>
    <row r="733" spans="1:11" x14ac:dyDescent="0.4">
      <c r="A733" s="16">
        <v>45197</v>
      </c>
      <c r="B733" s="8">
        <v>428.52</v>
      </c>
      <c r="C733" s="11">
        <f t="shared" si="53"/>
        <v>444.81999999999994</v>
      </c>
      <c r="D733" s="11">
        <f t="shared" si="57"/>
        <v>418.79009999999994</v>
      </c>
      <c r="E733" s="8"/>
      <c r="F733" s="8"/>
      <c r="G733" s="8">
        <f t="shared" ca="1" si="54"/>
        <v>444.81999999999994</v>
      </c>
      <c r="H733" s="8">
        <f t="shared" ca="1" si="55"/>
        <v>418.79009999999994</v>
      </c>
      <c r="I733" s="12">
        <f ca="1">IF(AND('Data Analysis Addin'!$G733&lt;='Data Analysis Addin'!$H733,G734&gt;H734), 1, 0)</f>
        <v>0</v>
      </c>
      <c r="J733" s="2">
        <f t="shared" ca="1" si="56"/>
        <v>0</v>
      </c>
      <c r="K733" s="17">
        <f>YEAR('Data Analysis Addin'!$A733)</f>
        <v>2023</v>
      </c>
    </row>
    <row r="734" spans="1:11" x14ac:dyDescent="0.4">
      <c r="A734" s="18">
        <v>45198</v>
      </c>
      <c r="B734" s="9">
        <v>427.48</v>
      </c>
      <c r="C734" s="11">
        <f t="shared" si="53"/>
        <v>444.32599999999991</v>
      </c>
      <c r="D734" s="11">
        <f t="shared" si="57"/>
        <v>418.93274999999994</v>
      </c>
      <c r="E734" s="9"/>
      <c r="F734" s="9"/>
      <c r="G734" s="9">
        <f t="shared" ca="1" si="54"/>
        <v>444.32599999999991</v>
      </c>
      <c r="H734" s="9">
        <f t="shared" ca="1" si="55"/>
        <v>418.93274999999994</v>
      </c>
      <c r="I734" s="12">
        <f ca="1">IF(AND('Data Analysis Addin'!$G734&lt;='Data Analysis Addin'!$H734,G735&gt;H735), 1, 0)</f>
        <v>0</v>
      </c>
      <c r="J734" s="3">
        <f t="shared" ca="1" si="56"/>
        <v>0</v>
      </c>
      <c r="K734" s="19">
        <f>YEAR('Data Analysis Addin'!$A734)</f>
        <v>2023</v>
      </c>
    </row>
    <row r="735" spans="1:11" x14ac:dyDescent="0.4">
      <c r="A735" s="16">
        <v>45201</v>
      </c>
      <c r="B735" s="8">
        <v>427.31</v>
      </c>
      <c r="C735" s="11">
        <f t="shared" si="53"/>
        <v>443.82859999999999</v>
      </c>
      <c r="D735" s="11">
        <f t="shared" si="57"/>
        <v>419.05944999999991</v>
      </c>
      <c r="E735" s="8"/>
      <c r="F735" s="8"/>
      <c r="G735" s="8">
        <f t="shared" ca="1" si="54"/>
        <v>443.82859999999999</v>
      </c>
      <c r="H735" s="8">
        <f t="shared" ca="1" si="55"/>
        <v>419.05944999999991</v>
      </c>
      <c r="I735" s="12">
        <f ca="1">IF(AND('Data Analysis Addin'!$G735&lt;='Data Analysis Addin'!$H735,G736&gt;H736), 1, 0)</f>
        <v>0</v>
      </c>
      <c r="J735" s="2">
        <f t="shared" ca="1" si="56"/>
        <v>0</v>
      </c>
      <c r="K735" s="17">
        <f>YEAR('Data Analysis Addin'!$A735)</f>
        <v>2023</v>
      </c>
    </row>
    <row r="736" spans="1:11" x14ac:dyDescent="0.4">
      <c r="A736" s="18">
        <v>45202</v>
      </c>
      <c r="B736" s="9">
        <v>421.59</v>
      </c>
      <c r="C736" s="11">
        <f t="shared" si="53"/>
        <v>443.1764</v>
      </c>
      <c r="D736" s="11">
        <f t="shared" si="57"/>
        <v>419.17039999999986</v>
      </c>
      <c r="E736" s="9"/>
      <c r="F736" s="9"/>
      <c r="G736" s="9">
        <f t="shared" ca="1" si="54"/>
        <v>443.1764</v>
      </c>
      <c r="H736" s="9">
        <f t="shared" ca="1" si="55"/>
        <v>419.17039999999986</v>
      </c>
      <c r="I736" s="12">
        <f ca="1">IF(AND('Data Analysis Addin'!$G736&lt;='Data Analysis Addin'!$H736,G737&gt;H737), 1, 0)</f>
        <v>0</v>
      </c>
      <c r="J736" s="3">
        <f t="shared" ca="1" si="56"/>
        <v>0</v>
      </c>
      <c r="K736" s="19">
        <f>YEAR('Data Analysis Addin'!$A736)</f>
        <v>2023</v>
      </c>
    </row>
    <row r="737" spans="1:11" x14ac:dyDescent="0.4">
      <c r="A737" s="16">
        <v>45203</v>
      </c>
      <c r="B737" s="8">
        <v>424.66</v>
      </c>
      <c r="C737" s="11">
        <f t="shared" si="53"/>
        <v>442.56080000000003</v>
      </c>
      <c r="D737" s="11">
        <f t="shared" si="57"/>
        <v>419.34554999999983</v>
      </c>
      <c r="E737" s="8"/>
      <c r="F737" s="8"/>
      <c r="G737" s="8">
        <f t="shared" ca="1" si="54"/>
        <v>442.56080000000003</v>
      </c>
      <c r="H737" s="8">
        <f t="shared" ca="1" si="55"/>
        <v>419.34554999999983</v>
      </c>
      <c r="I737" s="12">
        <f ca="1">IF(AND('Data Analysis Addin'!$G737&lt;='Data Analysis Addin'!$H737,G738&gt;H738), 1, 0)</f>
        <v>0</v>
      </c>
      <c r="J737" s="2">
        <f t="shared" ca="1" si="56"/>
        <v>0</v>
      </c>
      <c r="K737" s="17">
        <f>YEAR('Data Analysis Addin'!$A737)</f>
        <v>2023</v>
      </c>
    </row>
    <row r="738" spans="1:11" x14ac:dyDescent="0.4">
      <c r="A738" s="18">
        <v>45204</v>
      </c>
      <c r="B738" s="9">
        <v>424.5</v>
      </c>
      <c r="C738" s="11">
        <f t="shared" si="53"/>
        <v>441.94059999999996</v>
      </c>
      <c r="D738" s="11">
        <f t="shared" si="57"/>
        <v>419.55169999999993</v>
      </c>
      <c r="E738" s="9"/>
      <c r="F738" s="9"/>
      <c r="G738" s="9">
        <f t="shared" ca="1" si="54"/>
        <v>441.94059999999996</v>
      </c>
      <c r="H738" s="9">
        <f t="shared" ca="1" si="55"/>
        <v>419.55169999999993</v>
      </c>
      <c r="I738" s="12">
        <f ca="1">IF(AND('Data Analysis Addin'!$G738&lt;='Data Analysis Addin'!$H738,G739&gt;H739), 1, 0)</f>
        <v>0</v>
      </c>
      <c r="J738" s="3">
        <f t="shared" ca="1" si="56"/>
        <v>0</v>
      </c>
      <c r="K738" s="19">
        <f>YEAR('Data Analysis Addin'!$A738)</f>
        <v>2023</v>
      </c>
    </row>
    <row r="739" spans="1:11" x14ac:dyDescent="0.4">
      <c r="A739" s="16">
        <v>45205</v>
      </c>
      <c r="B739" s="8">
        <v>429.54</v>
      </c>
      <c r="C739" s="11">
        <f t="shared" si="53"/>
        <v>441.48160000000001</v>
      </c>
      <c r="D739" s="11">
        <f t="shared" si="57"/>
        <v>419.79929999999985</v>
      </c>
      <c r="E739" s="8"/>
      <c r="F739" s="8"/>
      <c r="G739" s="8">
        <f t="shared" ca="1" si="54"/>
        <v>441.48160000000001</v>
      </c>
      <c r="H739" s="8">
        <f t="shared" ca="1" si="55"/>
        <v>419.79929999999985</v>
      </c>
      <c r="I739" s="12">
        <f ca="1">IF(AND('Data Analysis Addin'!$G739&lt;='Data Analysis Addin'!$H739,G740&gt;H740), 1, 0)</f>
        <v>0</v>
      </c>
      <c r="J739" s="2">
        <f t="shared" ca="1" si="56"/>
        <v>0</v>
      </c>
      <c r="K739" s="17">
        <f>YEAR('Data Analysis Addin'!$A739)</f>
        <v>2023</v>
      </c>
    </row>
    <row r="740" spans="1:11" x14ac:dyDescent="0.4">
      <c r="A740" s="18">
        <v>45208</v>
      </c>
      <c r="B740" s="9">
        <v>432.29</v>
      </c>
      <c r="C740" s="11">
        <f t="shared" si="53"/>
        <v>440.98900000000003</v>
      </c>
      <c r="D740" s="11">
        <f t="shared" si="57"/>
        <v>420.05804999999987</v>
      </c>
      <c r="E740" s="9"/>
      <c r="F740" s="9"/>
      <c r="G740" s="9">
        <f t="shared" ca="1" si="54"/>
        <v>440.98900000000003</v>
      </c>
      <c r="H740" s="9">
        <f t="shared" ca="1" si="55"/>
        <v>420.05804999999987</v>
      </c>
      <c r="I740" s="12">
        <f ca="1">IF(AND('Data Analysis Addin'!$G740&lt;='Data Analysis Addin'!$H740,G741&gt;H741), 1, 0)</f>
        <v>0</v>
      </c>
      <c r="J740" s="3">
        <f t="shared" ca="1" si="56"/>
        <v>0</v>
      </c>
      <c r="K740" s="19">
        <f>YEAR('Data Analysis Addin'!$A740)</f>
        <v>2023</v>
      </c>
    </row>
    <row r="741" spans="1:11" x14ac:dyDescent="0.4">
      <c r="A741" s="16">
        <v>45209</v>
      </c>
      <c r="B741" s="8">
        <v>434.54</v>
      </c>
      <c r="C741" s="11">
        <f t="shared" si="53"/>
        <v>440.52400000000011</v>
      </c>
      <c r="D741" s="11">
        <f t="shared" si="57"/>
        <v>420.29959999999977</v>
      </c>
      <c r="E741" s="8"/>
      <c r="F741" s="8"/>
      <c r="G741" s="8">
        <f t="shared" ca="1" si="54"/>
        <v>440.52400000000011</v>
      </c>
      <c r="H741" s="8">
        <f t="shared" ca="1" si="55"/>
        <v>420.29959999999977</v>
      </c>
      <c r="I741" s="12">
        <f ca="1">IF(AND('Data Analysis Addin'!$G741&lt;='Data Analysis Addin'!$H741,G742&gt;H742), 1, 0)</f>
        <v>0</v>
      </c>
      <c r="J741" s="2">
        <f t="shared" ca="1" si="56"/>
        <v>0</v>
      </c>
      <c r="K741" s="17">
        <f>YEAR('Data Analysis Addin'!$A741)</f>
        <v>2023</v>
      </c>
    </row>
    <row r="742" spans="1:11" x14ac:dyDescent="0.4">
      <c r="A742" s="18">
        <v>45210</v>
      </c>
      <c r="B742" s="9">
        <v>436.32</v>
      </c>
      <c r="C742" s="11">
        <f t="shared" si="53"/>
        <v>440.12080000000009</v>
      </c>
      <c r="D742" s="11">
        <f t="shared" si="57"/>
        <v>420.57759999999985</v>
      </c>
      <c r="E742" s="9"/>
      <c r="F742" s="9"/>
      <c r="G742" s="9">
        <f t="shared" ca="1" si="54"/>
        <v>440.12080000000009</v>
      </c>
      <c r="H742" s="9">
        <f t="shared" ca="1" si="55"/>
        <v>420.57759999999985</v>
      </c>
      <c r="I742" s="12">
        <f ca="1">IF(AND('Data Analysis Addin'!$G742&lt;='Data Analysis Addin'!$H742,G743&gt;H743), 1, 0)</f>
        <v>0</v>
      </c>
      <c r="J742" s="3">
        <f t="shared" ca="1" si="56"/>
        <v>0</v>
      </c>
      <c r="K742" s="19">
        <f>YEAR('Data Analysis Addin'!$A742)</f>
        <v>2023</v>
      </c>
    </row>
    <row r="743" spans="1:11" x14ac:dyDescent="0.4">
      <c r="A743" s="16">
        <v>45211</v>
      </c>
      <c r="B743" s="8">
        <v>433.66</v>
      </c>
      <c r="C743" s="11">
        <f t="shared" si="53"/>
        <v>439.79140000000007</v>
      </c>
      <c r="D743" s="11">
        <f t="shared" si="57"/>
        <v>420.83134999999987</v>
      </c>
      <c r="E743" s="8"/>
      <c r="F743" s="8"/>
      <c r="G743" s="8">
        <f t="shared" ca="1" si="54"/>
        <v>439.79140000000007</v>
      </c>
      <c r="H743" s="8">
        <f t="shared" ca="1" si="55"/>
        <v>420.83134999999987</v>
      </c>
      <c r="I743" s="12">
        <f ca="1">IF(AND('Data Analysis Addin'!$G743&lt;='Data Analysis Addin'!$H743,G744&gt;H744), 1, 0)</f>
        <v>0</v>
      </c>
      <c r="J743" s="2">
        <f t="shared" ca="1" si="56"/>
        <v>0</v>
      </c>
      <c r="K743" s="17">
        <f>YEAR('Data Analysis Addin'!$A743)</f>
        <v>2023</v>
      </c>
    </row>
    <row r="744" spans="1:11" x14ac:dyDescent="0.4">
      <c r="A744" s="18">
        <v>45212</v>
      </c>
      <c r="B744" s="9">
        <v>431.5</v>
      </c>
      <c r="C744" s="11">
        <f t="shared" si="53"/>
        <v>439.44460000000004</v>
      </c>
      <c r="D744" s="11">
        <f t="shared" si="57"/>
        <v>421.08184999999992</v>
      </c>
      <c r="E744" s="9"/>
      <c r="F744" s="9"/>
      <c r="G744" s="9">
        <f t="shared" ca="1" si="54"/>
        <v>439.44460000000004</v>
      </c>
      <c r="H744" s="9">
        <f t="shared" ca="1" si="55"/>
        <v>421.08184999999992</v>
      </c>
      <c r="I744" s="12">
        <f ca="1">IF(AND('Data Analysis Addin'!$G744&lt;='Data Analysis Addin'!$H744,G745&gt;H745), 1, 0)</f>
        <v>0</v>
      </c>
      <c r="J744" s="3">
        <f t="shared" ca="1" si="56"/>
        <v>0</v>
      </c>
      <c r="K744" s="19">
        <f>YEAR('Data Analysis Addin'!$A744)</f>
        <v>2023</v>
      </c>
    </row>
    <row r="745" spans="1:11" x14ac:dyDescent="0.4">
      <c r="A745" s="16">
        <v>45215</v>
      </c>
      <c r="B745" s="8">
        <v>436.04</v>
      </c>
      <c r="C745" s="11">
        <f t="shared" si="53"/>
        <v>439.22920000000005</v>
      </c>
      <c r="D745" s="11">
        <f t="shared" si="57"/>
        <v>421.37874999999991</v>
      </c>
      <c r="E745" s="8"/>
      <c r="F745" s="8"/>
      <c r="G745" s="8">
        <f t="shared" ca="1" si="54"/>
        <v>439.22920000000005</v>
      </c>
      <c r="H745" s="8">
        <f t="shared" ca="1" si="55"/>
        <v>421.37874999999991</v>
      </c>
      <c r="I745" s="12">
        <f ca="1">IF(AND('Data Analysis Addin'!$G745&lt;='Data Analysis Addin'!$H745,G746&gt;H746), 1, 0)</f>
        <v>0</v>
      </c>
      <c r="J745" s="2">
        <f t="shared" ca="1" si="56"/>
        <v>0</v>
      </c>
      <c r="K745" s="17">
        <f>YEAR('Data Analysis Addin'!$A745)</f>
        <v>2023</v>
      </c>
    </row>
    <row r="746" spans="1:11" x14ac:dyDescent="0.4">
      <c r="A746" s="18">
        <v>45216</v>
      </c>
      <c r="B746" s="9">
        <v>436.02</v>
      </c>
      <c r="C746" s="11">
        <f t="shared" si="53"/>
        <v>438.93540000000007</v>
      </c>
      <c r="D746" s="11">
        <f t="shared" si="57"/>
        <v>421.64164999999986</v>
      </c>
      <c r="E746" s="9"/>
      <c r="F746" s="9"/>
      <c r="G746" s="9">
        <f t="shared" ca="1" si="54"/>
        <v>438.93540000000007</v>
      </c>
      <c r="H746" s="9">
        <f t="shared" ca="1" si="55"/>
        <v>421.64164999999986</v>
      </c>
      <c r="I746" s="12">
        <f ca="1">IF(AND('Data Analysis Addin'!$G746&lt;='Data Analysis Addin'!$H746,G747&gt;H747), 1, 0)</f>
        <v>0</v>
      </c>
      <c r="J746" s="3">
        <f t="shared" ca="1" si="56"/>
        <v>0</v>
      </c>
      <c r="K746" s="19">
        <f>YEAR('Data Analysis Addin'!$A746)</f>
        <v>2023</v>
      </c>
    </row>
    <row r="747" spans="1:11" x14ac:dyDescent="0.4">
      <c r="A747" s="16">
        <v>45217</v>
      </c>
      <c r="B747" s="8">
        <v>430.21</v>
      </c>
      <c r="C747" s="11">
        <f t="shared" si="53"/>
        <v>438.56459999999998</v>
      </c>
      <c r="D747" s="11">
        <f t="shared" si="57"/>
        <v>421.88054999999991</v>
      </c>
      <c r="E747" s="8"/>
      <c r="F747" s="8"/>
      <c r="G747" s="8">
        <f t="shared" ca="1" si="54"/>
        <v>438.56459999999998</v>
      </c>
      <c r="H747" s="8">
        <f t="shared" ca="1" si="55"/>
        <v>421.88054999999991</v>
      </c>
      <c r="I747" s="12">
        <f ca="1">IF(AND('Data Analysis Addin'!$G747&lt;='Data Analysis Addin'!$H747,G748&gt;H748), 1, 0)</f>
        <v>0</v>
      </c>
      <c r="J747" s="2">
        <f t="shared" ca="1" si="56"/>
        <v>0</v>
      </c>
      <c r="K747" s="17">
        <f>YEAR('Data Analysis Addin'!$A747)</f>
        <v>2023</v>
      </c>
    </row>
    <row r="748" spans="1:11" x14ac:dyDescent="0.4">
      <c r="A748" s="18">
        <v>45218</v>
      </c>
      <c r="B748" s="9">
        <v>426.43</v>
      </c>
      <c r="C748" s="11">
        <f t="shared" si="53"/>
        <v>438.1782</v>
      </c>
      <c r="D748" s="11">
        <f t="shared" si="57"/>
        <v>422.10859999999991</v>
      </c>
      <c r="E748" s="9"/>
      <c r="F748" s="9"/>
      <c r="G748" s="9">
        <f t="shared" ca="1" si="54"/>
        <v>438.1782</v>
      </c>
      <c r="H748" s="9">
        <f t="shared" ca="1" si="55"/>
        <v>422.10859999999991</v>
      </c>
      <c r="I748" s="12">
        <f ca="1">IF(AND('Data Analysis Addin'!$G748&lt;='Data Analysis Addin'!$H748,G749&gt;H749), 1, 0)</f>
        <v>0</v>
      </c>
      <c r="J748" s="3">
        <f t="shared" ca="1" si="56"/>
        <v>0</v>
      </c>
      <c r="K748" s="19">
        <f>YEAR('Data Analysis Addin'!$A748)</f>
        <v>2023</v>
      </c>
    </row>
    <row r="749" spans="1:11" x14ac:dyDescent="0.4">
      <c r="A749" s="16">
        <v>45219</v>
      </c>
      <c r="B749" s="8">
        <v>421.19</v>
      </c>
      <c r="C749" s="11">
        <f t="shared" si="53"/>
        <v>437.68380000000002</v>
      </c>
      <c r="D749" s="11">
        <f t="shared" si="57"/>
        <v>422.29575</v>
      </c>
      <c r="E749" s="8"/>
      <c r="F749" s="8"/>
      <c r="G749" s="8">
        <f t="shared" ca="1" si="54"/>
        <v>437.68380000000002</v>
      </c>
      <c r="H749" s="8">
        <f t="shared" ca="1" si="55"/>
        <v>422.29575</v>
      </c>
      <c r="I749" s="12">
        <f ca="1">IF(AND('Data Analysis Addin'!$G749&lt;='Data Analysis Addin'!$H749,G750&gt;H750), 1, 0)</f>
        <v>0</v>
      </c>
      <c r="J749" s="2">
        <f t="shared" ca="1" si="56"/>
        <v>0</v>
      </c>
      <c r="K749" s="17">
        <f>YEAR('Data Analysis Addin'!$A749)</f>
        <v>2023</v>
      </c>
    </row>
    <row r="750" spans="1:11" x14ac:dyDescent="0.4">
      <c r="A750" s="18">
        <v>45222</v>
      </c>
      <c r="B750" s="9">
        <v>420.46</v>
      </c>
      <c r="C750" s="11">
        <f t="shared" si="53"/>
        <v>437.17999999999995</v>
      </c>
      <c r="D750" s="11">
        <f t="shared" si="57"/>
        <v>422.50115</v>
      </c>
      <c r="E750" s="9"/>
      <c r="F750" s="9"/>
      <c r="G750" s="9">
        <f t="shared" ca="1" si="54"/>
        <v>437.17999999999995</v>
      </c>
      <c r="H750" s="9">
        <f t="shared" ca="1" si="55"/>
        <v>422.50115</v>
      </c>
      <c r="I750" s="12">
        <f ca="1">IF(AND('Data Analysis Addin'!$G750&lt;='Data Analysis Addin'!$H750,G751&gt;H751), 1, 0)</f>
        <v>0</v>
      </c>
      <c r="J750" s="3">
        <f t="shared" ca="1" si="56"/>
        <v>0</v>
      </c>
      <c r="K750" s="19">
        <f>YEAR('Data Analysis Addin'!$A750)</f>
        <v>2023</v>
      </c>
    </row>
    <row r="751" spans="1:11" x14ac:dyDescent="0.4">
      <c r="A751" s="16">
        <v>45223</v>
      </c>
      <c r="B751" s="8">
        <v>423.63</v>
      </c>
      <c r="C751" s="11">
        <f t="shared" si="53"/>
        <v>436.69039999999995</v>
      </c>
      <c r="D751" s="11">
        <f t="shared" si="57"/>
        <v>422.67890000000006</v>
      </c>
      <c r="E751" s="8"/>
      <c r="F751" s="8"/>
      <c r="G751" s="8">
        <f t="shared" ca="1" si="54"/>
        <v>436.69039999999995</v>
      </c>
      <c r="H751" s="8">
        <f t="shared" ca="1" si="55"/>
        <v>422.67890000000006</v>
      </c>
      <c r="I751" s="12">
        <f ca="1">IF(AND('Data Analysis Addin'!$G751&lt;='Data Analysis Addin'!$H751,G752&gt;H752), 1, 0)</f>
        <v>0</v>
      </c>
      <c r="J751" s="2">
        <f t="shared" ca="1" si="56"/>
        <v>0</v>
      </c>
      <c r="K751" s="17">
        <f>YEAR('Data Analysis Addin'!$A751)</f>
        <v>2023</v>
      </c>
    </row>
    <row r="752" spans="1:11" x14ac:dyDescent="0.4">
      <c r="A752" s="18">
        <v>45224</v>
      </c>
      <c r="B752" s="9">
        <v>417.55</v>
      </c>
      <c r="C752" s="11">
        <f t="shared" si="53"/>
        <v>436.18359999999996</v>
      </c>
      <c r="D752" s="11">
        <f t="shared" si="57"/>
        <v>422.82735000000008</v>
      </c>
      <c r="E752" s="9"/>
      <c r="F752" s="9"/>
      <c r="G752" s="9">
        <f t="shared" ca="1" si="54"/>
        <v>436.18359999999996</v>
      </c>
      <c r="H752" s="9">
        <f t="shared" ca="1" si="55"/>
        <v>422.82735000000008</v>
      </c>
      <c r="I752" s="12">
        <f ca="1">IF(AND('Data Analysis Addin'!$G752&lt;='Data Analysis Addin'!$H752,G753&gt;H753), 1, 0)</f>
        <v>0</v>
      </c>
      <c r="J752" s="3">
        <f t="shared" ca="1" si="56"/>
        <v>0</v>
      </c>
      <c r="K752" s="19">
        <f>YEAR('Data Analysis Addin'!$A752)</f>
        <v>2023</v>
      </c>
    </row>
    <row r="753" spans="1:11" x14ac:dyDescent="0.4">
      <c r="A753" s="16">
        <v>45225</v>
      </c>
      <c r="B753" s="8">
        <v>412.55</v>
      </c>
      <c r="C753" s="11">
        <f t="shared" si="53"/>
        <v>435.64179999999988</v>
      </c>
      <c r="D753" s="11">
        <f t="shared" si="57"/>
        <v>422.93720000000008</v>
      </c>
      <c r="E753" s="8"/>
      <c r="F753" s="8"/>
      <c r="G753" s="8">
        <f t="shared" ca="1" si="54"/>
        <v>435.64179999999988</v>
      </c>
      <c r="H753" s="8">
        <f t="shared" ca="1" si="55"/>
        <v>422.93720000000008</v>
      </c>
      <c r="I753" s="12">
        <f ca="1">IF(AND('Data Analysis Addin'!$G753&lt;='Data Analysis Addin'!$H753,G754&gt;H754), 1, 0)</f>
        <v>0</v>
      </c>
      <c r="J753" s="2">
        <f t="shared" ca="1" si="56"/>
        <v>0</v>
      </c>
      <c r="K753" s="17">
        <f>YEAR('Data Analysis Addin'!$A753)</f>
        <v>2023</v>
      </c>
    </row>
    <row r="754" spans="1:11" x14ac:dyDescent="0.4">
      <c r="A754" s="18">
        <v>45226</v>
      </c>
      <c r="B754" s="9">
        <v>410.68</v>
      </c>
      <c r="C754" s="11">
        <f t="shared" si="53"/>
        <v>435.12959999999993</v>
      </c>
      <c r="D754" s="11">
        <f t="shared" si="57"/>
        <v>423.01300000000009</v>
      </c>
      <c r="E754" s="9"/>
      <c r="F754" s="9"/>
      <c r="G754" s="9">
        <f t="shared" ca="1" si="54"/>
        <v>435.12959999999993</v>
      </c>
      <c r="H754" s="9">
        <f t="shared" ca="1" si="55"/>
        <v>423.01300000000009</v>
      </c>
      <c r="I754" s="12">
        <f ca="1">IF(AND('Data Analysis Addin'!$G754&lt;='Data Analysis Addin'!$H754,G755&gt;H755), 1, 0)</f>
        <v>0</v>
      </c>
      <c r="J754" s="3">
        <f t="shared" ca="1" si="56"/>
        <v>0</v>
      </c>
      <c r="K754" s="19">
        <f>YEAR('Data Analysis Addin'!$A754)</f>
        <v>2023</v>
      </c>
    </row>
    <row r="755" spans="1:11" x14ac:dyDescent="0.4">
      <c r="A755" s="16">
        <v>45229</v>
      </c>
      <c r="B755" s="8">
        <v>415.59</v>
      </c>
      <c r="C755" s="11">
        <f t="shared" si="53"/>
        <v>434.71139999999991</v>
      </c>
      <c r="D755" s="11">
        <f t="shared" si="57"/>
        <v>423.10615000000007</v>
      </c>
      <c r="E755" s="8"/>
      <c r="F755" s="8"/>
      <c r="G755" s="8">
        <f t="shared" ca="1" si="54"/>
        <v>434.71139999999991</v>
      </c>
      <c r="H755" s="8">
        <f t="shared" ca="1" si="55"/>
        <v>423.10615000000007</v>
      </c>
      <c r="I755" s="12">
        <f ca="1">IF(AND('Data Analysis Addin'!$G755&lt;='Data Analysis Addin'!$H755,G756&gt;H756), 1, 0)</f>
        <v>0</v>
      </c>
      <c r="J755" s="2">
        <f t="shared" ca="1" si="56"/>
        <v>0</v>
      </c>
      <c r="K755" s="17">
        <f>YEAR('Data Analysis Addin'!$A755)</f>
        <v>2023</v>
      </c>
    </row>
    <row r="756" spans="1:11" x14ac:dyDescent="0.4">
      <c r="A756" s="18">
        <v>45230</v>
      </c>
      <c r="B756" s="9">
        <v>418.2</v>
      </c>
      <c r="C756" s="11">
        <f t="shared" ref="C756:C819" si="58">AVERAGE(B707:B756)</f>
        <v>434.28859999999992</v>
      </c>
      <c r="D756" s="11">
        <f t="shared" si="57"/>
        <v>423.20465000000013</v>
      </c>
      <c r="E756" s="9"/>
      <c r="F756" s="9"/>
      <c r="G756" s="9">
        <f t="shared" ca="1" si="54"/>
        <v>434.28859999999992</v>
      </c>
      <c r="H756" s="9">
        <f t="shared" ca="1" si="55"/>
        <v>423.20465000000013</v>
      </c>
      <c r="I756" s="12">
        <f ca="1">IF(AND('Data Analysis Addin'!$G756&lt;='Data Analysis Addin'!$H756,G757&gt;H757), 1, 0)</f>
        <v>0</v>
      </c>
      <c r="J756" s="3">
        <f t="shared" ca="1" si="56"/>
        <v>0</v>
      </c>
      <c r="K756" s="19">
        <f>YEAR('Data Analysis Addin'!$A756)</f>
        <v>2023</v>
      </c>
    </row>
    <row r="757" spans="1:11" x14ac:dyDescent="0.4">
      <c r="A757" s="16">
        <v>45231</v>
      </c>
      <c r="B757" s="8">
        <v>422.66</v>
      </c>
      <c r="C757" s="11">
        <f t="shared" si="58"/>
        <v>433.97879999999992</v>
      </c>
      <c r="D757" s="11">
        <f t="shared" si="57"/>
        <v>423.3291000000001</v>
      </c>
      <c r="E757" s="8"/>
      <c r="F757" s="8"/>
      <c r="G757" s="8">
        <f t="shared" ca="1" si="54"/>
        <v>433.97879999999992</v>
      </c>
      <c r="H757" s="8">
        <f t="shared" ca="1" si="55"/>
        <v>423.3291000000001</v>
      </c>
      <c r="I757" s="12">
        <f ca="1">IF(AND('Data Analysis Addin'!$G757&lt;='Data Analysis Addin'!$H757,G758&gt;H758), 1, 0)</f>
        <v>0</v>
      </c>
      <c r="J757" s="2">
        <f t="shared" ca="1" si="56"/>
        <v>0</v>
      </c>
      <c r="K757" s="17">
        <f>YEAR('Data Analysis Addin'!$A757)</f>
        <v>2023</v>
      </c>
    </row>
    <row r="758" spans="1:11" x14ac:dyDescent="0.4">
      <c r="A758" s="18">
        <v>45232</v>
      </c>
      <c r="B758" s="9">
        <v>430.76</v>
      </c>
      <c r="C758" s="11">
        <f t="shared" si="58"/>
        <v>433.7333999999999</v>
      </c>
      <c r="D758" s="11">
        <f t="shared" si="57"/>
        <v>423.52545000000015</v>
      </c>
      <c r="E758" s="9"/>
      <c r="F758" s="9"/>
      <c r="G758" s="9">
        <f t="shared" ca="1" si="54"/>
        <v>433.7333999999999</v>
      </c>
      <c r="H758" s="9">
        <f t="shared" ca="1" si="55"/>
        <v>423.52545000000015</v>
      </c>
      <c r="I758" s="12">
        <f ca="1">IF(AND('Data Analysis Addin'!$G758&lt;='Data Analysis Addin'!$H758,G759&gt;H759), 1, 0)</f>
        <v>0</v>
      </c>
      <c r="J758" s="3">
        <f t="shared" ca="1" si="56"/>
        <v>0</v>
      </c>
      <c r="K758" s="19">
        <f>YEAR('Data Analysis Addin'!$A758)</f>
        <v>2023</v>
      </c>
    </row>
    <row r="759" spans="1:11" x14ac:dyDescent="0.4">
      <c r="A759" s="16">
        <v>45233</v>
      </c>
      <c r="B759" s="8">
        <v>434.69</v>
      </c>
      <c r="C759" s="11">
        <f t="shared" si="58"/>
        <v>433.68939999999998</v>
      </c>
      <c r="D759" s="11">
        <f t="shared" si="57"/>
        <v>423.75570000000005</v>
      </c>
      <c r="E759" s="8"/>
      <c r="F759" s="8"/>
      <c r="G759" s="8">
        <f t="shared" ca="1" si="54"/>
        <v>433.68939999999998</v>
      </c>
      <c r="H759" s="8">
        <f t="shared" ca="1" si="55"/>
        <v>423.75570000000005</v>
      </c>
      <c r="I759" s="12">
        <f ca="1">IF(AND('Data Analysis Addin'!$G759&lt;='Data Analysis Addin'!$H759,G760&gt;H760), 1, 0)</f>
        <v>0</v>
      </c>
      <c r="J759" s="2">
        <f t="shared" ca="1" si="56"/>
        <v>0</v>
      </c>
      <c r="K759" s="17">
        <f>YEAR('Data Analysis Addin'!$A759)</f>
        <v>2023</v>
      </c>
    </row>
    <row r="760" spans="1:11" x14ac:dyDescent="0.4">
      <c r="A760" s="18">
        <v>45236</v>
      </c>
      <c r="B760" s="9">
        <v>435.69</v>
      </c>
      <c r="C760" s="11">
        <f t="shared" si="58"/>
        <v>433.60379999999992</v>
      </c>
      <c r="D760" s="11">
        <f t="shared" si="57"/>
        <v>423.95475000000005</v>
      </c>
      <c r="E760" s="9"/>
      <c r="F760" s="9"/>
      <c r="G760" s="9">
        <f t="shared" ca="1" si="54"/>
        <v>433.60379999999992</v>
      </c>
      <c r="H760" s="9">
        <f t="shared" ca="1" si="55"/>
        <v>423.95475000000005</v>
      </c>
      <c r="I760" s="12">
        <f ca="1">IF(AND('Data Analysis Addin'!$G760&lt;='Data Analysis Addin'!$H760,G761&gt;H761), 1, 0)</f>
        <v>0</v>
      </c>
      <c r="J760" s="3">
        <f t="shared" ca="1" si="56"/>
        <v>0</v>
      </c>
      <c r="K760" s="19">
        <f>YEAR('Data Analysis Addin'!$A760)</f>
        <v>2023</v>
      </c>
    </row>
    <row r="761" spans="1:11" x14ac:dyDescent="0.4">
      <c r="A761" s="16">
        <v>45237</v>
      </c>
      <c r="B761" s="8">
        <v>436.93</v>
      </c>
      <c r="C761" s="11">
        <f t="shared" si="58"/>
        <v>433.48719999999992</v>
      </c>
      <c r="D761" s="11">
        <f t="shared" si="57"/>
        <v>424.13625000000002</v>
      </c>
      <c r="E761" s="8"/>
      <c r="F761" s="8"/>
      <c r="G761" s="8">
        <f t="shared" ca="1" si="54"/>
        <v>433.48719999999992</v>
      </c>
      <c r="H761" s="8">
        <f t="shared" ca="1" si="55"/>
        <v>424.13625000000002</v>
      </c>
      <c r="I761" s="12">
        <f ca="1">IF(AND('Data Analysis Addin'!$G761&lt;='Data Analysis Addin'!$H761,G762&gt;H762), 1, 0)</f>
        <v>0</v>
      </c>
      <c r="J761" s="2">
        <f t="shared" ca="1" si="56"/>
        <v>0</v>
      </c>
      <c r="K761" s="17">
        <f>YEAR('Data Analysis Addin'!$A761)</f>
        <v>2023</v>
      </c>
    </row>
    <row r="762" spans="1:11" x14ac:dyDescent="0.4">
      <c r="A762" s="18">
        <v>45238</v>
      </c>
      <c r="B762" s="9">
        <v>437.25</v>
      </c>
      <c r="C762" s="11">
        <f t="shared" si="58"/>
        <v>433.24899999999997</v>
      </c>
      <c r="D762" s="11">
        <f t="shared" si="57"/>
        <v>424.32149999999996</v>
      </c>
      <c r="E762" s="9"/>
      <c r="F762" s="9"/>
      <c r="G762" s="9">
        <f t="shared" ca="1" si="54"/>
        <v>433.24899999999997</v>
      </c>
      <c r="H762" s="9">
        <f t="shared" ca="1" si="55"/>
        <v>424.32149999999996</v>
      </c>
      <c r="I762" s="12">
        <f ca="1">IF(AND('Data Analysis Addin'!$G762&lt;='Data Analysis Addin'!$H762,G763&gt;H763), 1, 0)</f>
        <v>0</v>
      </c>
      <c r="J762" s="3">
        <f t="shared" ca="1" si="56"/>
        <v>0</v>
      </c>
      <c r="K762" s="19">
        <f>YEAR('Data Analysis Addin'!$A762)</f>
        <v>2023</v>
      </c>
    </row>
    <row r="763" spans="1:11" x14ac:dyDescent="0.4">
      <c r="A763" s="16">
        <v>45239</v>
      </c>
      <c r="B763" s="8">
        <v>433.84</v>
      </c>
      <c r="C763" s="11">
        <f t="shared" si="58"/>
        <v>432.90559999999999</v>
      </c>
      <c r="D763" s="11">
        <f t="shared" si="57"/>
        <v>424.48894999999987</v>
      </c>
      <c r="E763" s="8"/>
      <c r="F763" s="8"/>
      <c r="G763" s="8">
        <f t="shared" ca="1" si="54"/>
        <v>432.90559999999999</v>
      </c>
      <c r="H763" s="8">
        <f t="shared" ca="1" si="55"/>
        <v>424.48894999999987</v>
      </c>
      <c r="I763" s="12">
        <f ca="1">IF(AND('Data Analysis Addin'!$G763&lt;='Data Analysis Addin'!$H763,G764&gt;H764), 1, 0)</f>
        <v>0</v>
      </c>
      <c r="J763" s="2">
        <f t="shared" ca="1" si="56"/>
        <v>0</v>
      </c>
      <c r="K763" s="17">
        <f>YEAR('Data Analysis Addin'!$A763)</f>
        <v>2023</v>
      </c>
    </row>
    <row r="764" spans="1:11" x14ac:dyDescent="0.4">
      <c r="A764" s="18">
        <v>45240</v>
      </c>
      <c r="B764" s="9">
        <v>440.61</v>
      </c>
      <c r="C764" s="11">
        <f t="shared" si="58"/>
        <v>432.71080000000001</v>
      </c>
      <c r="D764" s="11">
        <f t="shared" si="57"/>
        <v>424.66824999999989</v>
      </c>
      <c r="E764" s="9"/>
      <c r="F764" s="9"/>
      <c r="G764" s="9">
        <f t="shared" ca="1" si="54"/>
        <v>432.71080000000001</v>
      </c>
      <c r="H764" s="9">
        <f t="shared" ca="1" si="55"/>
        <v>424.66824999999989</v>
      </c>
      <c r="I764" s="12">
        <f ca="1">IF(AND('Data Analysis Addin'!$G764&lt;='Data Analysis Addin'!$H764,G765&gt;H765), 1, 0)</f>
        <v>0</v>
      </c>
      <c r="J764" s="3">
        <f t="shared" ca="1" si="56"/>
        <v>0</v>
      </c>
      <c r="K764" s="19">
        <f>YEAR('Data Analysis Addin'!$A764)</f>
        <v>2023</v>
      </c>
    </row>
    <row r="765" spans="1:11" x14ac:dyDescent="0.4">
      <c r="A765" s="16">
        <v>45243</v>
      </c>
      <c r="B765" s="8">
        <v>440.19</v>
      </c>
      <c r="C765" s="11">
        <f t="shared" si="58"/>
        <v>432.49079999999992</v>
      </c>
      <c r="D765" s="11">
        <f t="shared" si="57"/>
        <v>424.84079999999994</v>
      </c>
      <c r="E765" s="8"/>
      <c r="F765" s="8"/>
      <c r="G765" s="8">
        <f t="shared" ca="1" si="54"/>
        <v>432.49079999999992</v>
      </c>
      <c r="H765" s="8">
        <f t="shared" ca="1" si="55"/>
        <v>424.84079999999994</v>
      </c>
      <c r="I765" s="12">
        <f ca="1">IF(AND('Data Analysis Addin'!$G765&lt;='Data Analysis Addin'!$H765,G766&gt;H766), 1, 0)</f>
        <v>0</v>
      </c>
      <c r="J765" s="2">
        <f t="shared" ca="1" si="56"/>
        <v>0</v>
      </c>
      <c r="K765" s="17">
        <f>YEAR('Data Analysis Addin'!$A765)</f>
        <v>2023</v>
      </c>
    </row>
    <row r="766" spans="1:11" x14ac:dyDescent="0.4">
      <c r="A766" s="18">
        <v>45244</v>
      </c>
      <c r="B766" s="9">
        <v>448.73</v>
      </c>
      <c r="C766" s="11">
        <f t="shared" si="58"/>
        <v>432.48059999999992</v>
      </c>
      <c r="D766" s="11">
        <f t="shared" si="57"/>
        <v>425.08149999999989</v>
      </c>
      <c r="E766" s="9"/>
      <c r="F766" s="9"/>
      <c r="G766" s="9">
        <f t="shared" ca="1" si="54"/>
        <v>432.48059999999992</v>
      </c>
      <c r="H766" s="9">
        <f t="shared" ca="1" si="55"/>
        <v>425.08149999999989</v>
      </c>
      <c r="I766" s="12">
        <f ca="1">IF(AND('Data Analysis Addin'!$G766&lt;='Data Analysis Addin'!$H766,G767&gt;H767), 1, 0)</f>
        <v>0</v>
      </c>
      <c r="J766" s="3">
        <f t="shared" ca="1" si="56"/>
        <v>0</v>
      </c>
      <c r="K766" s="19">
        <f>YEAR('Data Analysis Addin'!$A766)</f>
        <v>2023</v>
      </c>
    </row>
    <row r="767" spans="1:11" x14ac:dyDescent="0.4">
      <c r="A767" s="16">
        <v>45245</v>
      </c>
      <c r="B767" s="8">
        <v>449.68</v>
      </c>
      <c r="C767" s="11">
        <f t="shared" si="58"/>
        <v>432.54979999999989</v>
      </c>
      <c r="D767" s="11">
        <f t="shared" si="57"/>
        <v>425.29749999999984</v>
      </c>
      <c r="E767" s="8"/>
      <c r="F767" s="8"/>
      <c r="G767" s="8">
        <f t="shared" ca="1" si="54"/>
        <v>432.54979999999989</v>
      </c>
      <c r="H767" s="8">
        <f t="shared" ca="1" si="55"/>
        <v>425.29749999999984</v>
      </c>
      <c r="I767" s="12">
        <f ca="1">IF(AND('Data Analysis Addin'!$G767&lt;='Data Analysis Addin'!$H767,G768&gt;H768), 1, 0)</f>
        <v>0</v>
      </c>
      <c r="J767" s="2">
        <f t="shared" ca="1" si="56"/>
        <v>0</v>
      </c>
      <c r="K767" s="17">
        <f>YEAR('Data Analysis Addin'!$A767)</f>
        <v>2023</v>
      </c>
    </row>
    <row r="768" spans="1:11" x14ac:dyDescent="0.4">
      <c r="A768" s="18">
        <v>45246</v>
      </c>
      <c r="B768" s="9">
        <v>450.23</v>
      </c>
      <c r="C768" s="11">
        <f t="shared" si="58"/>
        <v>432.6574</v>
      </c>
      <c r="D768" s="11">
        <f t="shared" si="57"/>
        <v>425.49464999999987</v>
      </c>
      <c r="E768" s="9"/>
      <c r="F768" s="9"/>
      <c r="G768" s="9">
        <f t="shared" ca="1" si="54"/>
        <v>432.6574</v>
      </c>
      <c r="H768" s="9">
        <f t="shared" ca="1" si="55"/>
        <v>425.49464999999987</v>
      </c>
      <c r="I768" s="12">
        <f ca="1">IF(AND('Data Analysis Addin'!$G768&lt;='Data Analysis Addin'!$H768,G769&gt;H769), 1, 0)</f>
        <v>0</v>
      </c>
      <c r="J768" s="3">
        <f t="shared" ca="1" si="56"/>
        <v>0</v>
      </c>
      <c r="K768" s="19">
        <f>YEAR('Data Analysis Addin'!$A768)</f>
        <v>2023</v>
      </c>
    </row>
    <row r="769" spans="1:11" x14ac:dyDescent="0.4">
      <c r="A769" s="16">
        <v>45247</v>
      </c>
      <c r="B769" s="8">
        <v>450.79</v>
      </c>
      <c r="C769" s="11">
        <f t="shared" si="58"/>
        <v>432.76279999999991</v>
      </c>
      <c r="D769" s="11">
        <f t="shared" si="57"/>
        <v>425.66469999999987</v>
      </c>
      <c r="E769" s="8"/>
      <c r="F769" s="8"/>
      <c r="G769" s="8">
        <f t="shared" ca="1" si="54"/>
        <v>432.76279999999991</v>
      </c>
      <c r="H769" s="8">
        <f t="shared" ca="1" si="55"/>
        <v>425.66469999999987</v>
      </c>
      <c r="I769" s="12">
        <f ca="1">IF(AND('Data Analysis Addin'!$G769&lt;='Data Analysis Addin'!$H769,G770&gt;H770), 1, 0)</f>
        <v>0</v>
      </c>
      <c r="J769" s="2">
        <f t="shared" ca="1" si="56"/>
        <v>0</v>
      </c>
      <c r="K769" s="17">
        <f>YEAR('Data Analysis Addin'!$A769)</f>
        <v>2023</v>
      </c>
    </row>
    <row r="770" spans="1:11" x14ac:dyDescent="0.4">
      <c r="A770" s="18">
        <v>45250</v>
      </c>
      <c r="B770" s="9">
        <v>454.26</v>
      </c>
      <c r="C770" s="11">
        <f t="shared" si="58"/>
        <v>432.87899999999996</v>
      </c>
      <c r="D770" s="11">
        <f t="shared" si="57"/>
        <v>425.8742499999999</v>
      </c>
      <c r="E770" s="9"/>
      <c r="F770" s="9"/>
      <c r="G770" s="9">
        <f t="shared" ca="1" si="54"/>
        <v>432.87899999999996</v>
      </c>
      <c r="H770" s="9">
        <f t="shared" ca="1" si="55"/>
        <v>425.8742499999999</v>
      </c>
      <c r="I770" s="12">
        <f ca="1">IF(AND('Data Analysis Addin'!$G770&lt;='Data Analysis Addin'!$H770,G771&gt;H771), 1, 0)</f>
        <v>0</v>
      </c>
      <c r="J770" s="3">
        <f t="shared" ca="1" si="56"/>
        <v>0</v>
      </c>
      <c r="K770" s="19">
        <f>YEAR('Data Analysis Addin'!$A770)</f>
        <v>2023</v>
      </c>
    </row>
    <row r="771" spans="1:11" x14ac:dyDescent="0.4">
      <c r="A771" s="16">
        <v>45251</v>
      </c>
      <c r="B771" s="8">
        <v>453.27</v>
      </c>
      <c r="C771" s="11">
        <f t="shared" si="58"/>
        <v>433.02459999999996</v>
      </c>
      <c r="D771" s="11">
        <f t="shared" si="57"/>
        <v>426.0914499999999</v>
      </c>
      <c r="E771" s="8"/>
      <c r="F771" s="8"/>
      <c r="G771" s="8">
        <f t="shared" ref="G771:G834" ca="1" si="59">AVERAGE(OFFSET($B771,0,0,-(MIN(ROW()-ROW($B$3)+1,n_50)),1))</f>
        <v>433.02459999999996</v>
      </c>
      <c r="H771" s="8">
        <f t="shared" ref="H771:H834" ca="1" si="60">AVERAGE(OFFSET($B771,0,0,-(MIN(ROW()-ROW($B$3)+1,n_200)),1))</f>
        <v>426.0914499999999</v>
      </c>
      <c r="I771" s="12">
        <f ca="1">IF(AND('Data Analysis Addin'!$G771&lt;='Data Analysis Addin'!$H771,G772&gt;H772), 1, 0)</f>
        <v>0</v>
      </c>
      <c r="J771" s="2">
        <f t="shared" ref="J771:J834" ca="1" si="61">IF($G771&lt;$H771,1,0)</f>
        <v>0</v>
      </c>
      <c r="K771" s="17">
        <f>YEAR('Data Analysis Addin'!$A771)</f>
        <v>2023</v>
      </c>
    </row>
    <row r="772" spans="1:11" x14ac:dyDescent="0.4">
      <c r="A772" s="18">
        <v>45252</v>
      </c>
      <c r="B772" s="9">
        <v>455.02</v>
      </c>
      <c r="C772" s="11">
        <f t="shared" si="58"/>
        <v>433.19479999999999</v>
      </c>
      <c r="D772" s="11">
        <f t="shared" si="57"/>
        <v>426.29059999999993</v>
      </c>
      <c r="E772" s="9"/>
      <c r="F772" s="9"/>
      <c r="G772" s="9">
        <f t="shared" ca="1" si="59"/>
        <v>433.19479999999999</v>
      </c>
      <c r="H772" s="9">
        <f t="shared" ca="1" si="60"/>
        <v>426.29059999999993</v>
      </c>
      <c r="I772" s="12">
        <f ca="1">IF(AND('Data Analysis Addin'!$G772&lt;='Data Analysis Addin'!$H772,G773&gt;H773), 1, 0)</f>
        <v>0</v>
      </c>
      <c r="J772" s="3">
        <f t="shared" ca="1" si="61"/>
        <v>0</v>
      </c>
      <c r="K772" s="19">
        <f>YEAR('Data Analysis Addin'!$A772)</f>
        <v>2023</v>
      </c>
    </row>
    <row r="773" spans="1:11" x14ac:dyDescent="0.4">
      <c r="A773" s="16">
        <v>45254</v>
      </c>
      <c r="B773" s="8">
        <v>455.3</v>
      </c>
      <c r="C773" s="11">
        <f t="shared" si="58"/>
        <v>433.29360000000003</v>
      </c>
      <c r="D773" s="11">
        <f t="shared" si="57"/>
        <v>426.51384999999993</v>
      </c>
      <c r="E773" s="8"/>
      <c r="F773" s="8"/>
      <c r="G773" s="8">
        <f t="shared" ca="1" si="59"/>
        <v>433.29360000000003</v>
      </c>
      <c r="H773" s="8">
        <f t="shared" ca="1" si="60"/>
        <v>426.51384999999993</v>
      </c>
      <c r="I773" s="12">
        <f ca="1">IF(AND('Data Analysis Addin'!$G773&lt;='Data Analysis Addin'!$H773,G774&gt;H774), 1, 0)</f>
        <v>0</v>
      </c>
      <c r="J773" s="2">
        <f t="shared" ca="1" si="61"/>
        <v>0</v>
      </c>
      <c r="K773" s="17">
        <f>YEAR('Data Analysis Addin'!$A773)</f>
        <v>2023</v>
      </c>
    </row>
    <row r="774" spans="1:11" x14ac:dyDescent="0.4">
      <c r="A774" s="18">
        <v>45257</v>
      </c>
      <c r="B774" s="9">
        <v>454.48</v>
      </c>
      <c r="C774" s="11">
        <f t="shared" si="58"/>
        <v>433.51579999999996</v>
      </c>
      <c r="D774" s="11">
        <f t="shared" si="57"/>
        <v>426.75079999999986</v>
      </c>
      <c r="E774" s="9"/>
      <c r="F774" s="9"/>
      <c r="G774" s="9">
        <f t="shared" ca="1" si="59"/>
        <v>433.51579999999996</v>
      </c>
      <c r="H774" s="9">
        <f t="shared" ca="1" si="60"/>
        <v>426.75079999999986</v>
      </c>
      <c r="I774" s="12">
        <f ca="1">IF(AND('Data Analysis Addin'!$G774&lt;='Data Analysis Addin'!$H774,G775&gt;H775), 1, 0)</f>
        <v>0</v>
      </c>
      <c r="J774" s="3">
        <f t="shared" ca="1" si="61"/>
        <v>0</v>
      </c>
      <c r="K774" s="19">
        <f>YEAR('Data Analysis Addin'!$A774)</f>
        <v>2023</v>
      </c>
    </row>
    <row r="775" spans="1:11" x14ac:dyDescent="0.4">
      <c r="A775" s="16">
        <v>45258</v>
      </c>
      <c r="B775" s="8">
        <v>454.93</v>
      </c>
      <c r="C775" s="11">
        <f t="shared" si="58"/>
        <v>433.74179999999996</v>
      </c>
      <c r="D775" s="11">
        <f t="shared" si="57"/>
        <v>426.98524999999978</v>
      </c>
      <c r="E775" s="8"/>
      <c r="F775" s="8"/>
      <c r="G775" s="8">
        <f t="shared" ca="1" si="59"/>
        <v>433.74179999999996</v>
      </c>
      <c r="H775" s="8">
        <f t="shared" ca="1" si="60"/>
        <v>426.98524999999978</v>
      </c>
      <c r="I775" s="12">
        <f ca="1">IF(AND('Data Analysis Addin'!$G775&lt;='Data Analysis Addin'!$H775,G776&gt;H776), 1, 0)</f>
        <v>0</v>
      </c>
      <c r="J775" s="2">
        <f t="shared" ca="1" si="61"/>
        <v>0</v>
      </c>
      <c r="K775" s="17">
        <f>YEAR('Data Analysis Addin'!$A775)</f>
        <v>2023</v>
      </c>
    </row>
    <row r="776" spans="1:11" x14ac:dyDescent="0.4">
      <c r="A776" s="18">
        <v>45259</v>
      </c>
      <c r="B776" s="9">
        <v>454.61</v>
      </c>
      <c r="C776" s="11">
        <f t="shared" si="58"/>
        <v>433.97979999999995</v>
      </c>
      <c r="D776" s="11">
        <f t="shared" si="57"/>
        <v>427.19414999999981</v>
      </c>
      <c r="E776" s="9"/>
      <c r="F776" s="9"/>
      <c r="G776" s="9">
        <f t="shared" ca="1" si="59"/>
        <v>433.97979999999995</v>
      </c>
      <c r="H776" s="9">
        <f t="shared" ca="1" si="60"/>
        <v>427.19414999999981</v>
      </c>
      <c r="I776" s="12">
        <f ca="1">IF(AND('Data Analysis Addin'!$G776&lt;='Data Analysis Addin'!$H776,G777&gt;H777), 1, 0)</f>
        <v>0</v>
      </c>
      <c r="J776" s="3">
        <f t="shared" ca="1" si="61"/>
        <v>0</v>
      </c>
      <c r="K776" s="19">
        <f>YEAR('Data Analysis Addin'!$A776)</f>
        <v>2023</v>
      </c>
    </row>
    <row r="777" spans="1:11" x14ac:dyDescent="0.4">
      <c r="A777" s="16">
        <v>45260</v>
      </c>
      <c r="B777" s="8">
        <v>456.4</v>
      </c>
      <c r="C777" s="11">
        <f t="shared" si="58"/>
        <v>434.33500000000009</v>
      </c>
      <c r="D777" s="11">
        <f t="shared" si="57"/>
        <v>427.41294999999974</v>
      </c>
      <c r="E777" s="8"/>
      <c r="F777" s="8"/>
      <c r="G777" s="8">
        <f t="shared" ca="1" si="59"/>
        <v>434.33500000000009</v>
      </c>
      <c r="H777" s="8">
        <f t="shared" ca="1" si="60"/>
        <v>427.41294999999974</v>
      </c>
      <c r="I777" s="12">
        <f ca="1">IF(AND('Data Analysis Addin'!$G777&lt;='Data Analysis Addin'!$H777,G778&gt;H778), 1, 0)</f>
        <v>0</v>
      </c>
      <c r="J777" s="2">
        <f t="shared" ca="1" si="61"/>
        <v>0</v>
      </c>
      <c r="K777" s="17">
        <f>YEAR('Data Analysis Addin'!$A777)</f>
        <v>2023</v>
      </c>
    </row>
    <row r="778" spans="1:11" x14ac:dyDescent="0.4">
      <c r="A778" s="18">
        <v>45261</v>
      </c>
      <c r="B778" s="9">
        <v>459.1</v>
      </c>
      <c r="C778" s="11">
        <f t="shared" si="58"/>
        <v>434.88919999999996</v>
      </c>
      <c r="D778" s="11">
        <f t="shared" ref="D778:D841" si="62">AVERAGE(B579:B778)</f>
        <v>427.63854999999973</v>
      </c>
      <c r="E778" s="9"/>
      <c r="F778" s="9"/>
      <c r="G778" s="9">
        <f t="shared" ca="1" si="59"/>
        <v>434.88919999999996</v>
      </c>
      <c r="H778" s="9">
        <f t="shared" ca="1" si="60"/>
        <v>427.63854999999973</v>
      </c>
      <c r="I778" s="12">
        <f ca="1">IF(AND('Data Analysis Addin'!$G778&lt;='Data Analysis Addin'!$H778,G779&gt;H779), 1, 0)</f>
        <v>0</v>
      </c>
      <c r="J778" s="3">
        <f t="shared" ca="1" si="61"/>
        <v>0</v>
      </c>
      <c r="K778" s="19">
        <f>YEAR('Data Analysis Addin'!$A778)</f>
        <v>2023</v>
      </c>
    </row>
    <row r="779" spans="1:11" x14ac:dyDescent="0.4">
      <c r="A779" s="16">
        <v>45264</v>
      </c>
      <c r="B779" s="8">
        <v>456.69</v>
      </c>
      <c r="C779" s="11">
        <f t="shared" si="58"/>
        <v>435.41460000000001</v>
      </c>
      <c r="D779" s="11">
        <f t="shared" si="62"/>
        <v>427.88059999999973</v>
      </c>
      <c r="E779" s="8"/>
      <c r="F779" s="8"/>
      <c r="G779" s="8">
        <f t="shared" ca="1" si="59"/>
        <v>435.41460000000001</v>
      </c>
      <c r="H779" s="8">
        <f t="shared" ca="1" si="60"/>
        <v>427.88059999999973</v>
      </c>
      <c r="I779" s="12">
        <f ca="1">IF(AND('Data Analysis Addin'!$G779&lt;='Data Analysis Addin'!$H779,G780&gt;H780), 1, 0)</f>
        <v>0</v>
      </c>
      <c r="J779" s="2">
        <f t="shared" ca="1" si="61"/>
        <v>0</v>
      </c>
      <c r="K779" s="17">
        <f>YEAR('Data Analysis Addin'!$A779)</f>
        <v>2023</v>
      </c>
    </row>
    <row r="780" spans="1:11" x14ac:dyDescent="0.4">
      <c r="A780" s="18">
        <v>45265</v>
      </c>
      <c r="B780" s="9">
        <v>456.6</v>
      </c>
      <c r="C780" s="11">
        <f t="shared" si="58"/>
        <v>435.90199999999987</v>
      </c>
      <c r="D780" s="11">
        <f t="shared" si="62"/>
        <v>428.12729999999982</v>
      </c>
      <c r="E780" s="9"/>
      <c r="F780" s="9"/>
      <c r="G780" s="9">
        <f t="shared" ca="1" si="59"/>
        <v>435.90199999999987</v>
      </c>
      <c r="H780" s="9">
        <f t="shared" ca="1" si="60"/>
        <v>428.12729999999982</v>
      </c>
      <c r="I780" s="12">
        <f ca="1">IF(AND('Data Analysis Addin'!$G780&lt;='Data Analysis Addin'!$H780,G781&gt;H781), 1, 0)</f>
        <v>0</v>
      </c>
      <c r="J780" s="3">
        <f t="shared" ca="1" si="61"/>
        <v>0</v>
      </c>
      <c r="K780" s="19">
        <f>YEAR('Data Analysis Addin'!$A780)</f>
        <v>2023</v>
      </c>
    </row>
    <row r="781" spans="1:11" x14ac:dyDescent="0.4">
      <c r="A781" s="16">
        <v>45266</v>
      </c>
      <c r="B781" s="8">
        <v>454.76</v>
      </c>
      <c r="C781" s="11">
        <f t="shared" si="58"/>
        <v>436.47959999999989</v>
      </c>
      <c r="D781" s="11">
        <f t="shared" si="62"/>
        <v>428.40564999999981</v>
      </c>
      <c r="E781" s="8"/>
      <c r="F781" s="8"/>
      <c r="G781" s="8">
        <f t="shared" ca="1" si="59"/>
        <v>436.47959999999989</v>
      </c>
      <c r="H781" s="8">
        <f t="shared" ca="1" si="60"/>
        <v>428.40564999999981</v>
      </c>
      <c r="I781" s="12">
        <f ca="1">IF(AND('Data Analysis Addin'!$G781&lt;='Data Analysis Addin'!$H781,G782&gt;H782), 1, 0)</f>
        <v>0</v>
      </c>
      <c r="J781" s="2">
        <f t="shared" ca="1" si="61"/>
        <v>0</v>
      </c>
      <c r="K781" s="17">
        <f>YEAR('Data Analysis Addin'!$A781)</f>
        <v>2023</v>
      </c>
    </row>
    <row r="782" spans="1:11" x14ac:dyDescent="0.4">
      <c r="A782" s="18">
        <v>45267</v>
      </c>
      <c r="B782" s="9">
        <v>458.23</v>
      </c>
      <c r="C782" s="11">
        <f t="shared" si="58"/>
        <v>437.12319999999994</v>
      </c>
      <c r="D782" s="11">
        <f t="shared" si="62"/>
        <v>428.70409999999976</v>
      </c>
      <c r="E782" s="9"/>
      <c r="F782" s="9"/>
      <c r="G782" s="9">
        <f t="shared" ca="1" si="59"/>
        <v>437.12319999999994</v>
      </c>
      <c r="H782" s="9">
        <f t="shared" ca="1" si="60"/>
        <v>428.70409999999976</v>
      </c>
      <c r="I782" s="12">
        <f ca="1">IF(AND('Data Analysis Addin'!$G782&lt;='Data Analysis Addin'!$H782,G783&gt;H783), 1, 0)</f>
        <v>0</v>
      </c>
      <c r="J782" s="3">
        <f t="shared" ca="1" si="61"/>
        <v>0</v>
      </c>
      <c r="K782" s="19">
        <f>YEAR('Data Analysis Addin'!$A782)</f>
        <v>2023</v>
      </c>
    </row>
    <row r="783" spans="1:11" x14ac:dyDescent="0.4">
      <c r="A783" s="16">
        <v>45268</v>
      </c>
      <c r="B783" s="8">
        <v>460.2</v>
      </c>
      <c r="C783" s="11">
        <f t="shared" si="58"/>
        <v>437.7568</v>
      </c>
      <c r="D783" s="11">
        <f t="shared" si="62"/>
        <v>429.00179999999972</v>
      </c>
      <c r="E783" s="8"/>
      <c r="F783" s="8"/>
      <c r="G783" s="8">
        <f t="shared" ca="1" si="59"/>
        <v>437.7568</v>
      </c>
      <c r="H783" s="8">
        <f t="shared" ca="1" si="60"/>
        <v>429.00179999999972</v>
      </c>
      <c r="I783" s="12">
        <f ca="1">IF(AND('Data Analysis Addin'!$G783&lt;='Data Analysis Addin'!$H783,G784&gt;H784), 1, 0)</f>
        <v>0</v>
      </c>
      <c r="J783" s="2">
        <f t="shared" ca="1" si="61"/>
        <v>0</v>
      </c>
      <c r="K783" s="17">
        <f>YEAR('Data Analysis Addin'!$A783)</f>
        <v>2023</v>
      </c>
    </row>
    <row r="784" spans="1:11" x14ac:dyDescent="0.4">
      <c r="A784" s="18">
        <v>45271</v>
      </c>
      <c r="B784" s="9">
        <v>461.99</v>
      </c>
      <c r="C784" s="11">
        <f t="shared" si="58"/>
        <v>438.44700000000006</v>
      </c>
      <c r="D784" s="11">
        <f t="shared" si="62"/>
        <v>429.32984999999979</v>
      </c>
      <c r="E784" s="9"/>
      <c r="F784" s="9"/>
      <c r="G784" s="9">
        <f t="shared" ca="1" si="59"/>
        <v>438.44700000000006</v>
      </c>
      <c r="H784" s="9">
        <f t="shared" ca="1" si="60"/>
        <v>429.32984999999979</v>
      </c>
      <c r="I784" s="12">
        <f ca="1">IF(AND('Data Analysis Addin'!$G784&lt;='Data Analysis Addin'!$H784,G785&gt;H785), 1, 0)</f>
        <v>0</v>
      </c>
      <c r="J784" s="3">
        <f t="shared" ca="1" si="61"/>
        <v>0</v>
      </c>
      <c r="K784" s="19">
        <f>YEAR('Data Analysis Addin'!$A784)</f>
        <v>2023</v>
      </c>
    </row>
    <row r="785" spans="1:11" x14ac:dyDescent="0.4">
      <c r="A785" s="16">
        <v>45272</v>
      </c>
      <c r="B785" s="8">
        <v>464.1</v>
      </c>
      <c r="C785" s="11">
        <f t="shared" si="58"/>
        <v>439.18280000000004</v>
      </c>
      <c r="D785" s="11">
        <f t="shared" si="62"/>
        <v>429.66169999999977</v>
      </c>
      <c r="E785" s="8"/>
      <c r="F785" s="8"/>
      <c r="G785" s="8">
        <f t="shared" ca="1" si="59"/>
        <v>439.18280000000004</v>
      </c>
      <c r="H785" s="8">
        <f t="shared" ca="1" si="60"/>
        <v>429.66169999999977</v>
      </c>
      <c r="I785" s="12">
        <f ca="1">IF(AND('Data Analysis Addin'!$G785&lt;='Data Analysis Addin'!$H785,G786&gt;H786), 1, 0)</f>
        <v>0</v>
      </c>
      <c r="J785" s="2">
        <f t="shared" ca="1" si="61"/>
        <v>0</v>
      </c>
      <c r="K785" s="17">
        <f>YEAR('Data Analysis Addin'!$A785)</f>
        <v>2023</v>
      </c>
    </row>
    <row r="786" spans="1:11" x14ac:dyDescent="0.4">
      <c r="A786" s="18">
        <v>45273</v>
      </c>
      <c r="B786" s="9">
        <v>470.5</v>
      </c>
      <c r="C786" s="11">
        <f t="shared" si="58"/>
        <v>440.16100000000006</v>
      </c>
      <c r="D786" s="11">
        <f t="shared" si="62"/>
        <v>430.03289999999981</v>
      </c>
      <c r="E786" s="9"/>
      <c r="F786" s="9"/>
      <c r="G786" s="9">
        <f t="shared" ca="1" si="59"/>
        <v>440.16100000000006</v>
      </c>
      <c r="H786" s="9">
        <f t="shared" ca="1" si="60"/>
        <v>430.03289999999981</v>
      </c>
      <c r="I786" s="12">
        <f ca="1">IF(AND('Data Analysis Addin'!$G786&lt;='Data Analysis Addin'!$H786,G787&gt;H787), 1, 0)</f>
        <v>0</v>
      </c>
      <c r="J786" s="3">
        <f t="shared" ca="1" si="61"/>
        <v>0</v>
      </c>
      <c r="K786" s="19">
        <f>YEAR('Data Analysis Addin'!$A786)</f>
        <v>2023</v>
      </c>
    </row>
    <row r="787" spans="1:11" x14ac:dyDescent="0.4">
      <c r="A787" s="16">
        <v>45274</v>
      </c>
      <c r="B787" s="8">
        <v>472.01</v>
      </c>
      <c r="C787" s="11">
        <f t="shared" si="58"/>
        <v>441.10799999999995</v>
      </c>
      <c r="D787" s="11">
        <f t="shared" si="62"/>
        <v>430.41924999999981</v>
      </c>
      <c r="E787" s="8"/>
      <c r="F787" s="8"/>
      <c r="G787" s="8">
        <f t="shared" ca="1" si="59"/>
        <v>441.10799999999995</v>
      </c>
      <c r="H787" s="8">
        <f t="shared" ca="1" si="60"/>
        <v>430.41924999999981</v>
      </c>
      <c r="I787" s="12">
        <f ca="1">IF(AND('Data Analysis Addin'!$G787&lt;='Data Analysis Addin'!$H787,G788&gt;H788), 1, 0)</f>
        <v>0</v>
      </c>
      <c r="J787" s="2">
        <f t="shared" ca="1" si="61"/>
        <v>0</v>
      </c>
      <c r="K787" s="17">
        <f>YEAR('Data Analysis Addin'!$A787)</f>
        <v>2023</v>
      </c>
    </row>
    <row r="788" spans="1:11" x14ac:dyDescent="0.4">
      <c r="A788" s="18">
        <v>45275</v>
      </c>
      <c r="B788" s="9">
        <v>469.33</v>
      </c>
      <c r="C788" s="11">
        <f t="shared" si="58"/>
        <v>442.00459999999998</v>
      </c>
      <c r="D788" s="11">
        <f t="shared" si="62"/>
        <v>430.77684999999985</v>
      </c>
      <c r="E788" s="9"/>
      <c r="F788" s="9"/>
      <c r="G788" s="9">
        <f t="shared" ca="1" si="59"/>
        <v>442.00459999999998</v>
      </c>
      <c r="H788" s="9">
        <f t="shared" ca="1" si="60"/>
        <v>430.77684999999985</v>
      </c>
      <c r="I788" s="12">
        <f ca="1">IF(AND('Data Analysis Addin'!$G788&lt;='Data Analysis Addin'!$H788,G789&gt;H789), 1, 0)</f>
        <v>0</v>
      </c>
      <c r="J788" s="3">
        <f t="shared" ca="1" si="61"/>
        <v>0</v>
      </c>
      <c r="K788" s="19">
        <f>YEAR('Data Analysis Addin'!$A788)</f>
        <v>2023</v>
      </c>
    </row>
    <row r="789" spans="1:11" x14ac:dyDescent="0.4">
      <c r="A789" s="16">
        <v>45278</v>
      </c>
      <c r="B789" s="8">
        <v>471.97</v>
      </c>
      <c r="C789" s="11">
        <f t="shared" si="58"/>
        <v>442.85320000000002</v>
      </c>
      <c r="D789" s="11">
        <f t="shared" si="62"/>
        <v>431.11574999999976</v>
      </c>
      <c r="E789" s="8"/>
      <c r="F789" s="8"/>
      <c r="G789" s="8">
        <f t="shared" ca="1" si="59"/>
        <v>442.85320000000002</v>
      </c>
      <c r="H789" s="8">
        <f t="shared" ca="1" si="60"/>
        <v>431.11574999999976</v>
      </c>
      <c r="I789" s="12">
        <f ca="1">IF(AND('Data Analysis Addin'!$G789&lt;='Data Analysis Addin'!$H789,G790&gt;H790), 1, 0)</f>
        <v>0</v>
      </c>
      <c r="J789" s="2">
        <f t="shared" ca="1" si="61"/>
        <v>0</v>
      </c>
      <c r="K789" s="17">
        <f>YEAR('Data Analysis Addin'!$A789)</f>
        <v>2023</v>
      </c>
    </row>
    <row r="790" spans="1:11" x14ac:dyDescent="0.4">
      <c r="A790" s="18">
        <v>45279</v>
      </c>
      <c r="B790" s="9">
        <v>474.84</v>
      </c>
      <c r="C790" s="11">
        <f t="shared" si="58"/>
        <v>443.70419999999996</v>
      </c>
      <c r="D790" s="11">
        <f t="shared" si="62"/>
        <v>431.46759999999978</v>
      </c>
      <c r="E790" s="9"/>
      <c r="F790" s="9"/>
      <c r="G790" s="9">
        <f t="shared" ca="1" si="59"/>
        <v>443.70419999999996</v>
      </c>
      <c r="H790" s="9">
        <f t="shared" ca="1" si="60"/>
        <v>431.46759999999978</v>
      </c>
      <c r="I790" s="12">
        <f ca="1">IF(AND('Data Analysis Addin'!$G790&lt;='Data Analysis Addin'!$H790,G791&gt;H791), 1, 0)</f>
        <v>0</v>
      </c>
      <c r="J790" s="3">
        <f t="shared" ca="1" si="61"/>
        <v>0</v>
      </c>
      <c r="K790" s="19">
        <f>YEAR('Data Analysis Addin'!$A790)</f>
        <v>2023</v>
      </c>
    </row>
    <row r="791" spans="1:11" x14ac:dyDescent="0.4">
      <c r="A791" s="16">
        <v>45280</v>
      </c>
      <c r="B791" s="8">
        <v>468.26</v>
      </c>
      <c r="C791" s="11">
        <f t="shared" si="58"/>
        <v>444.37860000000001</v>
      </c>
      <c r="D791" s="11">
        <f t="shared" si="62"/>
        <v>431.81754999999976</v>
      </c>
      <c r="E791" s="8"/>
      <c r="F791" s="8"/>
      <c r="G791" s="8">
        <f t="shared" ca="1" si="59"/>
        <v>444.37860000000001</v>
      </c>
      <c r="H791" s="8">
        <f t="shared" ca="1" si="60"/>
        <v>431.81754999999976</v>
      </c>
      <c r="I791" s="12">
        <f ca="1">IF(AND('Data Analysis Addin'!$G791&lt;='Data Analysis Addin'!$H791,G792&gt;H792), 1, 0)</f>
        <v>0</v>
      </c>
      <c r="J791" s="2">
        <f t="shared" ca="1" si="61"/>
        <v>0</v>
      </c>
      <c r="K791" s="17">
        <f>YEAR('Data Analysis Addin'!$A791)</f>
        <v>2023</v>
      </c>
    </row>
    <row r="792" spans="1:11" x14ac:dyDescent="0.4">
      <c r="A792" s="18">
        <v>45281</v>
      </c>
      <c r="B792" s="9">
        <v>472.7</v>
      </c>
      <c r="C792" s="11">
        <f t="shared" si="58"/>
        <v>445.1062</v>
      </c>
      <c r="D792" s="11">
        <f t="shared" si="62"/>
        <v>432.18644999999975</v>
      </c>
      <c r="E792" s="9"/>
      <c r="F792" s="9"/>
      <c r="G792" s="9">
        <f t="shared" ca="1" si="59"/>
        <v>445.1062</v>
      </c>
      <c r="H792" s="9">
        <f t="shared" ca="1" si="60"/>
        <v>432.18644999999975</v>
      </c>
      <c r="I792" s="12">
        <f ca="1">IF(AND('Data Analysis Addin'!$G792&lt;='Data Analysis Addin'!$H792,G793&gt;H793), 1, 0)</f>
        <v>0</v>
      </c>
      <c r="J792" s="3">
        <f t="shared" ca="1" si="61"/>
        <v>0</v>
      </c>
      <c r="K792" s="19">
        <f>YEAR('Data Analysis Addin'!$A792)</f>
        <v>2023</v>
      </c>
    </row>
    <row r="793" spans="1:11" x14ac:dyDescent="0.4">
      <c r="A793" s="16">
        <v>45282</v>
      </c>
      <c r="B793" s="8">
        <v>473.65</v>
      </c>
      <c r="C793" s="11">
        <f t="shared" si="58"/>
        <v>445.90600000000006</v>
      </c>
      <c r="D793" s="11">
        <f t="shared" si="62"/>
        <v>432.59689999999966</v>
      </c>
      <c r="E793" s="8"/>
      <c r="F793" s="8"/>
      <c r="G793" s="8">
        <f t="shared" ca="1" si="59"/>
        <v>445.90600000000006</v>
      </c>
      <c r="H793" s="8">
        <f t="shared" ca="1" si="60"/>
        <v>432.59689999999966</v>
      </c>
      <c r="I793" s="12">
        <f ca="1">IF(AND('Data Analysis Addin'!$G793&lt;='Data Analysis Addin'!$H793,G794&gt;H794), 1, 0)</f>
        <v>0</v>
      </c>
      <c r="J793" s="2">
        <f t="shared" ca="1" si="61"/>
        <v>0</v>
      </c>
      <c r="K793" s="17">
        <f>YEAR('Data Analysis Addin'!$A793)</f>
        <v>2023</v>
      </c>
    </row>
    <row r="794" spans="1:11" x14ac:dyDescent="0.4">
      <c r="A794" s="18">
        <v>45286</v>
      </c>
      <c r="B794" s="9">
        <v>475.65</v>
      </c>
      <c r="C794" s="11">
        <f t="shared" si="58"/>
        <v>446.78900000000016</v>
      </c>
      <c r="D794" s="11">
        <f t="shared" si="62"/>
        <v>433.04559999999964</v>
      </c>
      <c r="E794" s="9"/>
      <c r="F794" s="9"/>
      <c r="G794" s="9">
        <f t="shared" ca="1" si="59"/>
        <v>446.78900000000016</v>
      </c>
      <c r="H794" s="9">
        <f t="shared" ca="1" si="60"/>
        <v>433.04559999999964</v>
      </c>
      <c r="I794" s="12">
        <f ca="1">IF(AND('Data Analysis Addin'!$G794&lt;='Data Analysis Addin'!$H794,G795&gt;H795), 1, 0)</f>
        <v>0</v>
      </c>
      <c r="J794" s="3">
        <f t="shared" ca="1" si="61"/>
        <v>0</v>
      </c>
      <c r="K794" s="19">
        <f>YEAR('Data Analysis Addin'!$A794)</f>
        <v>2023</v>
      </c>
    </row>
    <row r="795" spans="1:11" x14ac:dyDescent="0.4">
      <c r="A795" s="16">
        <v>45287</v>
      </c>
      <c r="B795" s="8">
        <v>476.51</v>
      </c>
      <c r="C795" s="11">
        <f t="shared" si="58"/>
        <v>447.59840000000003</v>
      </c>
      <c r="D795" s="11">
        <f t="shared" si="62"/>
        <v>433.50134999999966</v>
      </c>
      <c r="E795" s="8"/>
      <c r="F795" s="8"/>
      <c r="G795" s="8">
        <f t="shared" ca="1" si="59"/>
        <v>447.59840000000003</v>
      </c>
      <c r="H795" s="8">
        <f t="shared" ca="1" si="60"/>
        <v>433.50134999999966</v>
      </c>
      <c r="I795" s="12">
        <f ca="1">IF(AND('Data Analysis Addin'!$G795&lt;='Data Analysis Addin'!$H795,G796&gt;H796), 1, 0)</f>
        <v>0</v>
      </c>
      <c r="J795" s="2">
        <f t="shared" ca="1" si="61"/>
        <v>0</v>
      </c>
      <c r="K795" s="17">
        <f>YEAR('Data Analysis Addin'!$A795)</f>
        <v>2023</v>
      </c>
    </row>
    <row r="796" spans="1:11" x14ac:dyDescent="0.4">
      <c r="A796" s="18">
        <v>45288</v>
      </c>
      <c r="B796" s="9">
        <v>476.69</v>
      </c>
      <c r="C796" s="11">
        <f t="shared" si="58"/>
        <v>448.41180000000008</v>
      </c>
      <c r="D796" s="11">
        <f t="shared" si="62"/>
        <v>433.92614999999961</v>
      </c>
      <c r="E796" s="9"/>
      <c r="F796" s="9"/>
      <c r="G796" s="9">
        <f t="shared" ca="1" si="59"/>
        <v>448.41180000000008</v>
      </c>
      <c r="H796" s="9">
        <f t="shared" ca="1" si="60"/>
        <v>433.92614999999961</v>
      </c>
      <c r="I796" s="12">
        <f ca="1">IF(AND('Data Analysis Addin'!$G796&lt;='Data Analysis Addin'!$H796,G797&gt;H797), 1, 0)</f>
        <v>0</v>
      </c>
      <c r="J796" s="3">
        <f t="shared" ca="1" si="61"/>
        <v>0</v>
      </c>
      <c r="K796" s="19">
        <f>YEAR('Data Analysis Addin'!$A796)</f>
        <v>2023</v>
      </c>
    </row>
    <row r="797" spans="1:11" x14ac:dyDescent="0.4">
      <c r="A797" s="16">
        <v>45289</v>
      </c>
      <c r="B797" s="8">
        <v>475.31</v>
      </c>
      <c r="C797" s="11">
        <f t="shared" si="58"/>
        <v>449.31380000000007</v>
      </c>
      <c r="D797" s="11">
        <f t="shared" si="62"/>
        <v>434.35629999999964</v>
      </c>
      <c r="E797" s="8"/>
      <c r="F797" s="8"/>
      <c r="G797" s="8">
        <f t="shared" ca="1" si="59"/>
        <v>449.31380000000007</v>
      </c>
      <c r="H797" s="8">
        <f t="shared" ca="1" si="60"/>
        <v>434.35629999999964</v>
      </c>
      <c r="I797" s="12">
        <f ca="1">IF(AND('Data Analysis Addin'!$G797&lt;='Data Analysis Addin'!$H797,G798&gt;H798), 1, 0)</f>
        <v>0</v>
      </c>
      <c r="J797" s="2">
        <f t="shared" ca="1" si="61"/>
        <v>0</v>
      </c>
      <c r="K797" s="17">
        <f>YEAR('Data Analysis Addin'!$A797)</f>
        <v>2023</v>
      </c>
    </row>
    <row r="798" spans="1:11" x14ac:dyDescent="0.4">
      <c r="A798" s="18">
        <v>45293</v>
      </c>
      <c r="B798" s="9">
        <v>472.65</v>
      </c>
      <c r="C798" s="11">
        <f t="shared" si="58"/>
        <v>450.23820000000012</v>
      </c>
      <c r="D798" s="11">
        <f t="shared" si="62"/>
        <v>434.73899999999952</v>
      </c>
      <c r="E798" s="9"/>
      <c r="F798" s="9"/>
      <c r="G798" s="9">
        <f t="shared" ca="1" si="59"/>
        <v>450.23820000000012</v>
      </c>
      <c r="H798" s="9">
        <f t="shared" ca="1" si="60"/>
        <v>434.73899999999952</v>
      </c>
      <c r="I798" s="12">
        <f ca="1">IF(AND('Data Analysis Addin'!$G798&lt;='Data Analysis Addin'!$H798,G799&gt;H799), 1, 0)</f>
        <v>0</v>
      </c>
      <c r="J798" s="3">
        <f t="shared" ca="1" si="61"/>
        <v>0</v>
      </c>
      <c r="K798" s="19">
        <f>YEAR('Data Analysis Addin'!$A798)</f>
        <v>2024</v>
      </c>
    </row>
    <row r="799" spans="1:11" x14ac:dyDescent="0.4">
      <c r="A799" s="16">
        <v>45294</v>
      </c>
      <c r="B799" s="8">
        <v>468.79</v>
      </c>
      <c r="C799" s="11">
        <f t="shared" si="58"/>
        <v>451.19020000000012</v>
      </c>
      <c r="D799" s="11">
        <f t="shared" si="62"/>
        <v>435.13299999999947</v>
      </c>
      <c r="E799" s="8"/>
      <c r="F799" s="8"/>
      <c r="G799" s="8">
        <f t="shared" ca="1" si="59"/>
        <v>451.19020000000012</v>
      </c>
      <c r="H799" s="8">
        <f t="shared" ca="1" si="60"/>
        <v>435.13299999999947</v>
      </c>
      <c r="I799" s="12">
        <f ca="1">IF(AND('Data Analysis Addin'!$G799&lt;='Data Analysis Addin'!$H799,G800&gt;H800), 1, 0)</f>
        <v>0</v>
      </c>
      <c r="J799" s="2">
        <f t="shared" ca="1" si="61"/>
        <v>0</v>
      </c>
      <c r="K799" s="17">
        <f>YEAR('Data Analysis Addin'!$A799)</f>
        <v>2024</v>
      </c>
    </row>
    <row r="800" spans="1:11" x14ac:dyDescent="0.4">
      <c r="A800" s="18">
        <v>45295</v>
      </c>
      <c r="B800" s="9">
        <v>467.28</v>
      </c>
      <c r="C800" s="11">
        <f t="shared" si="58"/>
        <v>452.12660000000011</v>
      </c>
      <c r="D800" s="11">
        <f t="shared" si="62"/>
        <v>435.50069999999948</v>
      </c>
      <c r="E800" s="9"/>
      <c r="F800" s="9"/>
      <c r="G800" s="9">
        <f t="shared" ca="1" si="59"/>
        <v>452.12660000000011</v>
      </c>
      <c r="H800" s="9">
        <f t="shared" ca="1" si="60"/>
        <v>435.50069999999948</v>
      </c>
      <c r="I800" s="12">
        <f ca="1">IF(AND('Data Analysis Addin'!$G800&lt;='Data Analysis Addin'!$H800,G801&gt;H801), 1, 0)</f>
        <v>0</v>
      </c>
      <c r="J800" s="3">
        <f t="shared" ca="1" si="61"/>
        <v>0</v>
      </c>
      <c r="K800" s="19">
        <f>YEAR('Data Analysis Addin'!$A800)</f>
        <v>2024</v>
      </c>
    </row>
    <row r="801" spans="1:11" x14ac:dyDescent="0.4">
      <c r="A801" s="16">
        <v>45296</v>
      </c>
      <c r="B801" s="8">
        <v>467.92</v>
      </c>
      <c r="C801" s="11">
        <f t="shared" si="58"/>
        <v>453.01240000000007</v>
      </c>
      <c r="D801" s="11">
        <f t="shared" si="62"/>
        <v>435.84574999999955</v>
      </c>
      <c r="E801" s="8"/>
      <c r="F801" s="8"/>
      <c r="G801" s="8">
        <f t="shared" ca="1" si="59"/>
        <v>453.01240000000007</v>
      </c>
      <c r="H801" s="8">
        <f t="shared" ca="1" si="60"/>
        <v>435.84574999999955</v>
      </c>
      <c r="I801" s="12">
        <f ca="1">IF(AND('Data Analysis Addin'!$G801&lt;='Data Analysis Addin'!$H801,G802&gt;H802), 1, 0)</f>
        <v>0</v>
      </c>
      <c r="J801" s="2">
        <f t="shared" ca="1" si="61"/>
        <v>0</v>
      </c>
      <c r="K801" s="17">
        <f>YEAR('Data Analysis Addin'!$A801)</f>
        <v>2024</v>
      </c>
    </row>
    <row r="802" spans="1:11" x14ac:dyDescent="0.4">
      <c r="A802" s="18">
        <v>45299</v>
      </c>
      <c r="B802" s="9">
        <v>474.6</v>
      </c>
      <c r="C802" s="11">
        <f t="shared" si="58"/>
        <v>454.15339999999998</v>
      </c>
      <c r="D802" s="11">
        <f t="shared" si="62"/>
        <v>436.25819999999965</v>
      </c>
      <c r="E802" s="9"/>
      <c r="F802" s="9"/>
      <c r="G802" s="9">
        <f t="shared" ca="1" si="59"/>
        <v>454.15339999999998</v>
      </c>
      <c r="H802" s="9">
        <f t="shared" ca="1" si="60"/>
        <v>436.25819999999965</v>
      </c>
      <c r="I802" s="12">
        <f ca="1">IF(AND('Data Analysis Addin'!$G802&lt;='Data Analysis Addin'!$H802,G803&gt;H803), 1, 0)</f>
        <v>0</v>
      </c>
      <c r="J802" s="3">
        <f t="shared" ca="1" si="61"/>
        <v>0</v>
      </c>
      <c r="K802" s="19">
        <f>YEAR('Data Analysis Addin'!$A802)</f>
        <v>2024</v>
      </c>
    </row>
    <row r="803" spans="1:11" x14ac:dyDescent="0.4">
      <c r="A803" s="16">
        <v>45300</v>
      </c>
      <c r="B803" s="8">
        <v>473.88</v>
      </c>
      <c r="C803" s="11">
        <f t="shared" si="58"/>
        <v>455.38</v>
      </c>
      <c r="D803" s="11">
        <f t="shared" si="62"/>
        <v>436.66174999999959</v>
      </c>
      <c r="E803" s="8"/>
      <c r="F803" s="8"/>
      <c r="G803" s="8">
        <f t="shared" ca="1" si="59"/>
        <v>455.38</v>
      </c>
      <c r="H803" s="8">
        <f t="shared" ca="1" si="60"/>
        <v>436.66174999999959</v>
      </c>
      <c r="I803" s="12">
        <f ca="1">IF(AND('Data Analysis Addin'!$G803&lt;='Data Analysis Addin'!$H803,G804&gt;H804), 1, 0)</f>
        <v>0</v>
      </c>
      <c r="J803" s="2">
        <f t="shared" ca="1" si="61"/>
        <v>0</v>
      </c>
      <c r="K803" s="17">
        <f>YEAR('Data Analysis Addin'!$A803)</f>
        <v>2024</v>
      </c>
    </row>
    <row r="804" spans="1:11" x14ac:dyDescent="0.4">
      <c r="A804" s="18">
        <v>45301</v>
      </c>
      <c r="B804" s="9">
        <v>476.56</v>
      </c>
      <c r="C804" s="11">
        <f t="shared" si="58"/>
        <v>456.69760000000002</v>
      </c>
      <c r="D804" s="11">
        <f t="shared" si="62"/>
        <v>437.06579999999957</v>
      </c>
      <c r="E804" s="9"/>
      <c r="F804" s="9"/>
      <c r="G804" s="9">
        <f t="shared" ca="1" si="59"/>
        <v>456.69760000000002</v>
      </c>
      <c r="H804" s="9">
        <f t="shared" ca="1" si="60"/>
        <v>437.06579999999957</v>
      </c>
      <c r="I804" s="12">
        <f ca="1">IF(AND('Data Analysis Addin'!$G804&lt;='Data Analysis Addin'!$H804,G805&gt;H805), 1, 0)</f>
        <v>0</v>
      </c>
      <c r="J804" s="3">
        <f t="shared" ca="1" si="61"/>
        <v>0</v>
      </c>
      <c r="K804" s="19">
        <f>YEAR('Data Analysis Addin'!$A804)</f>
        <v>2024</v>
      </c>
    </row>
    <row r="805" spans="1:11" x14ac:dyDescent="0.4">
      <c r="A805" s="16">
        <v>45302</v>
      </c>
      <c r="B805" s="8">
        <v>476.35</v>
      </c>
      <c r="C805" s="11">
        <f t="shared" si="58"/>
        <v>457.91280000000006</v>
      </c>
      <c r="D805" s="11">
        <f t="shared" si="62"/>
        <v>437.46509999999967</v>
      </c>
      <c r="E805" s="8"/>
      <c r="F805" s="8"/>
      <c r="G805" s="8">
        <f t="shared" ca="1" si="59"/>
        <v>457.91280000000006</v>
      </c>
      <c r="H805" s="8">
        <f t="shared" ca="1" si="60"/>
        <v>437.46509999999967</v>
      </c>
      <c r="I805" s="12">
        <f ca="1">IF(AND('Data Analysis Addin'!$G805&lt;='Data Analysis Addin'!$H805,G806&gt;H806), 1, 0)</f>
        <v>0</v>
      </c>
      <c r="J805" s="2">
        <f t="shared" ca="1" si="61"/>
        <v>0</v>
      </c>
      <c r="K805" s="17">
        <f>YEAR('Data Analysis Addin'!$A805)</f>
        <v>2024</v>
      </c>
    </row>
    <row r="806" spans="1:11" x14ac:dyDescent="0.4">
      <c r="A806" s="18">
        <v>45303</v>
      </c>
      <c r="B806" s="9">
        <v>476.68</v>
      </c>
      <c r="C806" s="11">
        <f t="shared" si="58"/>
        <v>459.08240000000006</v>
      </c>
      <c r="D806" s="11">
        <f t="shared" si="62"/>
        <v>437.87049999999959</v>
      </c>
      <c r="E806" s="9"/>
      <c r="F806" s="9"/>
      <c r="G806" s="9">
        <f t="shared" ca="1" si="59"/>
        <v>459.08240000000006</v>
      </c>
      <c r="H806" s="9">
        <f t="shared" ca="1" si="60"/>
        <v>437.87049999999959</v>
      </c>
      <c r="I806" s="12">
        <f ca="1">IF(AND('Data Analysis Addin'!$G806&lt;='Data Analysis Addin'!$H806,G807&gt;H807), 1, 0)</f>
        <v>0</v>
      </c>
      <c r="J806" s="3">
        <f t="shared" ca="1" si="61"/>
        <v>0</v>
      </c>
      <c r="K806" s="19">
        <f>YEAR('Data Analysis Addin'!$A806)</f>
        <v>2024</v>
      </c>
    </row>
    <row r="807" spans="1:11" x14ac:dyDescent="0.4">
      <c r="A807" s="16">
        <v>45307</v>
      </c>
      <c r="B807" s="8">
        <v>474.93</v>
      </c>
      <c r="C807" s="11">
        <f t="shared" si="58"/>
        <v>460.12780000000004</v>
      </c>
      <c r="D807" s="11">
        <f t="shared" si="62"/>
        <v>438.23839999999961</v>
      </c>
      <c r="E807" s="8"/>
      <c r="F807" s="8"/>
      <c r="G807" s="8">
        <f t="shared" ca="1" si="59"/>
        <v>460.12780000000004</v>
      </c>
      <c r="H807" s="8">
        <f t="shared" ca="1" si="60"/>
        <v>438.23839999999961</v>
      </c>
      <c r="I807" s="12">
        <f ca="1">IF(AND('Data Analysis Addin'!$G807&lt;='Data Analysis Addin'!$H807,G808&gt;H808), 1, 0)</f>
        <v>0</v>
      </c>
      <c r="J807" s="2">
        <f t="shared" ca="1" si="61"/>
        <v>0</v>
      </c>
      <c r="K807" s="17">
        <f>YEAR('Data Analysis Addin'!$A807)</f>
        <v>2024</v>
      </c>
    </row>
    <row r="808" spans="1:11" x14ac:dyDescent="0.4">
      <c r="A808" s="18">
        <v>45308</v>
      </c>
      <c r="B808" s="9">
        <v>472.29</v>
      </c>
      <c r="C808" s="11">
        <f t="shared" si="58"/>
        <v>460.95840000000004</v>
      </c>
      <c r="D808" s="11">
        <f t="shared" si="62"/>
        <v>438.58134999999953</v>
      </c>
      <c r="E808" s="9"/>
      <c r="F808" s="9"/>
      <c r="G808" s="9">
        <f t="shared" ca="1" si="59"/>
        <v>460.95840000000004</v>
      </c>
      <c r="H808" s="9">
        <f t="shared" ca="1" si="60"/>
        <v>438.58134999999953</v>
      </c>
      <c r="I808" s="12">
        <f ca="1">IF(AND('Data Analysis Addin'!$G808&lt;='Data Analysis Addin'!$H808,G809&gt;H809), 1, 0)</f>
        <v>0</v>
      </c>
      <c r="J808" s="3">
        <f t="shared" ca="1" si="61"/>
        <v>0</v>
      </c>
      <c r="K808" s="19">
        <f>YEAR('Data Analysis Addin'!$A808)</f>
        <v>2024</v>
      </c>
    </row>
    <row r="809" spans="1:11" x14ac:dyDescent="0.4">
      <c r="A809" s="16">
        <v>45309</v>
      </c>
      <c r="B809" s="8">
        <v>476.49</v>
      </c>
      <c r="C809" s="11">
        <f t="shared" si="58"/>
        <v>461.7944</v>
      </c>
      <c r="D809" s="11">
        <f t="shared" si="62"/>
        <v>438.91684999999961</v>
      </c>
      <c r="E809" s="8"/>
      <c r="F809" s="8"/>
      <c r="G809" s="8">
        <f t="shared" ca="1" si="59"/>
        <v>461.7944</v>
      </c>
      <c r="H809" s="8">
        <f t="shared" ca="1" si="60"/>
        <v>438.91684999999961</v>
      </c>
      <c r="I809" s="12">
        <f ca="1">IF(AND('Data Analysis Addin'!$G809&lt;='Data Analysis Addin'!$H809,G810&gt;H810), 1, 0)</f>
        <v>0</v>
      </c>
      <c r="J809" s="2">
        <f t="shared" ca="1" si="61"/>
        <v>0</v>
      </c>
      <c r="K809" s="17">
        <f>YEAR('Data Analysis Addin'!$A809)</f>
        <v>2024</v>
      </c>
    </row>
    <row r="810" spans="1:11" x14ac:dyDescent="0.4">
      <c r="A810" s="18">
        <v>45310</v>
      </c>
      <c r="B810" s="9">
        <v>482.43</v>
      </c>
      <c r="C810" s="11">
        <f t="shared" si="58"/>
        <v>462.72920000000011</v>
      </c>
      <c r="D810" s="11">
        <f t="shared" si="62"/>
        <v>439.2742499999996</v>
      </c>
      <c r="E810" s="9"/>
      <c r="F810" s="9"/>
      <c r="G810" s="9">
        <f t="shared" ca="1" si="59"/>
        <v>462.72920000000011</v>
      </c>
      <c r="H810" s="9">
        <f t="shared" ca="1" si="60"/>
        <v>439.2742499999996</v>
      </c>
      <c r="I810" s="12">
        <f ca="1">IF(AND('Data Analysis Addin'!$G810&lt;='Data Analysis Addin'!$H810,G811&gt;H811), 1, 0)</f>
        <v>0</v>
      </c>
      <c r="J810" s="3">
        <f t="shared" ca="1" si="61"/>
        <v>0</v>
      </c>
      <c r="K810" s="19">
        <f>YEAR('Data Analysis Addin'!$A810)</f>
        <v>2024</v>
      </c>
    </row>
    <row r="811" spans="1:11" x14ac:dyDescent="0.4">
      <c r="A811" s="16">
        <v>45313</v>
      </c>
      <c r="B811" s="8">
        <v>483.45</v>
      </c>
      <c r="C811" s="11">
        <f t="shared" si="58"/>
        <v>463.65960000000013</v>
      </c>
      <c r="D811" s="11">
        <f t="shared" si="62"/>
        <v>439.64814999999959</v>
      </c>
      <c r="E811" s="8"/>
      <c r="F811" s="8"/>
      <c r="G811" s="8">
        <f t="shared" ca="1" si="59"/>
        <v>463.65960000000013</v>
      </c>
      <c r="H811" s="8">
        <f t="shared" ca="1" si="60"/>
        <v>439.64814999999959</v>
      </c>
      <c r="I811" s="12">
        <f ca="1">IF(AND('Data Analysis Addin'!$G811&lt;='Data Analysis Addin'!$H811,G812&gt;H812), 1, 0)</f>
        <v>0</v>
      </c>
      <c r="J811" s="2">
        <f t="shared" ca="1" si="61"/>
        <v>0</v>
      </c>
      <c r="K811" s="17">
        <f>YEAR('Data Analysis Addin'!$A811)</f>
        <v>2024</v>
      </c>
    </row>
    <row r="812" spans="1:11" x14ac:dyDescent="0.4">
      <c r="A812" s="18">
        <v>45314</v>
      </c>
      <c r="B812" s="9">
        <v>484.86</v>
      </c>
      <c r="C812" s="11">
        <f t="shared" si="58"/>
        <v>464.61180000000007</v>
      </c>
      <c r="D812" s="11">
        <f t="shared" si="62"/>
        <v>440.03444999999954</v>
      </c>
      <c r="E812" s="9"/>
      <c r="F812" s="9"/>
      <c r="G812" s="9">
        <f t="shared" ca="1" si="59"/>
        <v>464.61180000000007</v>
      </c>
      <c r="H812" s="9">
        <f t="shared" ca="1" si="60"/>
        <v>440.03444999999954</v>
      </c>
      <c r="I812" s="12">
        <f ca="1">IF(AND('Data Analysis Addin'!$G812&lt;='Data Analysis Addin'!$H812,G813&gt;H813), 1, 0)</f>
        <v>0</v>
      </c>
      <c r="J812" s="3">
        <f t="shared" ca="1" si="61"/>
        <v>0</v>
      </c>
      <c r="K812" s="19">
        <f>YEAR('Data Analysis Addin'!$A812)</f>
        <v>2024</v>
      </c>
    </row>
    <row r="813" spans="1:11" x14ac:dyDescent="0.4">
      <c r="A813" s="16">
        <v>45315</v>
      </c>
      <c r="B813" s="8">
        <v>485.39</v>
      </c>
      <c r="C813" s="11">
        <f t="shared" si="58"/>
        <v>465.64279999999997</v>
      </c>
      <c r="D813" s="11">
        <f t="shared" si="62"/>
        <v>440.41544999999962</v>
      </c>
      <c r="E813" s="8"/>
      <c r="F813" s="8"/>
      <c r="G813" s="8">
        <f t="shared" ca="1" si="59"/>
        <v>465.64279999999997</v>
      </c>
      <c r="H813" s="8">
        <f t="shared" ca="1" si="60"/>
        <v>440.41544999999962</v>
      </c>
      <c r="I813" s="12">
        <f ca="1">IF(AND('Data Analysis Addin'!$G813&lt;='Data Analysis Addin'!$H813,G814&gt;H814), 1, 0)</f>
        <v>0</v>
      </c>
      <c r="J813" s="2">
        <f t="shared" ca="1" si="61"/>
        <v>0</v>
      </c>
      <c r="K813" s="17">
        <f>YEAR('Data Analysis Addin'!$A813)</f>
        <v>2024</v>
      </c>
    </row>
    <row r="814" spans="1:11" x14ac:dyDescent="0.4">
      <c r="A814" s="18">
        <v>45316</v>
      </c>
      <c r="B814" s="9">
        <v>488.03</v>
      </c>
      <c r="C814" s="11">
        <f t="shared" si="58"/>
        <v>466.59120000000001</v>
      </c>
      <c r="D814" s="11">
        <f t="shared" si="62"/>
        <v>440.80754999999959</v>
      </c>
      <c r="E814" s="9"/>
      <c r="F814" s="9"/>
      <c r="G814" s="9">
        <f t="shared" ca="1" si="59"/>
        <v>466.59120000000001</v>
      </c>
      <c r="H814" s="9">
        <f t="shared" ca="1" si="60"/>
        <v>440.80754999999959</v>
      </c>
      <c r="I814" s="12">
        <f ca="1">IF(AND('Data Analysis Addin'!$G814&lt;='Data Analysis Addin'!$H814,G815&gt;H815), 1, 0)</f>
        <v>0</v>
      </c>
      <c r="J814" s="3">
        <f t="shared" ca="1" si="61"/>
        <v>0</v>
      </c>
      <c r="K814" s="19">
        <f>YEAR('Data Analysis Addin'!$A814)</f>
        <v>2024</v>
      </c>
    </row>
    <row r="815" spans="1:11" x14ac:dyDescent="0.4">
      <c r="A815" s="16">
        <v>45317</v>
      </c>
      <c r="B815" s="8">
        <v>487.41</v>
      </c>
      <c r="C815" s="11">
        <f t="shared" si="58"/>
        <v>467.53560000000004</v>
      </c>
      <c r="D815" s="11">
        <f t="shared" si="62"/>
        <v>441.19599999999969</v>
      </c>
      <c r="E815" s="8"/>
      <c r="F815" s="8"/>
      <c r="G815" s="8">
        <f t="shared" ca="1" si="59"/>
        <v>467.53560000000004</v>
      </c>
      <c r="H815" s="8">
        <f t="shared" ca="1" si="60"/>
        <v>441.19599999999969</v>
      </c>
      <c r="I815" s="12">
        <f ca="1">IF(AND('Data Analysis Addin'!$G815&lt;='Data Analysis Addin'!$H815,G816&gt;H816), 1, 0)</f>
        <v>0</v>
      </c>
      <c r="J815" s="2">
        <f t="shared" ca="1" si="61"/>
        <v>0</v>
      </c>
      <c r="K815" s="17">
        <f>YEAR('Data Analysis Addin'!$A815)</f>
        <v>2024</v>
      </c>
    </row>
    <row r="816" spans="1:11" x14ac:dyDescent="0.4">
      <c r="A816" s="18">
        <v>45320</v>
      </c>
      <c r="B816" s="9">
        <v>491.27</v>
      </c>
      <c r="C816" s="11">
        <f t="shared" si="58"/>
        <v>468.38640000000015</v>
      </c>
      <c r="D816" s="11">
        <f t="shared" si="62"/>
        <v>441.61209999999971</v>
      </c>
      <c r="E816" s="9"/>
      <c r="F816" s="9"/>
      <c r="G816" s="9">
        <f t="shared" ca="1" si="59"/>
        <v>468.38640000000015</v>
      </c>
      <c r="H816" s="9">
        <f t="shared" ca="1" si="60"/>
        <v>441.61209999999971</v>
      </c>
      <c r="I816" s="12">
        <f ca="1">IF(AND('Data Analysis Addin'!$G816&lt;='Data Analysis Addin'!$H816,G817&gt;H817), 1, 0)</f>
        <v>0</v>
      </c>
      <c r="J816" s="3">
        <f t="shared" ca="1" si="61"/>
        <v>0</v>
      </c>
      <c r="K816" s="19">
        <f>YEAR('Data Analysis Addin'!$A816)</f>
        <v>2024</v>
      </c>
    </row>
    <row r="817" spans="1:11" x14ac:dyDescent="0.4">
      <c r="A817" s="16">
        <v>45321</v>
      </c>
      <c r="B817" s="8">
        <v>490.89</v>
      </c>
      <c r="C817" s="11">
        <f t="shared" si="58"/>
        <v>469.21060000000006</v>
      </c>
      <c r="D817" s="11">
        <f t="shared" si="62"/>
        <v>441.99919999999975</v>
      </c>
      <c r="E817" s="8"/>
      <c r="F817" s="8"/>
      <c r="G817" s="8">
        <f t="shared" ca="1" si="59"/>
        <v>469.21060000000006</v>
      </c>
      <c r="H817" s="8">
        <f t="shared" ca="1" si="60"/>
        <v>441.99919999999975</v>
      </c>
      <c r="I817" s="12">
        <f ca="1">IF(AND('Data Analysis Addin'!$G817&lt;='Data Analysis Addin'!$H817,G818&gt;H818), 1, 0)</f>
        <v>0</v>
      </c>
      <c r="J817" s="2">
        <f t="shared" ca="1" si="61"/>
        <v>0</v>
      </c>
      <c r="K817" s="17">
        <f>YEAR('Data Analysis Addin'!$A817)</f>
        <v>2024</v>
      </c>
    </row>
    <row r="818" spans="1:11" x14ac:dyDescent="0.4">
      <c r="A818" s="18">
        <v>45322</v>
      </c>
      <c r="B818" s="9">
        <v>482.88</v>
      </c>
      <c r="C818" s="11">
        <f t="shared" si="58"/>
        <v>469.86360000000008</v>
      </c>
      <c r="D818" s="11">
        <f t="shared" si="62"/>
        <v>442.35129999999981</v>
      </c>
      <c r="E818" s="9"/>
      <c r="F818" s="9"/>
      <c r="G818" s="9">
        <f t="shared" ca="1" si="59"/>
        <v>469.86360000000008</v>
      </c>
      <c r="H818" s="9">
        <f t="shared" ca="1" si="60"/>
        <v>442.35129999999981</v>
      </c>
      <c r="I818" s="12">
        <f ca="1">IF(AND('Data Analysis Addin'!$G818&lt;='Data Analysis Addin'!$H818,G819&gt;H819), 1, 0)</f>
        <v>0</v>
      </c>
      <c r="J818" s="3">
        <f t="shared" ca="1" si="61"/>
        <v>0</v>
      </c>
      <c r="K818" s="19">
        <f>YEAR('Data Analysis Addin'!$A818)</f>
        <v>2024</v>
      </c>
    </row>
    <row r="819" spans="1:11" x14ac:dyDescent="0.4">
      <c r="A819" s="16">
        <v>45323</v>
      </c>
      <c r="B819" s="8">
        <v>489.2</v>
      </c>
      <c r="C819" s="11">
        <f t="shared" si="58"/>
        <v>470.63180000000006</v>
      </c>
      <c r="D819" s="11">
        <f t="shared" si="62"/>
        <v>442.72759999999988</v>
      </c>
      <c r="E819" s="8"/>
      <c r="F819" s="8"/>
      <c r="G819" s="8">
        <f t="shared" ca="1" si="59"/>
        <v>470.63180000000006</v>
      </c>
      <c r="H819" s="8">
        <f t="shared" ca="1" si="60"/>
        <v>442.72759999999988</v>
      </c>
      <c r="I819" s="12">
        <f ca="1">IF(AND('Data Analysis Addin'!$G819&lt;='Data Analysis Addin'!$H819,G820&gt;H820), 1, 0)</f>
        <v>0</v>
      </c>
      <c r="J819" s="2">
        <f t="shared" ca="1" si="61"/>
        <v>0</v>
      </c>
      <c r="K819" s="17">
        <f>YEAR('Data Analysis Addin'!$A819)</f>
        <v>2024</v>
      </c>
    </row>
    <row r="820" spans="1:11" x14ac:dyDescent="0.4">
      <c r="A820" s="18">
        <v>45324</v>
      </c>
      <c r="B820" s="9">
        <v>494.35</v>
      </c>
      <c r="C820" s="11">
        <f t="shared" ref="C820:C883" si="63">AVERAGE(B771:B820)</f>
        <v>471.43360000000007</v>
      </c>
      <c r="D820" s="11">
        <f t="shared" si="62"/>
        <v>443.1282999999998</v>
      </c>
      <c r="E820" s="9"/>
      <c r="F820" s="9"/>
      <c r="G820" s="9">
        <f t="shared" ca="1" si="59"/>
        <v>471.43360000000007</v>
      </c>
      <c r="H820" s="9">
        <f t="shared" ca="1" si="60"/>
        <v>443.1282999999998</v>
      </c>
      <c r="I820" s="12">
        <f ca="1">IF(AND('Data Analysis Addin'!$G820&lt;='Data Analysis Addin'!$H820,G821&gt;H821), 1, 0)</f>
        <v>0</v>
      </c>
      <c r="J820" s="3">
        <f t="shared" ca="1" si="61"/>
        <v>0</v>
      </c>
      <c r="K820" s="19">
        <f>YEAR('Data Analysis Addin'!$A820)</f>
        <v>2024</v>
      </c>
    </row>
    <row r="821" spans="1:11" x14ac:dyDescent="0.4">
      <c r="A821" s="16">
        <v>45327</v>
      </c>
      <c r="B821" s="8">
        <v>492.55</v>
      </c>
      <c r="C821" s="11">
        <f t="shared" si="63"/>
        <v>472.21920000000006</v>
      </c>
      <c r="D821" s="11">
        <f t="shared" si="62"/>
        <v>443.52034999999984</v>
      </c>
      <c r="E821" s="8"/>
      <c r="F821" s="8"/>
      <c r="G821" s="8">
        <f t="shared" ca="1" si="59"/>
        <v>472.21920000000006</v>
      </c>
      <c r="H821" s="8">
        <f t="shared" ca="1" si="60"/>
        <v>443.52034999999984</v>
      </c>
      <c r="I821" s="12">
        <f ca="1">IF(AND('Data Analysis Addin'!$G821&lt;='Data Analysis Addin'!$H821,G822&gt;H822), 1, 0)</f>
        <v>0</v>
      </c>
      <c r="J821" s="2">
        <f t="shared" ca="1" si="61"/>
        <v>0</v>
      </c>
      <c r="K821" s="17">
        <f>YEAR('Data Analysis Addin'!$A821)</f>
        <v>2024</v>
      </c>
    </row>
    <row r="822" spans="1:11" x14ac:dyDescent="0.4">
      <c r="A822" s="18">
        <v>45328</v>
      </c>
      <c r="B822" s="9">
        <v>493.98</v>
      </c>
      <c r="C822" s="11">
        <f t="shared" si="63"/>
        <v>472.99840000000006</v>
      </c>
      <c r="D822" s="11">
        <f t="shared" si="62"/>
        <v>443.93084999999985</v>
      </c>
      <c r="E822" s="9"/>
      <c r="F822" s="9"/>
      <c r="G822" s="9">
        <f t="shared" ca="1" si="59"/>
        <v>472.99840000000006</v>
      </c>
      <c r="H822" s="9">
        <f t="shared" ca="1" si="60"/>
        <v>443.93084999999985</v>
      </c>
      <c r="I822" s="12">
        <f ca="1">IF(AND('Data Analysis Addin'!$G822&lt;='Data Analysis Addin'!$H822,G823&gt;H823), 1, 0)</f>
        <v>0</v>
      </c>
      <c r="J822" s="3">
        <f t="shared" ca="1" si="61"/>
        <v>0</v>
      </c>
      <c r="K822" s="19">
        <f>YEAR('Data Analysis Addin'!$A822)</f>
        <v>2024</v>
      </c>
    </row>
    <row r="823" spans="1:11" x14ac:dyDescent="0.4">
      <c r="A823" s="16">
        <v>45329</v>
      </c>
      <c r="B823" s="8">
        <v>498.1</v>
      </c>
      <c r="C823" s="11">
        <f t="shared" si="63"/>
        <v>473.8544</v>
      </c>
      <c r="D823" s="11">
        <f t="shared" si="62"/>
        <v>444.36034999999981</v>
      </c>
      <c r="E823" s="8"/>
      <c r="F823" s="8"/>
      <c r="G823" s="8">
        <f t="shared" ca="1" si="59"/>
        <v>473.8544</v>
      </c>
      <c r="H823" s="8">
        <f t="shared" ca="1" si="60"/>
        <v>444.36034999999981</v>
      </c>
      <c r="I823" s="12">
        <f ca="1">IF(AND('Data Analysis Addin'!$G823&lt;='Data Analysis Addin'!$H823,G824&gt;H824), 1, 0)</f>
        <v>0</v>
      </c>
      <c r="J823" s="2">
        <f t="shared" ca="1" si="61"/>
        <v>0</v>
      </c>
      <c r="K823" s="17">
        <f>YEAR('Data Analysis Addin'!$A823)</f>
        <v>2024</v>
      </c>
    </row>
    <row r="824" spans="1:11" x14ac:dyDescent="0.4">
      <c r="A824" s="18">
        <v>45330</v>
      </c>
      <c r="B824" s="9">
        <v>498.32</v>
      </c>
      <c r="C824" s="11">
        <f t="shared" si="63"/>
        <v>474.7312</v>
      </c>
      <c r="D824" s="11">
        <f t="shared" si="62"/>
        <v>444.78879999999992</v>
      </c>
      <c r="E824" s="9"/>
      <c r="F824" s="9"/>
      <c r="G824" s="9">
        <f t="shared" ca="1" si="59"/>
        <v>474.7312</v>
      </c>
      <c r="H824" s="9">
        <f t="shared" ca="1" si="60"/>
        <v>444.78879999999992</v>
      </c>
      <c r="I824" s="12">
        <f ca="1">IF(AND('Data Analysis Addin'!$G824&lt;='Data Analysis Addin'!$H824,G825&gt;H825), 1, 0)</f>
        <v>0</v>
      </c>
      <c r="J824" s="3">
        <f t="shared" ca="1" si="61"/>
        <v>0</v>
      </c>
      <c r="K824" s="19">
        <f>YEAR('Data Analysis Addin'!$A824)</f>
        <v>2024</v>
      </c>
    </row>
    <row r="825" spans="1:11" x14ac:dyDescent="0.4">
      <c r="A825" s="16">
        <v>45331</v>
      </c>
      <c r="B825" s="8">
        <v>501.2</v>
      </c>
      <c r="C825" s="11">
        <f t="shared" si="63"/>
        <v>475.65659999999997</v>
      </c>
      <c r="D825" s="11">
        <f t="shared" si="62"/>
        <v>445.26439999999985</v>
      </c>
      <c r="E825" s="8"/>
      <c r="F825" s="8"/>
      <c r="G825" s="8">
        <f t="shared" ca="1" si="59"/>
        <v>475.65659999999997</v>
      </c>
      <c r="H825" s="8">
        <f t="shared" ca="1" si="60"/>
        <v>445.26439999999985</v>
      </c>
      <c r="I825" s="12">
        <f ca="1">IF(AND('Data Analysis Addin'!$G825&lt;='Data Analysis Addin'!$H825,G826&gt;H826), 1, 0)</f>
        <v>0</v>
      </c>
      <c r="J825" s="2">
        <f t="shared" ca="1" si="61"/>
        <v>0</v>
      </c>
      <c r="K825" s="17">
        <f>YEAR('Data Analysis Addin'!$A825)</f>
        <v>2024</v>
      </c>
    </row>
    <row r="826" spans="1:11" x14ac:dyDescent="0.4">
      <c r="A826" s="18">
        <v>45334</v>
      </c>
      <c r="B826" s="9">
        <v>500.98</v>
      </c>
      <c r="C826" s="11">
        <f t="shared" si="63"/>
        <v>476.584</v>
      </c>
      <c r="D826" s="11">
        <f t="shared" si="62"/>
        <v>445.74749999999995</v>
      </c>
      <c r="E826" s="9"/>
      <c r="F826" s="9"/>
      <c r="G826" s="9">
        <f t="shared" ca="1" si="59"/>
        <v>476.584</v>
      </c>
      <c r="H826" s="9">
        <f t="shared" ca="1" si="60"/>
        <v>445.74749999999995</v>
      </c>
      <c r="I826" s="12">
        <f ca="1">IF(AND('Data Analysis Addin'!$G826&lt;='Data Analysis Addin'!$H826,G827&gt;H827), 1, 0)</f>
        <v>0</v>
      </c>
      <c r="J826" s="3">
        <f t="shared" ca="1" si="61"/>
        <v>0</v>
      </c>
      <c r="K826" s="19">
        <f>YEAR('Data Analysis Addin'!$A826)</f>
        <v>2024</v>
      </c>
    </row>
    <row r="827" spans="1:11" x14ac:dyDescent="0.4">
      <c r="A827" s="16">
        <v>45335</v>
      </c>
      <c r="B827" s="8">
        <v>494.08</v>
      </c>
      <c r="C827" s="11">
        <f t="shared" si="63"/>
        <v>477.33760000000001</v>
      </c>
      <c r="D827" s="11">
        <f t="shared" si="62"/>
        <v>446.15584999999993</v>
      </c>
      <c r="E827" s="8"/>
      <c r="F827" s="8"/>
      <c r="G827" s="8">
        <f t="shared" ca="1" si="59"/>
        <v>477.33760000000001</v>
      </c>
      <c r="H827" s="8">
        <f t="shared" ca="1" si="60"/>
        <v>446.15584999999993</v>
      </c>
      <c r="I827" s="12">
        <f ca="1">IF(AND('Data Analysis Addin'!$G827&lt;='Data Analysis Addin'!$H827,G828&gt;H828), 1, 0)</f>
        <v>0</v>
      </c>
      <c r="J827" s="2">
        <f t="shared" ca="1" si="61"/>
        <v>0</v>
      </c>
      <c r="K827" s="17">
        <f>YEAR('Data Analysis Addin'!$A827)</f>
        <v>2024</v>
      </c>
    </row>
    <row r="828" spans="1:11" x14ac:dyDescent="0.4">
      <c r="A828" s="18">
        <v>45336</v>
      </c>
      <c r="B828" s="9">
        <v>498.57</v>
      </c>
      <c r="C828" s="11">
        <f t="shared" si="63"/>
        <v>478.12700000000007</v>
      </c>
      <c r="D828" s="11">
        <f t="shared" si="62"/>
        <v>446.56904999999989</v>
      </c>
      <c r="E828" s="9"/>
      <c r="F828" s="9"/>
      <c r="G828" s="9">
        <f t="shared" ca="1" si="59"/>
        <v>478.12700000000007</v>
      </c>
      <c r="H828" s="9">
        <f t="shared" ca="1" si="60"/>
        <v>446.56904999999989</v>
      </c>
      <c r="I828" s="12">
        <f ca="1">IF(AND('Data Analysis Addin'!$G828&lt;='Data Analysis Addin'!$H828,G829&gt;H829), 1, 0)</f>
        <v>0</v>
      </c>
      <c r="J828" s="3">
        <f t="shared" ca="1" si="61"/>
        <v>0</v>
      </c>
      <c r="K828" s="19">
        <f>YEAR('Data Analysis Addin'!$A828)</f>
        <v>2024</v>
      </c>
    </row>
    <row r="829" spans="1:11" x14ac:dyDescent="0.4">
      <c r="A829" s="16">
        <v>45337</v>
      </c>
      <c r="B829" s="8">
        <v>502.01</v>
      </c>
      <c r="C829" s="11">
        <f t="shared" si="63"/>
        <v>479.03339999999997</v>
      </c>
      <c r="D829" s="11">
        <f t="shared" si="62"/>
        <v>447.0015499999999</v>
      </c>
      <c r="E829" s="8"/>
      <c r="F829" s="8"/>
      <c r="G829" s="8">
        <f t="shared" ca="1" si="59"/>
        <v>479.03339999999997</v>
      </c>
      <c r="H829" s="8">
        <f t="shared" ca="1" si="60"/>
        <v>447.0015499999999</v>
      </c>
      <c r="I829" s="12">
        <f ca="1">IF(AND('Data Analysis Addin'!$G829&lt;='Data Analysis Addin'!$H829,G830&gt;H830), 1, 0)</f>
        <v>0</v>
      </c>
      <c r="J829" s="2">
        <f t="shared" ca="1" si="61"/>
        <v>0</v>
      </c>
      <c r="K829" s="17">
        <f>YEAR('Data Analysis Addin'!$A829)</f>
        <v>2024</v>
      </c>
    </row>
    <row r="830" spans="1:11" x14ac:dyDescent="0.4">
      <c r="A830" s="18">
        <v>45338</v>
      </c>
      <c r="B830" s="9">
        <v>499.51</v>
      </c>
      <c r="C830" s="11">
        <f t="shared" si="63"/>
        <v>479.89160000000004</v>
      </c>
      <c r="D830" s="11">
        <f t="shared" si="62"/>
        <v>447.4448999999999</v>
      </c>
      <c r="E830" s="9"/>
      <c r="F830" s="9"/>
      <c r="G830" s="9">
        <f t="shared" ca="1" si="59"/>
        <v>479.89160000000004</v>
      </c>
      <c r="H830" s="9">
        <f t="shared" ca="1" si="60"/>
        <v>447.4448999999999</v>
      </c>
      <c r="I830" s="12">
        <f ca="1">IF(AND('Data Analysis Addin'!$G830&lt;='Data Analysis Addin'!$H830,G831&gt;H831), 1, 0)</f>
        <v>0</v>
      </c>
      <c r="J830" s="3">
        <f t="shared" ca="1" si="61"/>
        <v>0</v>
      </c>
      <c r="K830" s="19">
        <f>YEAR('Data Analysis Addin'!$A830)</f>
        <v>2024</v>
      </c>
    </row>
    <row r="831" spans="1:11" x14ac:dyDescent="0.4">
      <c r="A831" s="16">
        <v>45342</v>
      </c>
      <c r="B831" s="8">
        <v>496.76</v>
      </c>
      <c r="C831" s="11">
        <f t="shared" si="63"/>
        <v>480.7315999999999</v>
      </c>
      <c r="D831" s="11">
        <f t="shared" si="62"/>
        <v>447.88859999999988</v>
      </c>
      <c r="E831" s="8"/>
      <c r="F831" s="8"/>
      <c r="G831" s="8">
        <f t="shared" ca="1" si="59"/>
        <v>480.7315999999999</v>
      </c>
      <c r="H831" s="8">
        <f t="shared" ca="1" si="60"/>
        <v>447.88859999999988</v>
      </c>
      <c r="I831" s="12">
        <f ca="1">IF(AND('Data Analysis Addin'!$G831&lt;='Data Analysis Addin'!$H831,G832&gt;H832), 1, 0)</f>
        <v>0</v>
      </c>
      <c r="J831" s="2">
        <f t="shared" ca="1" si="61"/>
        <v>0</v>
      </c>
      <c r="K831" s="17">
        <f>YEAR('Data Analysis Addin'!$A831)</f>
        <v>2024</v>
      </c>
    </row>
    <row r="832" spans="1:11" x14ac:dyDescent="0.4">
      <c r="A832" s="18">
        <v>45343</v>
      </c>
      <c r="B832" s="9">
        <v>497.21</v>
      </c>
      <c r="C832" s="11">
        <f t="shared" si="63"/>
        <v>481.51119999999997</v>
      </c>
      <c r="D832" s="11">
        <f t="shared" si="62"/>
        <v>448.34899999999993</v>
      </c>
      <c r="E832" s="9"/>
      <c r="F832" s="9"/>
      <c r="G832" s="9">
        <f t="shared" ca="1" si="59"/>
        <v>481.51119999999997</v>
      </c>
      <c r="H832" s="9">
        <f t="shared" ca="1" si="60"/>
        <v>448.34899999999993</v>
      </c>
      <c r="I832" s="12">
        <f ca="1">IF(AND('Data Analysis Addin'!$G832&lt;='Data Analysis Addin'!$H832,G833&gt;H833), 1, 0)</f>
        <v>0</v>
      </c>
      <c r="J832" s="3">
        <f t="shared" ca="1" si="61"/>
        <v>0</v>
      </c>
      <c r="K832" s="19">
        <f>YEAR('Data Analysis Addin'!$A832)</f>
        <v>2024</v>
      </c>
    </row>
    <row r="833" spans="1:11" x14ac:dyDescent="0.4">
      <c r="A833" s="16">
        <v>45344</v>
      </c>
      <c r="B833" s="8">
        <v>507.5</v>
      </c>
      <c r="C833" s="11">
        <f t="shared" si="63"/>
        <v>482.45719999999989</v>
      </c>
      <c r="D833" s="11">
        <f t="shared" si="62"/>
        <v>448.82335</v>
      </c>
      <c r="E833" s="8"/>
      <c r="F833" s="8"/>
      <c r="G833" s="8">
        <f t="shared" ca="1" si="59"/>
        <v>482.45719999999989</v>
      </c>
      <c r="H833" s="8">
        <f t="shared" ca="1" si="60"/>
        <v>448.82335</v>
      </c>
      <c r="I833" s="12">
        <f ca="1">IF(AND('Data Analysis Addin'!$G833&lt;='Data Analysis Addin'!$H833,G834&gt;H834), 1, 0)</f>
        <v>0</v>
      </c>
      <c r="J833" s="2">
        <f t="shared" ca="1" si="61"/>
        <v>0</v>
      </c>
      <c r="K833" s="17">
        <f>YEAR('Data Analysis Addin'!$A833)</f>
        <v>2024</v>
      </c>
    </row>
    <row r="834" spans="1:11" x14ac:dyDescent="0.4">
      <c r="A834" s="18">
        <v>45345</v>
      </c>
      <c r="B834" s="9">
        <v>507.85</v>
      </c>
      <c r="C834" s="11">
        <f t="shared" si="63"/>
        <v>483.37439999999981</v>
      </c>
      <c r="D834" s="11">
        <f t="shared" si="62"/>
        <v>449.2989</v>
      </c>
      <c r="E834" s="9"/>
      <c r="F834" s="9"/>
      <c r="G834" s="9">
        <f t="shared" ca="1" si="59"/>
        <v>483.37439999999981</v>
      </c>
      <c r="H834" s="9">
        <f t="shared" ca="1" si="60"/>
        <v>449.2989</v>
      </c>
      <c r="I834" s="12">
        <f ca="1">IF(AND('Data Analysis Addin'!$G834&lt;='Data Analysis Addin'!$H834,G835&gt;H835), 1, 0)</f>
        <v>0</v>
      </c>
      <c r="J834" s="3">
        <f t="shared" ca="1" si="61"/>
        <v>0</v>
      </c>
      <c r="K834" s="19">
        <f>YEAR('Data Analysis Addin'!$A834)</f>
        <v>2024</v>
      </c>
    </row>
    <row r="835" spans="1:11" x14ac:dyDescent="0.4">
      <c r="A835" s="16">
        <v>45348</v>
      </c>
      <c r="B835" s="8">
        <v>505.99</v>
      </c>
      <c r="C835" s="11">
        <f t="shared" si="63"/>
        <v>484.21219999999988</v>
      </c>
      <c r="D835" s="11">
        <f t="shared" si="62"/>
        <v>449.77420000000001</v>
      </c>
      <c r="E835" s="8"/>
      <c r="F835" s="8"/>
      <c r="G835" s="8">
        <f t="shared" ref="G835:G898" ca="1" si="64">AVERAGE(OFFSET($B835,0,0,-(MIN(ROW()-ROW($B$3)+1,n_50)),1))</f>
        <v>484.21219999999988</v>
      </c>
      <c r="H835" s="8">
        <f t="shared" ref="H835:H898" ca="1" si="65">AVERAGE(OFFSET($B835,0,0,-(MIN(ROW()-ROW($B$3)+1,n_200)),1))</f>
        <v>449.77420000000001</v>
      </c>
      <c r="I835" s="12">
        <f ca="1">IF(AND('Data Analysis Addin'!$G835&lt;='Data Analysis Addin'!$H835,G836&gt;H836), 1, 0)</f>
        <v>0</v>
      </c>
      <c r="J835" s="2">
        <f t="shared" ref="J835:J898" ca="1" si="66">IF($G835&lt;$H835,1,0)</f>
        <v>0</v>
      </c>
      <c r="K835" s="17">
        <f>YEAR('Data Analysis Addin'!$A835)</f>
        <v>2024</v>
      </c>
    </row>
    <row r="836" spans="1:11" x14ac:dyDescent="0.4">
      <c r="A836" s="18">
        <v>45349</v>
      </c>
      <c r="B836" s="9">
        <v>506.93</v>
      </c>
      <c r="C836" s="11">
        <f t="shared" si="63"/>
        <v>484.94079999999997</v>
      </c>
      <c r="D836" s="11">
        <f t="shared" si="62"/>
        <v>450.24459999999993</v>
      </c>
      <c r="E836" s="9"/>
      <c r="F836" s="9"/>
      <c r="G836" s="9">
        <f t="shared" ca="1" si="64"/>
        <v>484.94079999999997</v>
      </c>
      <c r="H836" s="9">
        <f t="shared" ca="1" si="65"/>
        <v>450.24459999999993</v>
      </c>
      <c r="I836" s="12">
        <f ca="1">IF(AND('Data Analysis Addin'!$G836&lt;='Data Analysis Addin'!$H836,G837&gt;H837), 1, 0)</f>
        <v>0</v>
      </c>
      <c r="J836" s="3">
        <f t="shared" ca="1" si="66"/>
        <v>0</v>
      </c>
      <c r="K836" s="19">
        <f>YEAR('Data Analysis Addin'!$A836)</f>
        <v>2024</v>
      </c>
    </row>
    <row r="837" spans="1:11" x14ac:dyDescent="0.4">
      <c r="A837" s="16">
        <v>45350</v>
      </c>
      <c r="B837" s="8">
        <v>506.26</v>
      </c>
      <c r="C837" s="11">
        <f t="shared" si="63"/>
        <v>485.62579999999997</v>
      </c>
      <c r="D837" s="11">
        <f t="shared" si="62"/>
        <v>450.71524999999986</v>
      </c>
      <c r="E837" s="8"/>
      <c r="F837" s="8"/>
      <c r="G837" s="8">
        <f t="shared" ca="1" si="64"/>
        <v>485.62579999999997</v>
      </c>
      <c r="H837" s="8">
        <f t="shared" ca="1" si="65"/>
        <v>450.71524999999986</v>
      </c>
      <c r="I837" s="12">
        <f ca="1">IF(AND('Data Analysis Addin'!$G837&lt;='Data Analysis Addin'!$H837,G838&gt;H838), 1, 0)</f>
        <v>0</v>
      </c>
      <c r="J837" s="2">
        <f t="shared" ca="1" si="66"/>
        <v>0</v>
      </c>
      <c r="K837" s="17">
        <f>YEAR('Data Analysis Addin'!$A837)</f>
        <v>2024</v>
      </c>
    </row>
    <row r="838" spans="1:11" x14ac:dyDescent="0.4">
      <c r="A838" s="18">
        <v>45351</v>
      </c>
      <c r="B838" s="9">
        <v>508.08</v>
      </c>
      <c r="C838" s="11">
        <f t="shared" si="63"/>
        <v>486.40079999999995</v>
      </c>
      <c r="D838" s="11">
        <f t="shared" si="62"/>
        <v>451.19769999999988</v>
      </c>
      <c r="E838" s="9"/>
      <c r="F838" s="9"/>
      <c r="G838" s="9">
        <f t="shared" ca="1" si="64"/>
        <v>486.40079999999995</v>
      </c>
      <c r="H838" s="9">
        <f t="shared" ca="1" si="65"/>
        <v>451.19769999999988</v>
      </c>
      <c r="I838" s="12">
        <f ca="1">IF(AND('Data Analysis Addin'!$G838&lt;='Data Analysis Addin'!$H838,G839&gt;H839), 1, 0)</f>
        <v>0</v>
      </c>
      <c r="J838" s="3">
        <f t="shared" ca="1" si="66"/>
        <v>0</v>
      </c>
      <c r="K838" s="19">
        <f>YEAR('Data Analysis Addin'!$A838)</f>
        <v>2024</v>
      </c>
    </row>
    <row r="839" spans="1:11" x14ac:dyDescent="0.4">
      <c r="A839" s="16">
        <v>45352</v>
      </c>
      <c r="B839" s="8">
        <v>512.85</v>
      </c>
      <c r="C839" s="11">
        <f t="shared" si="63"/>
        <v>487.21839999999997</v>
      </c>
      <c r="D839" s="11">
        <f t="shared" si="62"/>
        <v>451.69689999999997</v>
      </c>
      <c r="E839" s="8"/>
      <c r="F839" s="8"/>
      <c r="G839" s="8">
        <f t="shared" ca="1" si="64"/>
        <v>487.21839999999997</v>
      </c>
      <c r="H839" s="8">
        <f t="shared" ca="1" si="65"/>
        <v>451.69689999999997</v>
      </c>
      <c r="I839" s="12">
        <f ca="1">IF(AND('Data Analysis Addin'!$G839&lt;='Data Analysis Addin'!$H839,G840&gt;H840), 1, 0)</f>
        <v>0</v>
      </c>
      <c r="J839" s="2">
        <f t="shared" ca="1" si="66"/>
        <v>0</v>
      </c>
      <c r="K839" s="17">
        <f>YEAR('Data Analysis Addin'!$A839)</f>
        <v>2024</v>
      </c>
    </row>
    <row r="840" spans="1:11" x14ac:dyDescent="0.4">
      <c r="A840" s="18">
        <v>45355</v>
      </c>
      <c r="B840" s="9">
        <v>512.29999999999995</v>
      </c>
      <c r="C840" s="11">
        <f t="shared" si="63"/>
        <v>487.96759999999995</v>
      </c>
      <c r="D840" s="11">
        <f t="shared" si="62"/>
        <v>452.2071499999999</v>
      </c>
      <c r="E840" s="9"/>
      <c r="F840" s="9"/>
      <c r="G840" s="9">
        <f t="shared" ca="1" si="64"/>
        <v>487.96759999999995</v>
      </c>
      <c r="H840" s="9">
        <f t="shared" ca="1" si="65"/>
        <v>452.2071499999999</v>
      </c>
      <c r="I840" s="12">
        <f ca="1">IF(AND('Data Analysis Addin'!$G840&lt;='Data Analysis Addin'!$H840,G841&gt;H841), 1, 0)</f>
        <v>0</v>
      </c>
      <c r="J840" s="3">
        <f t="shared" ca="1" si="66"/>
        <v>0</v>
      </c>
      <c r="K840" s="19">
        <f>YEAR('Data Analysis Addin'!$A840)</f>
        <v>2024</v>
      </c>
    </row>
    <row r="841" spans="1:11" x14ac:dyDescent="0.4">
      <c r="A841" s="16">
        <v>45356</v>
      </c>
      <c r="B841" s="8">
        <v>507.18</v>
      </c>
      <c r="C841" s="11">
        <f t="shared" si="63"/>
        <v>488.74599999999998</v>
      </c>
      <c r="D841" s="11">
        <f t="shared" si="62"/>
        <v>452.66689999999988</v>
      </c>
      <c r="E841" s="8"/>
      <c r="F841" s="8"/>
      <c r="G841" s="8">
        <f t="shared" ca="1" si="64"/>
        <v>488.74599999999998</v>
      </c>
      <c r="H841" s="8">
        <f t="shared" ca="1" si="65"/>
        <v>452.66689999999988</v>
      </c>
      <c r="I841" s="12">
        <f ca="1">IF(AND('Data Analysis Addin'!$G841&lt;='Data Analysis Addin'!$H841,G842&gt;H842), 1, 0)</f>
        <v>0</v>
      </c>
      <c r="J841" s="2">
        <f t="shared" ca="1" si="66"/>
        <v>0</v>
      </c>
      <c r="K841" s="17">
        <f>YEAR('Data Analysis Addin'!$A841)</f>
        <v>2024</v>
      </c>
    </row>
    <row r="842" spans="1:11" x14ac:dyDescent="0.4">
      <c r="A842" s="18">
        <v>45357</v>
      </c>
      <c r="B842" s="9">
        <v>509.75</v>
      </c>
      <c r="C842" s="11">
        <f t="shared" si="63"/>
        <v>489.48699999999997</v>
      </c>
      <c r="D842" s="11">
        <f t="shared" ref="D842:D905" si="67">AVERAGE(B643:B842)</f>
        <v>453.1194999999999</v>
      </c>
      <c r="E842" s="9"/>
      <c r="F842" s="9"/>
      <c r="G842" s="9">
        <f t="shared" ca="1" si="64"/>
        <v>489.48699999999997</v>
      </c>
      <c r="H842" s="9">
        <f t="shared" ca="1" si="65"/>
        <v>453.1194999999999</v>
      </c>
      <c r="I842" s="12">
        <f ca="1">IF(AND('Data Analysis Addin'!$G842&lt;='Data Analysis Addin'!$H842,G843&gt;H843), 1, 0)</f>
        <v>0</v>
      </c>
      <c r="J842" s="3">
        <f t="shared" ca="1" si="66"/>
        <v>0</v>
      </c>
      <c r="K842" s="19">
        <f>YEAR('Data Analysis Addin'!$A842)</f>
        <v>2024</v>
      </c>
    </row>
    <row r="843" spans="1:11" x14ac:dyDescent="0.4">
      <c r="A843" s="16">
        <v>45358</v>
      </c>
      <c r="B843" s="8">
        <v>514.80999999999995</v>
      </c>
      <c r="C843" s="11">
        <f t="shared" si="63"/>
        <v>490.31019999999995</v>
      </c>
      <c r="D843" s="11">
        <f t="shared" si="67"/>
        <v>453.60044999999997</v>
      </c>
      <c r="E843" s="8"/>
      <c r="F843" s="8"/>
      <c r="G843" s="8">
        <f t="shared" ca="1" si="64"/>
        <v>490.31019999999995</v>
      </c>
      <c r="H843" s="8">
        <f t="shared" ca="1" si="65"/>
        <v>453.60044999999997</v>
      </c>
      <c r="I843" s="12">
        <f ca="1">IF(AND('Data Analysis Addin'!$G843&lt;='Data Analysis Addin'!$H843,G844&gt;H844), 1, 0)</f>
        <v>0</v>
      </c>
      <c r="J843" s="2">
        <f t="shared" ca="1" si="66"/>
        <v>0</v>
      </c>
      <c r="K843" s="17">
        <f>YEAR('Data Analysis Addin'!$A843)</f>
        <v>2024</v>
      </c>
    </row>
    <row r="844" spans="1:11" x14ac:dyDescent="0.4">
      <c r="A844" s="18">
        <v>45359</v>
      </c>
      <c r="B844" s="9">
        <v>511.72</v>
      </c>
      <c r="C844" s="11">
        <f t="shared" si="63"/>
        <v>491.03159999999991</v>
      </c>
      <c r="D844" s="11">
        <f t="shared" si="67"/>
        <v>454.06509999999997</v>
      </c>
      <c r="E844" s="9"/>
      <c r="F844" s="9"/>
      <c r="G844" s="9">
        <f t="shared" ca="1" si="64"/>
        <v>491.03159999999991</v>
      </c>
      <c r="H844" s="9">
        <f t="shared" ca="1" si="65"/>
        <v>454.06509999999997</v>
      </c>
      <c r="I844" s="12">
        <f ca="1">IF(AND('Data Analysis Addin'!$G844&lt;='Data Analysis Addin'!$H844,G845&gt;H845), 1, 0)</f>
        <v>0</v>
      </c>
      <c r="J844" s="3">
        <f t="shared" ca="1" si="66"/>
        <v>0</v>
      </c>
      <c r="K844" s="19">
        <f>YEAR('Data Analysis Addin'!$A844)</f>
        <v>2024</v>
      </c>
    </row>
    <row r="845" spans="1:11" x14ac:dyDescent="0.4">
      <c r="A845" s="16">
        <v>45362</v>
      </c>
      <c r="B845" s="8">
        <v>511.28</v>
      </c>
      <c r="C845" s="11">
        <f t="shared" si="63"/>
        <v>491.72699999999992</v>
      </c>
      <c r="D845" s="11">
        <f t="shared" si="67"/>
        <v>454.55105000000003</v>
      </c>
      <c r="E845" s="8"/>
      <c r="F845" s="8"/>
      <c r="G845" s="8">
        <f t="shared" ca="1" si="64"/>
        <v>491.72699999999992</v>
      </c>
      <c r="H845" s="8">
        <f t="shared" ca="1" si="65"/>
        <v>454.55105000000003</v>
      </c>
      <c r="I845" s="12">
        <f ca="1">IF(AND('Data Analysis Addin'!$G845&lt;='Data Analysis Addin'!$H845,G846&gt;H846), 1, 0)</f>
        <v>0</v>
      </c>
      <c r="J845" s="2">
        <f t="shared" ca="1" si="66"/>
        <v>0</v>
      </c>
      <c r="K845" s="17">
        <f>YEAR('Data Analysis Addin'!$A845)</f>
        <v>2024</v>
      </c>
    </row>
    <row r="846" spans="1:11" x14ac:dyDescent="0.4">
      <c r="A846" s="18">
        <v>45363</v>
      </c>
      <c r="B846" s="9">
        <v>516.78</v>
      </c>
      <c r="C846" s="11">
        <f t="shared" si="63"/>
        <v>492.52879999999988</v>
      </c>
      <c r="D846" s="11">
        <f t="shared" si="67"/>
        <v>455.07950000000005</v>
      </c>
      <c r="E846" s="9"/>
      <c r="F846" s="9"/>
      <c r="G846" s="9">
        <f t="shared" ca="1" si="64"/>
        <v>492.52879999999988</v>
      </c>
      <c r="H846" s="9">
        <f t="shared" ca="1" si="65"/>
        <v>455.07950000000005</v>
      </c>
      <c r="I846" s="12">
        <f ca="1">IF(AND('Data Analysis Addin'!$G846&lt;='Data Analysis Addin'!$H846,G847&gt;H847), 1, 0)</f>
        <v>0</v>
      </c>
      <c r="J846" s="3">
        <f t="shared" ca="1" si="66"/>
        <v>0</v>
      </c>
      <c r="K846" s="19">
        <f>YEAR('Data Analysis Addin'!$A846)</f>
        <v>2024</v>
      </c>
    </row>
    <row r="847" spans="1:11" x14ac:dyDescent="0.4">
      <c r="A847" s="16">
        <v>45364</v>
      </c>
      <c r="B847" s="8">
        <v>515.97</v>
      </c>
      <c r="C847" s="11">
        <f t="shared" si="63"/>
        <v>493.34199999999998</v>
      </c>
      <c r="D847" s="11">
        <f t="shared" si="67"/>
        <v>455.5861000000001</v>
      </c>
      <c r="E847" s="8"/>
      <c r="F847" s="8"/>
      <c r="G847" s="8">
        <f t="shared" ca="1" si="64"/>
        <v>493.34199999999998</v>
      </c>
      <c r="H847" s="8">
        <f t="shared" ca="1" si="65"/>
        <v>455.5861000000001</v>
      </c>
      <c r="I847" s="12">
        <f ca="1">IF(AND('Data Analysis Addin'!$G847&lt;='Data Analysis Addin'!$H847,G848&gt;H848), 1, 0)</f>
        <v>0</v>
      </c>
      <c r="J847" s="2">
        <f t="shared" ca="1" si="66"/>
        <v>0</v>
      </c>
      <c r="K847" s="17">
        <f>YEAR('Data Analysis Addin'!$A847)</f>
        <v>2024</v>
      </c>
    </row>
    <row r="848" spans="1:11" x14ac:dyDescent="0.4">
      <c r="A848" s="18">
        <v>45365</v>
      </c>
      <c r="B848" s="9">
        <v>514.95000000000005</v>
      </c>
      <c r="C848" s="11">
        <f t="shared" si="63"/>
        <v>494.18799999999993</v>
      </c>
      <c r="D848" s="11">
        <f t="shared" si="67"/>
        <v>456.06075000000004</v>
      </c>
      <c r="E848" s="9"/>
      <c r="F848" s="9"/>
      <c r="G848" s="9">
        <f t="shared" ca="1" si="64"/>
        <v>494.18799999999993</v>
      </c>
      <c r="H848" s="9">
        <f t="shared" ca="1" si="65"/>
        <v>456.06075000000004</v>
      </c>
      <c r="I848" s="12">
        <f ca="1">IF(AND('Data Analysis Addin'!$G848&lt;='Data Analysis Addin'!$H848,G849&gt;H849), 1, 0)</f>
        <v>0</v>
      </c>
      <c r="J848" s="3">
        <f t="shared" ca="1" si="66"/>
        <v>0</v>
      </c>
      <c r="K848" s="19">
        <f>YEAR('Data Analysis Addin'!$A848)</f>
        <v>2024</v>
      </c>
    </row>
    <row r="849" spans="1:11" x14ac:dyDescent="0.4">
      <c r="A849" s="16">
        <v>45366</v>
      </c>
      <c r="B849" s="8">
        <v>509.83</v>
      </c>
      <c r="C849" s="11">
        <f t="shared" si="63"/>
        <v>495.00879999999995</v>
      </c>
      <c r="D849" s="11">
        <f t="shared" si="67"/>
        <v>456.50900000000007</v>
      </c>
      <c r="E849" s="8"/>
      <c r="F849" s="8"/>
      <c r="G849" s="8">
        <f t="shared" ca="1" si="64"/>
        <v>495.00879999999995</v>
      </c>
      <c r="H849" s="8">
        <f t="shared" ca="1" si="65"/>
        <v>456.50900000000007</v>
      </c>
      <c r="I849" s="12">
        <f ca="1">IF(AND('Data Analysis Addin'!$G849&lt;='Data Analysis Addin'!$H849,G850&gt;H850), 1, 0)</f>
        <v>0</v>
      </c>
      <c r="J849" s="2">
        <f t="shared" ca="1" si="66"/>
        <v>0</v>
      </c>
      <c r="K849" s="17">
        <f>YEAR('Data Analysis Addin'!$A849)</f>
        <v>2024</v>
      </c>
    </row>
    <row r="850" spans="1:11" x14ac:dyDescent="0.4">
      <c r="A850" s="18">
        <v>45369</v>
      </c>
      <c r="B850" s="9">
        <v>512.86</v>
      </c>
      <c r="C850" s="11">
        <f t="shared" si="63"/>
        <v>495.92040000000009</v>
      </c>
      <c r="D850" s="11">
        <f t="shared" si="67"/>
        <v>456.98405000000014</v>
      </c>
      <c r="E850" s="9"/>
      <c r="F850" s="9"/>
      <c r="G850" s="9">
        <f t="shared" ca="1" si="64"/>
        <v>495.92040000000009</v>
      </c>
      <c r="H850" s="9">
        <f t="shared" ca="1" si="65"/>
        <v>456.98405000000014</v>
      </c>
      <c r="I850" s="12">
        <f ca="1">IF(AND('Data Analysis Addin'!$G850&lt;='Data Analysis Addin'!$H850,G851&gt;H851), 1, 0)</f>
        <v>0</v>
      </c>
      <c r="J850" s="3">
        <f t="shared" ca="1" si="66"/>
        <v>0</v>
      </c>
      <c r="K850" s="19">
        <f>YEAR('Data Analysis Addin'!$A850)</f>
        <v>2024</v>
      </c>
    </row>
    <row r="851" spans="1:11" x14ac:dyDescent="0.4">
      <c r="A851" s="16">
        <v>45370</v>
      </c>
      <c r="B851" s="8">
        <v>515.71</v>
      </c>
      <c r="C851" s="11">
        <f t="shared" si="63"/>
        <v>496.87620000000004</v>
      </c>
      <c r="D851" s="11">
        <f t="shared" si="67"/>
        <v>457.45350000000019</v>
      </c>
      <c r="E851" s="8"/>
      <c r="F851" s="8"/>
      <c r="G851" s="8">
        <f t="shared" ca="1" si="64"/>
        <v>496.87620000000004</v>
      </c>
      <c r="H851" s="8">
        <f t="shared" ca="1" si="65"/>
        <v>457.45350000000019</v>
      </c>
      <c r="I851" s="12">
        <f ca="1">IF(AND('Data Analysis Addin'!$G851&lt;='Data Analysis Addin'!$H851,G852&gt;H852), 1, 0)</f>
        <v>0</v>
      </c>
      <c r="J851" s="2">
        <f t="shared" ca="1" si="66"/>
        <v>0</v>
      </c>
      <c r="K851" s="17">
        <f>YEAR('Data Analysis Addin'!$A851)</f>
        <v>2024</v>
      </c>
    </row>
    <row r="852" spans="1:11" x14ac:dyDescent="0.4">
      <c r="A852" s="18">
        <v>45371</v>
      </c>
      <c r="B852" s="9">
        <v>520.48</v>
      </c>
      <c r="C852" s="11">
        <f t="shared" si="63"/>
        <v>497.79380000000003</v>
      </c>
      <c r="D852" s="11">
        <f t="shared" si="67"/>
        <v>457.91630000000021</v>
      </c>
      <c r="E852" s="9"/>
      <c r="F852" s="9"/>
      <c r="G852" s="9">
        <f t="shared" ca="1" si="64"/>
        <v>497.79380000000003</v>
      </c>
      <c r="H852" s="9">
        <f t="shared" ca="1" si="65"/>
        <v>457.91630000000021</v>
      </c>
      <c r="I852" s="12">
        <f ca="1">IF(AND('Data Analysis Addin'!$G852&lt;='Data Analysis Addin'!$H852,G853&gt;H853), 1, 0)</f>
        <v>0</v>
      </c>
      <c r="J852" s="3">
        <f t="shared" ca="1" si="66"/>
        <v>0</v>
      </c>
      <c r="K852" s="19">
        <f>YEAR('Data Analysis Addin'!$A852)</f>
        <v>2024</v>
      </c>
    </row>
    <row r="853" spans="1:11" x14ac:dyDescent="0.4">
      <c r="A853" s="16">
        <v>45372</v>
      </c>
      <c r="B853" s="8">
        <v>522.20000000000005</v>
      </c>
      <c r="C853" s="11">
        <f t="shared" si="63"/>
        <v>498.76020000000005</v>
      </c>
      <c r="D853" s="11">
        <f t="shared" si="67"/>
        <v>458.39180000000016</v>
      </c>
      <c r="E853" s="8"/>
      <c r="F853" s="8"/>
      <c r="G853" s="8">
        <f t="shared" ca="1" si="64"/>
        <v>498.76020000000005</v>
      </c>
      <c r="H853" s="8">
        <f t="shared" ca="1" si="65"/>
        <v>458.39180000000016</v>
      </c>
      <c r="I853" s="12">
        <f ca="1">IF(AND('Data Analysis Addin'!$G853&lt;='Data Analysis Addin'!$H853,G854&gt;H854), 1, 0)</f>
        <v>0</v>
      </c>
      <c r="J853" s="2">
        <f t="shared" ca="1" si="66"/>
        <v>0</v>
      </c>
      <c r="K853" s="17">
        <f>YEAR('Data Analysis Addin'!$A853)</f>
        <v>2024</v>
      </c>
    </row>
    <row r="854" spans="1:11" x14ac:dyDescent="0.4">
      <c r="A854" s="18">
        <v>45373</v>
      </c>
      <c r="B854" s="9">
        <v>521.21</v>
      </c>
      <c r="C854" s="11">
        <f t="shared" si="63"/>
        <v>499.65320000000008</v>
      </c>
      <c r="D854" s="11">
        <f t="shared" si="67"/>
        <v>458.85770000000019</v>
      </c>
      <c r="E854" s="9"/>
      <c r="F854" s="9"/>
      <c r="G854" s="9">
        <f t="shared" ca="1" si="64"/>
        <v>499.65320000000008</v>
      </c>
      <c r="H854" s="9">
        <f t="shared" ca="1" si="65"/>
        <v>458.85770000000019</v>
      </c>
      <c r="I854" s="12">
        <f ca="1">IF(AND('Data Analysis Addin'!$G854&lt;='Data Analysis Addin'!$H854,G855&gt;H855), 1, 0)</f>
        <v>0</v>
      </c>
      <c r="J854" s="3">
        <f t="shared" ca="1" si="66"/>
        <v>0</v>
      </c>
      <c r="K854" s="19">
        <f>YEAR('Data Analysis Addin'!$A854)</f>
        <v>2024</v>
      </c>
    </row>
    <row r="855" spans="1:11" x14ac:dyDescent="0.4">
      <c r="A855" s="16">
        <v>45376</v>
      </c>
      <c r="B855" s="8">
        <v>519.77</v>
      </c>
      <c r="C855" s="11">
        <f t="shared" si="63"/>
        <v>500.52160000000003</v>
      </c>
      <c r="D855" s="11">
        <f t="shared" si="67"/>
        <v>459.32380000000018</v>
      </c>
      <c r="E855" s="8"/>
      <c r="F855" s="8"/>
      <c r="G855" s="8">
        <f t="shared" ca="1" si="64"/>
        <v>500.52160000000003</v>
      </c>
      <c r="H855" s="8">
        <f t="shared" ca="1" si="65"/>
        <v>459.32380000000018</v>
      </c>
      <c r="I855" s="12">
        <f ca="1">IF(AND('Data Analysis Addin'!$G855&lt;='Data Analysis Addin'!$H855,G856&gt;H856), 1, 0)</f>
        <v>0</v>
      </c>
      <c r="J855" s="2">
        <f t="shared" ca="1" si="66"/>
        <v>0</v>
      </c>
      <c r="K855" s="17">
        <f>YEAR('Data Analysis Addin'!$A855)</f>
        <v>2024</v>
      </c>
    </row>
    <row r="856" spans="1:11" x14ac:dyDescent="0.4">
      <c r="A856" s="18">
        <v>45377</v>
      </c>
      <c r="B856" s="9">
        <v>518.80999999999995</v>
      </c>
      <c r="C856" s="11">
        <f t="shared" si="63"/>
        <v>501.36420000000015</v>
      </c>
      <c r="D856" s="11">
        <f t="shared" si="67"/>
        <v>459.77220000000017</v>
      </c>
      <c r="E856" s="9"/>
      <c r="F856" s="9"/>
      <c r="G856" s="9">
        <f t="shared" ca="1" si="64"/>
        <v>501.36420000000015</v>
      </c>
      <c r="H856" s="9">
        <f t="shared" ca="1" si="65"/>
        <v>459.77220000000017</v>
      </c>
      <c r="I856" s="12">
        <f ca="1">IF(AND('Data Analysis Addin'!$G856&lt;='Data Analysis Addin'!$H856,G857&gt;H857), 1, 0)</f>
        <v>0</v>
      </c>
      <c r="J856" s="3">
        <f t="shared" ca="1" si="66"/>
        <v>0</v>
      </c>
      <c r="K856" s="19">
        <f>YEAR('Data Analysis Addin'!$A856)</f>
        <v>2024</v>
      </c>
    </row>
    <row r="857" spans="1:11" x14ac:dyDescent="0.4">
      <c r="A857" s="16">
        <v>45378</v>
      </c>
      <c r="B857" s="8">
        <v>523.16999999999996</v>
      </c>
      <c r="C857" s="11">
        <f t="shared" si="63"/>
        <v>502.32900000000001</v>
      </c>
      <c r="D857" s="11">
        <f t="shared" si="67"/>
        <v>460.23855000000009</v>
      </c>
      <c r="E857" s="8"/>
      <c r="F857" s="8"/>
      <c r="G857" s="8">
        <f t="shared" ca="1" si="64"/>
        <v>502.32900000000001</v>
      </c>
      <c r="H857" s="8">
        <f t="shared" ca="1" si="65"/>
        <v>460.23855000000009</v>
      </c>
      <c r="I857" s="12">
        <f ca="1">IF(AND('Data Analysis Addin'!$G857&lt;='Data Analysis Addin'!$H857,G858&gt;H858), 1, 0)</f>
        <v>0</v>
      </c>
      <c r="J857" s="2">
        <f t="shared" ca="1" si="66"/>
        <v>0</v>
      </c>
      <c r="K857" s="17">
        <f>YEAR('Data Analysis Addin'!$A857)</f>
        <v>2024</v>
      </c>
    </row>
    <row r="858" spans="1:11" x14ac:dyDescent="0.4">
      <c r="A858" s="18">
        <v>45379</v>
      </c>
      <c r="B858" s="9">
        <v>523.07000000000005</v>
      </c>
      <c r="C858" s="11">
        <f t="shared" si="63"/>
        <v>503.34460000000007</v>
      </c>
      <c r="D858" s="11">
        <f t="shared" si="67"/>
        <v>460.68490000000014</v>
      </c>
      <c r="E858" s="9"/>
      <c r="F858" s="9"/>
      <c r="G858" s="9">
        <f t="shared" ca="1" si="64"/>
        <v>503.34460000000007</v>
      </c>
      <c r="H858" s="9">
        <f t="shared" ca="1" si="65"/>
        <v>460.68490000000014</v>
      </c>
      <c r="I858" s="12">
        <f ca="1">IF(AND('Data Analysis Addin'!$G858&lt;='Data Analysis Addin'!$H858,G859&gt;H859), 1, 0)</f>
        <v>0</v>
      </c>
      <c r="J858" s="3">
        <f t="shared" ca="1" si="66"/>
        <v>0</v>
      </c>
      <c r="K858" s="19">
        <f>YEAR('Data Analysis Addin'!$A858)</f>
        <v>2024</v>
      </c>
    </row>
    <row r="859" spans="1:11" x14ac:dyDescent="0.4">
      <c r="A859" s="16">
        <v>45383</v>
      </c>
      <c r="B859" s="8">
        <v>522.16</v>
      </c>
      <c r="C859" s="11">
        <f t="shared" si="63"/>
        <v>504.2580000000001</v>
      </c>
      <c r="D859" s="11">
        <f t="shared" si="67"/>
        <v>461.11240000000015</v>
      </c>
      <c r="E859" s="8"/>
      <c r="F859" s="8"/>
      <c r="G859" s="8">
        <f t="shared" ca="1" si="64"/>
        <v>504.2580000000001</v>
      </c>
      <c r="H859" s="8">
        <f t="shared" ca="1" si="65"/>
        <v>461.11240000000015</v>
      </c>
      <c r="I859" s="12">
        <f ca="1">IF(AND('Data Analysis Addin'!$G859&lt;='Data Analysis Addin'!$H859,G860&gt;H860), 1, 0)</f>
        <v>0</v>
      </c>
      <c r="J859" s="2">
        <f t="shared" ca="1" si="66"/>
        <v>0</v>
      </c>
      <c r="K859" s="17">
        <f>YEAR('Data Analysis Addin'!$A859)</f>
        <v>2024</v>
      </c>
    </row>
    <row r="860" spans="1:11" x14ac:dyDescent="0.4">
      <c r="A860" s="18">
        <v>45384</v>
      </c>
      <c r="B860" s="9">
        <v>518.84</v>
      </c>
      <c r="C860" s="11">
        <f t="shared" si="63"/>
        <v>504.98620000000005</v>
      </c>
      <c r="D860" s="11">
        <f t="shared" si="67"/>
        <v>461.52070000000015</v>
      </c>
      <c r="E860" s="9"/>
      <c r="F860" s="9"/>
      <c r="G860" s="9">
        <f t="shared" ca="1" si="64"/>
        <v>504.98620000000005</v>
      </c>
      <c r="H860" s="9">
        <f t="shared" ca="1" si="65"/>
        <v>461.52070000000015</v>
      </c>
      <c r="I860" s="12">
        <f ca="1">IF(AND('Data Analysis Addin'!$G860&lt;='Data Analysis Addin'!$H860,G861&gt;H861), 1, 0)</f>
        <v>0</v>
      </c>
      <c r="J860" s="3">
        <f t="shared" ca="1" si="66"/>
        <v>0</v>
      </c>
      <c r="K860" s="19">
        <f>YEAR('Data Analysis Addin'!$A860)</f>
        <v>2024</v>
      </c>
    </row>
    <row r="861" spans="1:11" x14ac:dyDescent="0.4">
      <c r="A861" s="16">
        <v>45385</v>
      </c>
      <c r="B861" s="8">
        <v>519.41</v>
      </c>
      <c r="C861" s="11">
        <f t="shared" si="63"/>
        <v>505.7054</v>
      </c>
      <c r="D861" s="11">
        <f t="shared" si="67"/>
        <v>461.90475000000021</v>
      </c>
      <c r="E861" s="8"/>
      <c r="F861" s="8"/>
      <c r="G861" s="8">
        <f t="shared" ca="1" si="64"/>
        <v>505.7054</v>
      </c>
      <c r="H861" s="8">
        <f t="shared" ca="1" si="65"/>
        <v>461.90475000000021</v>
      </c>
      <c r="I861" s="12">
        <f ca="1">IF(AND('Data Analysis Addin'!$G861&lt;='Data Analysis Addin'!$H861,G862&gt;H862), 1, 0)</f>
        <v>0</v>
      </c>
      <c r="J861" s="2">
        <f t="shared" ca="1" si="66"/>
        <v>0</v>
      </c>
      <c r="K861" s="17">
        <f>YEAR('Data Analysis Addin'!$A861)</f>
        <v>2024</v>
      </c>
    </row>
    <row r="862" spans="1:11" x14ac:dyDescent="0.4">
      <c r="A862" s="18">
        <v>45386</v>
      </c>
      <c r="B862" s="9">
        <v>513.07000000000005</v>
      </c>
      <c r="C862" s="11">
        <f t="shared" si="63"/>
        <v>506.26959999999997</v>
      </c>
      <c r="D862" s="11">
        <f t="shared" si="67"/>
        <v>462.2728000000003</v>
      </c>
      <c r="E862" s="9"/>
      <c r="F862" s="9"/>
      <c r="G862" s="9">
        <f t="shared" ca="1" si="64"/>
        <v>506.26959999999997</v>
      </c>
      <c r="H862" s="9">
        <f t="shared" ca="1" si="65"/>
        <v>462.2728000000003</v>
      </c>
      <c r="I862" s="12">
        <f ca="1">IF(AND('Data Analysis Addin'!$G862&lt;='Data Analysis Addin'!$H862,G863&gt;H863), 1, 0)</f>
        <v>0</v>
      </c>
      <c r="J862" s="3">
        <f t="shared" ca="1" si="66"/>
        <v>0</v>
      </c>
      <c r="K862" s="19">
        <f>YEAR('Data Analysis Addin'!$A862)</f>
        <v>2024</v>
      </c>
    </row>
    <row r="863" spans="1:11" x14ac:dyDescent="0.4">
      <c r="A863" s="16">
        <v>45387</v>
      </c>
      <c r="B863" s="8">
        <v>518.42999999999995</v>
      </c>
      <c r="C863" s="11">
        <f t="shared" si="63"/>
        <v>506.93040000000002</v>
      </c>
      <c r="D863" s="11">
        <f t="shared" si="67"/>
        <v>462.67905000000019</v>
      </c>
      <c r="E863" s="8"/>
      <c r="F863" s="8"/>
      <c r="G863" s="8">
        <f t="shared" ca="1" si="64"/>
        <v>506.93040000000002</v>
      </c>
      <c r="H863" s="8">
        <f t="shared" ca="1" si="65"/>
        <v>462.67905000000019</v>
      </c>
      <c r="I863" s="12">
        <f ca="1">IF(AND('Data Analysis Addin'!$G863&lt;='Data Analysis Addin'!$H863,G864&gt;H864), 1, 0)</f>
        <v>0</v>
      </c>
      <c r="J863" s="2">
        <f t="shared" ca="1" si="66"/>
        <v>0</v>
      </c>
      <c r="K863" s="17">
        <f>YEAR('Data Analysis Addin'!$A863)</f>
        <v>2024</v>
      </c>
    </row>
    <row r="864" spans="1:11" x14ac:dyDescent="0.4">
      <c r="A864" s="18">
        <v>45390</v>
      </c>
      <c r="B864" s="9">
        <v>518.72</v>
      </c>
      <c r="C864" s="11">
        <f t="shared" si="63"/>
        <v>507.54420000000005</v>
      </c>
      <c r="D864" s="11">
        <f t="shared" si="67"/>
        <v>463.0979500000002</v>
      </c>
      <c r="E864" s="9"/>
      <c r="F864" s="9"/>
      <c r="G864" s="9">
        <f t="shared" ca="1" si="64"/>
        <v>507.54420000000005</v>
      </c>
      <c r="H864" s="9">
        <f t="shared" ca="1" si="65"/>
        <v>463.0979500000002</v>
      </c>
      <c r="I864" s="12">
        <f ca="1">IF(AND('Data Analysis Addin'!$G864&lt;='Data Analysis Addin'!$H864,G865&gt;H865), 1, 0)</f>
        <v>0</v>
      </c>
      <c r="J864" s="3">
        <f t="shared" ca="1" si="66"/>
        <v>0</v>
      </c>
      <c r="K864" s="19">
        <f>YEAR('Data Analysis Addin'!$A864)</f>
        <v>2024</v>
      </c>
    </row>
    <row r="865" spans="1:11" x14ac:dyDescent="0.4">
      <c r="A865" s="16">
        <v>45391</v>
      </c>
      <c r="B865" s="8">
        <v>519.32000000000005</v>
      </c>
      <c r="C865" s="11">
        <f t="shared" si="63"/>
        <v>508.18239999999997</v>
      </c>
      <c r="D865" s="11">
        <f t="shared" si="67"/>
        <v>463.51200000000028</v>
      </c>
      <c r="E865" s="8"/>
      <c r="F865" s="8"/>
      <c r="G865" s="8">
        <f t="shared" ca="1" si="64"/>
        <v>508.18239999999997</v>
      </c>
      <c r="H865" s="8">
        <f t="shared" ca="1" si="65"/>
        <v>463.51200000000028</v>
      </c>
      <c r="I865" s="12">
        <f ca="1">IF(AND('Data Analysis Addin'!$G865&lt;='Data Analysis Addin'!$H865,G866&gt;H866), 1, 0)</f>
        <v>0</v>
      </c>
      <c r="J865" s="2">
        <f t="shared" ca="1" si="66"/>
        <v>0</v>
      </c>
      <c r="K865" s="17">
        <f>YEAR('Data Analysis Addin'!$A865)</f>
        <v>2024</v>
      </c>
    </row>
    <row r="866" spans="1:11" x14ac:dyDescent="0.4">
      <c r="A866" s="18">
        <v>45392</v>
      </c>
      <c r="B866" s="9">
        <v>514.12</v>
      </c>
      <c r="C866" s="11">
        <f t="shared" si="63"/>
        <v>508.63940000000002</v>
      </c>
      <c r="D866" s="11">
        <f t="shared" si="67"/>
        <v>463.91655000000026</v>
      </c>
      <c r="E866" s="9"/>
      <c r="F866" s="9"/>
      <c r="G866" s="9">
        <f t="shared" ca="1" si="64"/>
        <v>508.63940000000002</v>
      </c>
      <c r="H866" s="9">
        <f t="shared" ca="1" si="65"/>
        <v>463.91655000000026</v>
      </c>
      <c r="I866" s="12">
        <f ca="1">IF(AND('Data Analysis Addin'!$G866&lt;='Data Analysis Addin'!$H866,G867&gt;H867), 1, 0)</f>
        <v>0</v>
      </c>
      <c r="J866" s="3">
        <f t="shared" ca="1" si="66"/>
        <v>0</v>
      </c>
      <c r="K866" s="19">
        <f>YEAR('Data Analysis Addin'!$A866)</f>
        <v>2024</v>
      </c>
    </row>
    <row r="867" spans="1:11" x14ac:dyDescent="0.4">
      <c r="A867" s="16">
        <v>45393</v>
      </c>
      <c r="B867" s="8">
        <v>518</v>
      </c>
      <c r="C867" s="11">
        <f t="shared" si="63"/>
        <v>509.18159999999995</v>
      </c>
      <c r="D867" s="11">
        <f t="shared" si="67"/>
        <v>464.34935000000024</v>
      </c>
      <c r="E867" s="8"/>
      <c r="F867" s="8"/>
      <c r="G867" s="8">
        <f t="shared" ca="1" si="64"/>
        <v>509.18159999999995</v>
      </c>
      <c r="H867" s="8">
        <f t="shared" ca="1" si="65"/>
        <v>464.34935000000024</v>
      </c>
      <c r="I867" s="12">
        <f ca="1">IF(AND('Data Analysis Addin'!$G867&lt;='Data Analysis Addin'!$H867,G868&gt;H868), 1, 0)</f>
        <v>0</v>
      </c>
      <c r="J867" s="2">
        <f t="shared" ca="1" si="66"/>
        <v>0</v>
      </c>
      <c r="K867" s="17">
        <f>YEAR('Data Analysis Addin'!$A867)</f>
        <v>2024</v>
      </c>
    </row>
    <row r="868" spans="1:11" x14ac:dyDescent="0.4">
      <c r="A868" s="18">
        <v>45394</v>
      </c>
      <c r="B868" s="9">
        <v>510.85</v>
      </c>
      <c r="C868" s="11">
        <f t="shared" si="63"/>
        <v>509.74099999999999</v>
      </c>
      <c r="D868" s="11">
        <f t="shared" si="67"/>
        <v>464.72275000000025</v>
      </c>
      <c r="E868" s="9"/>
      <c r="F868" s="9"/>
      <c r="G868" s="9">
        <f t="shared" ca="1" si="64"/>
        <v>509.74099999999999</v>
      </c>
      <c r="H868" s="9">
        <f t="shared" ca="1" si="65"/>
        <v>464.72275000000025</v>
      </c>
      <c r="I868" s="12">
        <f ca="1">IF(AND('Data Analysis Addin'!$G868&lt;='Data Analysis Addin'!$H868,G869&gt;H869), 1, 0)</f>
        <v>0</v>
      </c>
      <c r="J868" s="3">
        <f t="shared" ca="1" si="66"/>
        <v>0</v>
      </c>
      <c r="K868" s="19">
        <f>YEAR('Data Analysis Addin'!$A868)</f>
        <v>2024</v>
      </c>
    </row>
    <row r="869" spans="1:11" x14ac:dyDescent="0.4">
      <c r="A869" s="16">
        <v>45397</v>
      </c>
      <c r="B869" s="8">
        <v>504.45</v>
      </c>
      <c r="C869" s="11">
        <f t="shared" si="63"/>
        <v>510.04599999999999</v>
      </c>
      <c r="D869" s="11">
        <f t="shared" si="67"/>
        <v>465.0630500000002</v>
      </c>
      <c r="E869" s="8"/>
      <c r="F869" s="8"/>
      <c r="G869" s="8">
        <f t="shared" ca="1" si="64"/>
        <v>510.04599999999999</v>
      </c>
      <c r="H869" s="8">
        <f t="shared" ca="1" si="65"/>
        <v>465.0630500000002</v>
      </c>
      <c r="I869" s="12">
        <f ca="1">IF(AND('Data Analysis Addin'!$G869&lt;='Data Analysis Addin'!$H869,G870&gt;H870), 1, 0)</f>
        <v>0</v>
      </c>
      <c r="J869" s="2">
        <f t="shared" ca="1" si="66"/>
        <v>0</v>
      </c>
      <c r="K869" s="17">
        <f>YEAR('Data Analysis Addin'!$A869)</f>
        <v>2024</v>
      </c>
    </row>
    <row r="870" spans="1:11" x14ac:dyDescent="0.4">
      <c r="A870" s="18">
        <v>45398</v>
      </c>
      <c r="B870" s="9">
        <v>503.53</v>
      </c>
      <c r="C870" s="11">
        <f t="shared" si="63"/>
        <v>510.2296</v>
      </c>
      <c r="D870" s="11">
        <f t="shared" si="67"/>
        <v>465.39015000000023</v>
      </c>
      <c r="E870" s="9"/>
      <c r="F870" s="9"/>
      <c r="G870" s="9">
        <f t="shared" ca="1" si="64"/>
        <v>510.2296</v>
      </c>
      <c r="H870" s="9">
        <f t="shared" ca="1" si="65"/>
        <v>465.39015000000023</v>
      </c>
      <c r="I870" s="12">
        <f ca="1">IF(AND('Data Analysis Addin'!$G870&lt;='Data Analysis Addin'!$H870,G871&gt;H871), 1, 0)</f>
        <v>0</v>
      </c>
      <c r="J870" s="3">
        <f t="shared" ca="1" si="66"/>
        <v>0</v>
      </c>
      <c r="K870" s="19">
        <f>YEAR('Data Analysis Addin'!$A870)</f>
        <v>2024</v>
      </c>
    </row>
    <row r="871" spans="1:11" x14ac:dyDescent="0.4">
      <c r="A871" s="16">
        <v>45399</v>
      </c>
      <c r="B871" s="8">
        <v>500.55</v>
      </c>
      <c r="C871" s="11">
        <f t="shared" si="63"/>
        <v>510.38959999999997</v>
      </c>
      <c r="D871" s="11">
        <f t="shared" si="67"/>
        <v>465.67650000000026</v>
      </c>
      <c r="E871" s="8"/>
      <c r="F871" s="8"/>
      <c r="G871" s="8">
        <f t="shared" ca="1" si="64"/>
        <v>510.38959999999997</v>
      </c>
      <c r="H871" s="8">
        <f t="shared" ca="1" si="65"/>
        <v>465.67650000000026</v>
      </c>
      <c r="I871" s="12">
        <f ca="1">IF(AND('Data Analysis Addin'!$G871&lt;='Data Analysis Addin'!$H871,G872&gt;H872), 1, 0)</f>
        <v>0</v>
      </c>
      <c r="J871" s="2">
        <f t="shared" ca="1" si="66"/>
        <v>0</v>
      </c>
      <c r="K871" s="17">
        <f>YEAR('Data Analysis Addin'!$A871)</f>
        <v>2024</v>
      </c>
    </row>
    <row r="872" spans="1:11" x14ac:dyDescent="0.4">
      <c r="A872" s="18">
        <v>45400</v>
      </c>
      <c r="B872" s="9">
        <v>499.52</v>
      </c>
      <c r="C872" s="11">
        <f t="shared" si="63"/>
        <v>510.50039999999996</v>
      </c>
      <c r="D872" s="11">
        <f t="shared" si="67"/>
        <v>465.95515000000023</v>
      </c>
      <c r="E872" s="9"/>
      <c r="F872" s="9"/>
      <c r="G872" s="9">
        <f t="shared" ca="1" si="64"/>
        <v>510.50039999999996</v>
      </c>
      <c r="H872" s="9">
        <f t="shared" ca="1" si="65"/>
        <v>465.95515000000023</v>
      </c>
      <c r="I872" s="12">
        <f ca="1">IF(AND('Data Analysis Addin'!$G872&lt;='Data Analysis Addin'!$H872,G873&gt;H873), 1, 0)</f>
        <v>0</v>
      </c>
      <c r="J872" s="3">
        <f t="shared" ca="1" si="66"/>
        <v>0</v>
      </c>
      <c r="K872" s="19">
        <f>YEAR('Data Analysis Addin'!$A872)</f>
        <v>2024</v>
      </c>
    </row>
    <row r="873" spans="1:11" x14ac:dyDescent="0.4">
      <c r="A873" s="16">
        <v>45401</v>
      </c>
      <c r="B873" s="8">
        <v>495.16</v>
      </c>
      <c r="C873" s="11">
        <f t="shared" si="63"/>
        <v>510.44159999999994</v>
      </c>
      <c r="D873" s="11">
        <f t="shared" si="67"/>
        <v>466.21530000000018</v>
      </c>
      <c r="E873" s="8"/>
      <c r="F873" s="8"/>
      <c r="G873" s="8">
        <f t="shared" ca="1" si="64"/>
        <v>510.44159999999994</v>
      </c>
      <c r="H873" s="8">
        <f t="shared" ca="1" si="65"/>
        <v>466.21530000000018</v>
      </c>
      <c r="I873" s="12">
        <f ca="1">IF(AND('Data Analysis Addin'!$G873&lt;='Data Analysis Addin'!$H873,G874&gt;H874), 1, 0)</f>
        <v>0</v>
      </c>
      <c r="J873" s="2">
        <f t="shared" ca="1" si="66"/>
        <v>0</v>
      </c>
      <c r="K873" s="17">
        <f>YEAR('Data Analysis Addin'!$A873)</f>
        <v>2024</v>
      </c>
    </row>
    <row r="874" spans="1:11" x14ac:dyDescent="0.4">
      <c r="A874" s="18">
        <v>45404</v>
      </c>
      <c r="B874" s="9">
        <v>499.72</v>
      </c>
      <c r="C874" s="11">
        <f t="shared" si="63"/>
        <v>510.46960000000001</v>
      </c>
      <c r="D874" s="11">
        <f t="shared" si="67"/>
        <v>466.51560000000018</v>
      </c>
      <c r="E874" s="9"/>
      <c r="F874" s="9"/>
      <c r="G874" s="9">
        <f t="shared" ca="1" si="64"/>
        <v>510.46960000000001</v>
      </c>
      <c r="H874" s="9">
        <f t="shared" ca="1" si="65"/>
        <v>466.51560000000018</v>
      </c>
      <c r="I874" s="12">
        <f ca="1">IF(AND('Data Analysis Addin'!$G874&lt;='Data Analysis Addin'!$H874,G875&gt;H875), 1, 0)</f>
        <v>0</v>
      </c>
      <c r="J874" s="3">
        <f t="shared" ca="1" si="66"/>
        <v>0</v>
      </c>
      <c r="K874" s="19">
        <f>YEAR('Data Analysis Addin'!$A874)</f>
        <v>2024</v>
      </c>
    </row>
    <row r="875" spans="1:11" x14ac:dyDescent="0.4">
      <c r="A875" s="16">
        <v>45405</v>
      </c>
      <c r="B875" s="8">
        <v>505.65</v>
      </c>
      <c r="C875" s="11">
        <f t="shared" si="63"/>
        <v>510.55860000000001</v>
      </c>
      <c r="D875" s="11">
        <f t="shared" si="67"/>
        <v>466.85110000000014</v>
      </c>
      <c r="E875" s="8"/>
      <c r="F875" s="8"/>
      <c r="G875" s="8">
        <f t="shared" ca="1" si="64"/>
        <v>510.55860000000001</v>
      </c>
      <c r="H875" s="8">
        <f t="shared" ca="1" si="65"/>
        <v>466.85110000000014</v>
      </c>
      <c r="I875" s="12">
        <f ca="1">IF(AND('Data Analysis Addin'!$G875&lt;='Data Analysis Addin'!$H875,G876&gt;H876), 1, 0)</f>
        <v>0</v>
      </c>
      <c r="J875" s="2">
        <f t="shared" ca="1" si="66"/>
        <v>0</v>
      </c>
      <c r="K875" s="17">
        <f>YEAR('Data Analysis Addin'!$A875)</f>
        <v>2024</v>
      </c>
    </row>
    <row r="876" spans="1:11" x14ac:dyDescent="0.4">
      <c r="A876" s="18">
        <v>45406</v>
      </c>
      <c r="B876" s="9">
        <v>505.41</v>
      </c>
      <c r="C876" s="11">
        <f t="shared" si="63"/>
        <v>510.6472</v>
      </c>
      <c r="D876" s="11">
        <f t="shared" si="67"/>
        <v>467.17985000000022</v>
      </c>
      <c r="E876" s="9"/>
      <c r="F876" s="9"/>
      <c r="G876" s="9">
        <f t="shared" ca="1" si="64"/>
        <v>510.6472</v>
      </c>
      <c r="H876" s="9">
        <f t="shared" ca="1" si="65"/>
        <v>467.17985000000022</v>
      </c>
      <c r="I876" s="12">
        <f ca="1">IF(AND('Data Analysis Addin'!$G876&lt;='Data Analysis Addin'!$H876,G877&gt;H877), 1, 0)</f>
        <v>0</v>
      </c>
      <c r="J876" s="3">
        <f t="shared" ca="1" si="66"/>
        <v>0</v>
      </c>
      <c r="K876" s="19">
        <f>YEAR('Data Analysis Addin'!$A876)</f>
        <v>2024</v>
      </c>
    </row>
    <row r="877" spans="1:11" x14ac:dyDescent="0.4">
      <c r="A877" s="16">
        <v>45407</v>
      </c>
      <c r="B877" s="8">
        <v>503.49</v>
      </c>
      <c r="C877" s="11">
        <f t="shared" si="63"/>
        <v>510.83540000000011</v>
      </c>
      <c r="D877" s="11">
        <f t="shared" si="67"/>
        <v>467.48500000000024</v>
      </c>
      <c r="E877" s="8"/>
      <c r="F877" s="8"/>
      <c r="G877" s="8">
        <f t="shared" ca="1" si="64"/>
        <v>510.83540000000011</v>
      </c>
      <c r="H877" s="8">
        <f t="shared" ca="1" si="65"/>
        <v>467.48500000000024</v>
      </c>
      <c r="I877" s="12">
        <f ca="1">IF(AND('Data Analysis Addin'!$G877&lt;='Data Analysis Addin'!$H877,G878&gt;H878), 1, 0)</f>
        <v>0</v>
      </c>
      <c r="J877" s="2">
        <f t="shared" ca="1" si="66"/>
        <v>0</v>
      </c>
      <c r="K877" s="17">
        <f>YEAR('Data Analysis Addin'!$A877)</f>
        <v>2024</v>
      </c>
    </row>
    <row r="878" spans="1:11" x14ac:dyDescent="0.4">
      <c r="A878" s="18">
        <v>45408</v>
      </c>
      <c r="B878" s="9">
        <v>508.26</v>
      </c>
      <c r="C878" s="11">
        <f t="shared" si="63"/>
        <v>511.0292</v>
      </c>
      <c r="D878" s="11">
        <f t="shared" si="67"/>
        <v>467.79620000000017</v>
      </c>
      <c r="E878" s="9"/>
      <c r="F878" s="9"/>
      <c r="G878" s="9">
        <f t="shared" ca="1" si="64"/>
        <v>511.0292</v>
      </c>
      <c r="H878" s="9">
        <f t="shared" ca="1" si="65"/>
        <v>467.79620000000017</v>
      </c>
      <c r="I878" s="12">
        <f ca="1">IF(AND('Data Analysis Addin'!$G878&lt;='Data Analysis Addin'!$H878,G879&gt;H879), 1, 0)</f>
        <v>0</v>
      </c>
      <c r="J878" s="3">
        <f t="shared" ca="1" si="66"/>
        <v>0</v>
      </c>
      <c r="K878" s="19">
        <f>YEAR('Data Analysis Addin'!$A878)</f>
        <v>2024</v>
      </c>
    </row>
    <row r="879" spans="1:11" x14ac:dyDescent="0.4">
      <c r="A879" s="16">
        <v>45411</v>
      </c>
      <c r="B879" s="8">
        <v>510.06</v>
      </c>
      <c r="C879" s="11">
        <f t="shared" si="63"/>
        <v>511.19020000000006</v>
      </c>
      <c r="D879" s="11">
        <f t="shared" si="67"/>
        <v>468.09870000000012</v>
      </c>
      <c r="E879" s="8"/>
      <c r="F879" s="8"/>
      <c r="G879" s="8">
        <f t="shared" ca="1" si="64"/>
        <v>511.19020000000006</v>
      </c>
      <c r="H879" s="8">
        <f t="shared" ca="1" si="65"/>
        <v>468.09870000000012</v>
      </c>
      <c r="I879" s="12">
        <f ca="1">IF(AND('Data Analysis Addin'!$G879&lt;='Data Analysis Addin'!$H879,G880&gt;H880), 1, 0)</f>
        <v>0</v>
      </c>
      <c r="J879" s="2">
        <f t="shared" ca="1" si="66"/>
        <v>0</v>
      </c>
      <c r="K879" s="17">
        <f>YEAR('Data Analysis Addin'!$A879)</f>
        <v>2024</v>
      </c>
    </row>
    <row r="880" spans="1:11" x14ac:dyDescent="0.4">
      <c r="A880" s="18">
        <v>45412</v>
      </c>
      <c r="B880" s="9">
        <v>501.98</v>
      </c>
      <c r="C880" s="11">
        <f t="shared" si="63"/>
        <v>511.23960000000005</v>
      </c>
      <c r="D880" s="11">
        <f t="shared" si="67"/>
        <v>468.36220000000014</v>
      </c>
      <c r="E880" s="9"/>
      <c r="F880" s="9"/>
      <c r="G880" s="9">
        <f t="shared" ca="1" si="64"/>
        <v>511.23960000000005</v>
      </c>
      <c r="H880" s="9">
        <f t="shared" ca="1" si="65"/>
        <v>468.36220000000014</v>
      </c>
      <c r="I880" s="12">
        <f ca="1">IF(AND('Data Analysis Addin'!$G880&lt;='Data Analysis Addin'!$H880,G881&gt;H881), 1, 0)</f>
        <v>0</v>
      </c>
      <c r="J880" s="3">
        <f t="shared" ca="1" si="66"/>
        <v>0</v>
      </c>
      <c r="K880" s="19">
        <f>YEAR('Data Analysis Addin'!$A880)</f>
        <v>2024</v>
      </c>
    </row>
    <row r="881" spans="1:11" x14ac:dyDescent="0.4">
      <c r="A881" s="16">
        <v>45413</v>
      </c>
      <c r="B881" s="8">
        <v>500.35</v>
      </c>
      <c r="C881" s="11">
        <f t="shared" si="63"/>
        <v>511.31139999999999</v>
      </c>
      <c r="D881" s="11">
        <f t="shared" si="67"/>
        <v>468.60975000000019</v>
      </c>
      <c r="E881" s="8"/>
      <c r="F881" s="8"/>
      <c r="G881" s="8">
        <f t="shared" ca="1" si="64"/>
        <v>511.31139999999999</v>
      </c>
      <c r="H881" s="8">
        <f t="shared" ca="1" si="65"/>
        <v>468.60975000000019</v>
      </c>
      <c r="I881" s="12">
        <f ca="1">IF(AND('Data Analysis Addin'!$G881&lt;='Data Analysis Addin'!$H881,G882&gt;H882), 1, 0)</f>
        <v>0</v>
      </c>
      <c r="J881" s="2">
        <f t="shared" ca="1" si="66"/>
        <v>0</v>
      </c>
      <c r="K881" s="17">
        <f>YEAR('Data Analysis Addin'!$A881)</f>
        <v>2024</v>
      </c>
    </row>
    <row r="882" spans="1:11" x14ac:dyDescent="0.4">
      <c r="A882" s="18">
        <v>45414</v>
      </c>
      <c r="B882" s="9">
        <v>505.03</v>
      </c>
      <c r="C882" s="11">
        <f t="shared" si="63"/>
        <v>511.46780000000001</v>
      </c>
      <c r="D882" s="11">
        <f t="shared" si="67"/>
        <v>468.86395000000016</v>
      </c>
      <c r="E882" s="9"/>
      <c r="F882" s="9"/>
      <c r="G882" s="9">
        <f t="shared" ca="1" si="64"/>
        <v>511.46780000000001</v>
      </c>
      <c r="H882" s="9">
        <f t="shared" ca="1" si="65"/>
        <v>468.86395000000016</v>
      </c>
      <c r="I882" s="12">
        <f ca="1">IF(AND('Data Analysis Addin'!$G882&lt;='Data Analysis Addin'!$H882,G883&gt;H883), 1, 0)</f>
        <v>0</v>
      </c>
      <c r="J882" s="3">
        <f t="shared" ca="1" si="66"/>
        <v>0</v>
      </c>
      <c r="K882" s="19">
        <f>YEAR('Data Analysis Addin'!$A882)</f>
        <v>2024</v>
      </c>
    </row>
    <row r="883" spans="1:11" x14ac:dyDescent="0.4">
      <c r="A883" s="16">
        <v>45415</v>
      </c>
      <c r="B883" s="8">
        <v>511.29</v>
      </c>
      <c r="C883" s="11">
        <f t="shared" si="63"/>
        <v>511.54359999999991</v>
      </c>
      <c r="D883" s="11">
        <f t="shared" si="67"/>
        <v>469.14440000000008</v>
      </c>
      <c r="E883" s="8"/>
      <c r="F883" s="8"/>
      <c r="G883" s="8">
        <f t="shared" ca="1" si="64"/>
        <v>511.54359999999991</v>
      </c>
      <c r="H883" s="8">
        <f t="shared" ca="1" si="65"/>
        <v>469.14440000000008</v>
      </c>
      <c r="I883" s="12">
        <f ca="1">IF(AND('Data Analysis Addin'!$G883&lt;='Data Analysis Addin'!$H883,G884&gt;H884), 1, 0)</f>
        <v>0</v>
      </c>
      <c r="J883" s="2">
        <f t="shared" ca="1" si="66"/>
        <v>0</v>
      </c>
      <c r="K883" s="17">
        <f>YEAR('Data Analysis Addin'!$A883)</f>
        <v>2024</v>
      </c>
    </row>
    <row r="884" spans="1:11" x14ac:dyDescent="0.4">
      <c r="A884" s="18">
        <v>45418</v>
      </c>
      <c r="B884" s="9">
        <v>516.57000000000005</v>
      </c>
      <c r="C884" s="11">
        <f t="shared" ref="C884:C947" si="68">AVERAGE(B835:B884)</f>
        <v>511.71799999999996</v>
      </c>
      <c r="D884" s="11">
        <f t="shared" si="67"/>
        <v>469.46635000000009</v>
      </c>
      <c r="E884" s="9"/>
      <c r="F884" s="9"/>
      <c r="G884" s="9">
        <f t="shared" ca="1" si="64"/>
        <v>511.71799999999996</v>
      </c>
      <c r="H884" s="9">
        <f t="shared" ca="1" si="65"/>
        <v>469.46635000000009</v>
      </c>
      <c r="I884" s="12">
        <f ca="1">IF(AND('Data Analysis Addin'!$G884&lt;='Data Analysis Addin'!$H884,G885&gt;H885), 1, 0)</f>
        <v>0</v>
      </c>
      <c r="J884" s="3">
        <f t="shared" ca="1" si="66"/>
        <v>0</v>
      </c>
      <c r="K884" s="19">
        <f>YEAR('Data Analysis Addin'!$A884)</f>
        <v>2024</v>
      </c>
    </row>
    <row r="885" spans="1:11" x14ac:dyDescent="0.4">
      <c r="A885" s="16">
        <v>45419</v>
      </c>
      <c r="B885" s="8">
        <v>517.14</v>
      </c>
      <c r="C885" s="11">
        <f t="shared" si="68"/>
        <v>511.94099999999997</v>
      </c>
      <c r="D885" s="11">
        <f t="shared" si="67"/>
        <v>469.79115000000013</v>
      </c>
      <c r="E885" s="8"/>
      <c r="F885" s="8"/>
      <c r="G885" s="8">
        <f t="shared" ca="1" si="64"/>
        <v>511.94099999999997</v>
      </c>
      <c r="H885" s="8">
        <f t="shared" ca="1" si="65"/>
        <v>469.79115000000013</v>
      </c>
      <c r="I885" s="12">
        <f ca="1">IF(AND('Data Analysis Addin'!$G885&lt;='Data Analysis Addin'!$H885,G886&gt;H886), 1, 0)</f>
        <v>0</v>
      </c>
      <c r="J885" s="2">
        <f t="shared" ca="1" si="66"/>
        <v>0</v>
      </c>
      <c r="K885" s="17">
        <f>YEAR('Data Analysis Addin'!$A885)</f>
        <v>2024</v>
      </c>
    </row>
    <row r="886" spans="1:11" x14ac:dyDescent="0.4">
      <c r="A886" s="18">
        <v>45420</v>
      </c>
      <c r="B886" s="9">
        <v>517.19000000000005</v>
      </c>
      <c r="C886" s="11">
        <f t="shared" si="68"/>
        <v>512.14619999999991</v>
      </c>
      <c r="D886" s="11">
        <f t="shared" si="67"/>
        <v>470.10610000000014</v>
      </c>
      <c r="E886" s="9"/>
      <c r="F886" s="9"/>
      <c r="G886" s="9">
        <f t="shared" ca="1" si="64"/>
        <v>512.14619999999991</v>
      </c>
      <c r="H886" s="9">
        <f t="shared" ca="1" si="65"/>
        <v>470.10610000000014</v>
      </c>
      <c r="I886" s="12">
        <f ca="1">IF(AND('Data Analysis Addin'!$G886&lt;='Data Analysis Addin'!$H886,G887&gt;H887), 1, 0)</f>
        <v>0</v>
      </c>
      <c r="J886" s="3">
        <f t="shared" ca="1" si="66"/>
        <v>0</v>
      </c>
      <c r="K886" s="19">
        <f>YEAR('Data Analysis Addin'!$A886)</f>
        <v>2024</v>
      </c>
    </row>
    <row r="887" spans="1:11" x14ac:dyDescent="0.4">
      <c r="A887" s="16">
        <v>45421</v>
      </c>
      <c r="B887" s="8">
        <v>520.16999999999996</v>
      </c>
      <c r="C887" s="11">
        <f t="shared" si="68"/>
        <v>512.42439999999988</v>
      </c>
      <c r="D887" s="11">
        <f t="shared" si="67"/>
        <v>470.42975000000018</v>
      </c>
      <c r="E887" s="8"/>
      <c r="F887" s="8"/>
      <c r="G887" s="8">
        <f t="shared" ca="1" si="64"/>
        <v>512.42439999999988</v>
      </c>
      <c r="H887" s="8">
        <f t="shared" ca="1" si="65"/>
        <v>470.42975000000018</v>
      </c>
      <c r="I887" s="12">
        <f ca="1">IF(AND('Data Analysis Addin'!$G887&lt;='Data Analysis Addin'!$H887,G888&gt;H888), 1, 0)</f>
        <v>0</v>
      </c>
      <c r="J887" s="2">
        <f t="shared" ca="1" si="66"/>
        <v>0</v>
      </c>
      <c r="K887" s="17">
        <f>YEAR('Data Analysis Addin'!$A887)</f>
        <v>2024</v>
      </c>
    </row>
    <row r="888" spans="1:11" x14ac:dyDescent="0.4">
      <c r="A888" s="18">
        <v>45422</v>
      </c>
      <c r="B888" s="9">
        <v>520.84</v>
      </c>
      <c r="C888" s="11">
        <f t="shared" si="68"/>
        <v>512.67959999999994</v>
      </c>
      <c r="D888" s="11">
        <f t="shared" si="67"/>
        <v>470.75640000000016</v>
      </c>
      <c r="E888" s="9"/>
      <c r="F888" s="9"/>
      <c r="G888" s="9">
        <f t="shared" ca="1" si="64"/>
        <v>512.67959999999994</v>
      </c>
      <c r="H888" s="9">
        <f t="shared" ca="1" si="65"/>
        <v>470.75640000000016</v>
      </c>
      <c r="I888" s="12">
        <f ca="1">IF(AND('Data Analysis Addin'!$G888&lt;='Data Analysis Addin'!$H888,G889&gt;H889), 1, 0)</f>
        <v>0</v>
      </c>
      <c r="J888" s="3">
        <f t="shared" ca="1" si="66"/>
        <v>0</v>
      </c>
      <c r="K888" s="19">
        <f>YEAR('Data Analysis Addin'!$A888)</f>
        <v>2024</v>
      </c>
    </row>
    <row r="889" spans="1:11" x14ac:dyDescent="0.4">
      <c r="A889" s="16">
        <v>45425</v>
      </c>
      <c r="B889" s="8">
        <v>520.91</v>
      </c>
      <c r="C889" s="11">
        <f t="shared" si="68"/>
        <v>512.84079999999994</v>
      </c>
      <c r="D889" s="11">
        <f t="shared" si="67"/>
        <v>471.09850000000012</v>
      </c>
      <c r="E889" s="8"/>
      <c r="F889" s="8"/>
      <c r="G889" s="8">
        <f t="shared" ca="1" si="64"/>
        <v>512.84079999999994</v>
      </c>
      <c r="H889" s="8">
        <f t="shared" ca="1" si="65"/>
        <v>471.09850000000012</v>
      </c>
      <c r="I889" s="12">
        <f ca="1">IF(AND('Data Analysis Addin'!$G889&lt;='Data Analysis Addin'!$H889,G890&gt;H890), 1, 0)</f>
        <v>0</v>
      </c>
      <c r="J889" s="2">
        <f t="shared" ca="1" si="66"/>
        <v>0</v>
      </c>
      <c r="K889" s="17">
        <f>YEAR('Data Analysis Addin'!$A889)</f>
        <v>2024</v>
      </c>
    </row>
    <row r="890" spans="1:11" x14ac:dyDescent="0.4">
      <c r="A890" s="18">
        <v>45426</v>
      </c>
      <c r="B890" s="9">
        <v>523.29999999999995</v>
      </c>
      <c r="C890" s="11">
        <f t="shared" si="68"/>
        <v>513.06079999999997</v>
      </c>
      <c r="D890" s="11">
        <f t="shared" si="67"/>
        <v>471.43040000000013</v>
      </c>
      <c r="E890" s="9"/>
      <c r="F890" s="9"/>
      <c r="G890" s="9">
        <f t="shared" ca="1" si="64"/>
        <v>513.06079999999997</v>
      </c>
      <c r="H890" s="9">
        <f t="shared" ca="1" si="65"/>
        <v>471.43040000000013</v>
      </c>
      <c r="I890" s="12">
        <f ca="1">IF(AND('Data Analysis Addin'!$G890&lt;='Data Analysis Addin'!$H890,G891&gt;H891), 1, 0)</f>
        <v>0</v>
      </c>
      <c r="J890" s="3">
        <f t="shared" ca="1" si="66"/>
        <v>0</v>
      </c>
      <c r="K890" s="19">
        <f>YEAR('Data Analysis Addin'!$A890)</f>
        <v>2024</v>
      </c>
    </row>
    <row r="891" spans="1:11" x14ac:dyDescent="0.4">
      <c r="A891" s="16">
        <v>45427</v>
      </c>
      <c r="B891" s="8">
        <v>529.78</v>
      </c>
      <c r="C891" s="11">
        <f t="shared" si="68"/>
        <v>513.51279999999997</v>
      </c>
      <c r="D891" s="11">
        <f t="shared" si="67"/>
        <v>471.7903500000001</v>
      </c>
      <c r="E891" s="8"/>
      <c r="F891" s="8"/>
      <c r="G891" s="8">
        <f t="shared" ca="1" si="64"/>
        <v>513.51279999999997</v>
      </c>
      <c r="H891" s="8">
        <f t="shared" ca="1" si="65"/>
        <v>471.7903500000001</v>
      </c>
      <c r="I891" s="12">
        <f ca="1">IF(AND('Data Analysis Addin'!$G891&lt;='Data Analysis Addin'!$H891,G892&gt;H892), 1, 0)</f>
        <v>0</v>
      </c>
      <c r="J891" s="2">
        <f t="shared" ca="1" si="66"/>
        <v>0</v>
      </c>
      <c r="K891" s="17">
        <f>YEAR('Data Analysis Addin'!$A891)</f>
        <v>2024</v>
      </c>
    </row>
    <row r="892" spans="1:11" x14ac:dyDescent="0.4">
      <c r="A892" s="18">
        <v>45428</v>
      </c>
      <c r="B892" s="9">
        <v>528.69000000000005</v>
      </c>
      <c r="C892" s="11">
        <f t="shared" si="68"/>
        <v>513.89159999999993</v>
      </c>
      <c r="D892" s="11">
        <f t="shared" si="67"/>
        <v>472.15140000000014</v>
      </c>
      <c r="E892" s="9"/>
      <c r="F892" s="9"/>
      <c r="G892" s="9">
        <f t="shared" ca="1" si="64"/>
        <v>513.89159999999993</v>
      </c>
      <c r="H892" s="9">
        <f t="shared" ca="1" si="65"/>
        <v>472.15140000000014</v>
      </c>
      <c r="I892" s="12">
        <f ca="1">IF(AND('Data Analysis Addin'!$G892&lt;='Data Analysis Addin'!$H892,G893&gt;H893), 1, 0)</f>
        <v>0</v>
      </c>
      <c r="J892" s="3">
        <f t="shared" ca="1" si="66"/>
        <v>0</v>
      </c>
      <c r="K892" s="19">
        <f>YEAR('Data Analysis Addin'!$A892)</f>
        <v>2024</v>
      </c>
    </row>
    <row r="893" spans="1:11" x14ac:dyDescent="0.4">
      <c r="A893" s="16">
        <v>45429</v>
      </c>
      <c r="B893" s="8">
        <v>529.45000000000005</v>
      </c>
      <c r="C893" s="11">
        <f t="shared" si="68"/>
        <v>514.18439999999987</v>
      </c>
      <c r="D893" s="11">
        <f t="shared" si="67"/>
        <v>472.54800000000012</v>
      </c>
      <c r="E893" s="8"/>
      <c r="F893" s="8"/>
      <c r="G893" s="8">
        <f t="shared" ca="1" si="64"/>
        <v>514.18439999999987</v>
      </c>
      <c r="H893" s="8">
        <f t="shared" ca="1" si="65"/>
        <v>472.54800000000012</v>
      </c>
      <c r="I893" s="12">
        <f ca="1">IF(AND('Data Analysis Addin'!$G893&lt;='Data Analysis Addin'!$H893,G894&gt;H894), 1, 0)</f>
        <v>0</v>
      </c>
      <c r="J893" s="2">
        <f t="shared" ca="1" si="66"/>
        <v>0</v>
      </c>
      <c r="K893" s="17">
        <f>YEAR('Data Analysis Addin'!$A893)</f>
        <v>2024</v>
      </c>
    </row>
    <row r="894" spans="1:11" x14ac:dyDescent="0.4">
      <c r="A894" s="18">
        <v>45432</v>
      </c>
      <c r="B894" s="9">
        <v>530.05999999999995</v>
      </c>
      <c r="C894" s="11">
        <f t="shared" si="68"/>
        <v>514.55119999999988</v>
      </c>
      <c r="D894" s="11">
        <f t="shared" si="67"/>
        <v>472.9541000000001</v>
      </c>
      <c r="E894" s="9"/>
      <c r="F894" s="9"/>
      <c r="G894" s="9">
        <f t="shared" ca="1" si="64"/>
        <v>514.55119999999988</v>
      </c>
      <c r="H894" s="9">
        <f t="shared" ca="1" si="65"/>
        <v>472.9541000000001</v>
      </c>
      <c r="I894" s="12">
        <f ca="1">IF(AND('Data Analysis Addin'!$G894&lt;='Data Analysis Addin'!$H894,G895&gt;H895), 1, 0)</f>
        <v>0</v>
      </c>
      <c r="J894" s="3">
        <f t="shared" ca="1" si="66"/>
        <v>0</v>
      </c>
      <c r="K894" s="19">
        <f>YEAR('Data Analysis Addin'!$A894)</f>
        <v>2024</v>
      </c>
    </row>
    <row r="895" spans="1:11" x14ac:dyDescent="0.4">
      <c r="A895" s="16">
        <v>45433</v>
      </c>
      <c r="B895" s="8">
        <v>531.36</v>
      </c>
      <c r="C895" s="11">
        <f t="shared" si="68"/>
        <v>514.9527999999998</v>
      </c>
      <c r="D895" s="11">
        <f t="shared" si="67"/>
        <v>473.3768500000001</v>
      </c>
      <c r="E895" s="8"/>
      <c r="F895" s="8"/>
      <c r="G895" s="8">
        <f t="shared" ca="1" si="64"/>
        <v>514.9527999999998</v>
      </c>
      <c r="H895" s="8">
        <f t="shared" ca="1" si="65"/>
        <v>473.3768500000001</v>
      </c>
      <c r="I895" s="12">
        <f ca="1">IF(AND('Data Analysis Addin'!$G895&lt;='Data Analysis Addin'!$H895,G896&gt;H896), 1, 0)</f>
        <v>0</v>
      </c>
      <c r="J895" s="2">
        <f t="shared" ca="1" si="66"/>
        <v>0</v>
      </c>
      <c r="K895" s="17">
        <f>YEAR('Data Analysis Addin'!$A895)</f>
        <v>2024</v>
      </c>
    </row>
    <row r="896" spans="1:11" x14ac:dyDescent="0.4">
      <c r="A896" s="18">
        <v>45434</v>
      </c>
      <c r="B896" s="9">
        <v>529.83000000000004</v>
      </c>
      <c r="C896" s="11">
        <f t="shared" si="68"/>
        <v>515.21379999999988</v>
      </c>
      <c r="D896" s="11">
        <f t="shared" si="67"/>
        <v>473.77245000000011</v>
      </c>
      <c r="E896" s="9"/>
      <c r="F896" s="9"/>
      <c r="G896" s="9">
        <f t="shared" ca="1" si="64"/>
        <v>515.21379999999988</v>
      </c>
      <c r="H896" s="9">
        <f t="shared" ca="1" si="65"/>
        <v>473.77245000000011</v>
      </c>
      <c r="I896" s="12">
        <f ca="1">IF(AND('Data Analysis Addin'!$G896&lt;='Data Analysis Addin'!$H896,G897&gt;H897), 1, 0)</f>
        <v>0</v>
      </c>
      <c r="J896" s="3">
        <f t="shared" ca="1" si="66"/>
        <v>0</v>
      </c>
      <c r="K896" s="19">
        <f>YEAR('Data Analysis Addin'!$A896)</f>
        <v>2024</v>
      </c>
    </row>
    <row r="897" spans="1:11" x14ac:dyDescent="0.4">
      <c r="A897" s="16">
        <v>45435</v>
      </c>
      <c r="B897" s="8">
        <v>525.96</v>
      </c>
      <c r="C897" s="11">
        <f t="shared" si="68"/>
        <v>515.41359999999986</v>
      </c>
      <c r="D897" s="11">
        <f t="shared" si="67"/>
        <v>474.15850000000012</v>
      </c>
      <c r="E897" s="8"/>
      <c r="F897" s="8"/>
      <c r="G897" s="8">
        <f t="shared" ca="1" si="64"/>
        <v>515.41359999999986</v>
      </c>
      <c r="H897" s="8">
        <f t="shared" ca="1" si="65"/>
        <v>474.15850000000012</v>
      </c>
      <c r="I897" s="12">
        <f ca="1">IF(AND('Data Analysis Addin'!$G897&lt;='Data Analysis Addin'!$H897,G898&gt;H898), 1, 0)</f>
        <v>0</v>
      </c>
      <c r="J897" s="2">
        <f t="shared" ca="1" si="66"/>
        <v>0</v>
      </c>
      <c r="K897" s="17">
        <f>YEAR('Data Analysis Addin'!$A897)</f>
        <v>2024</v>
      </c>
    </row>
    <row r="898" spans="1:11" x14ac:dyDescent="0.4">
      <c r="A898" s="18">
        <v>45436</v>
      </c>
      <c r="B898" s="9">
        <v>529.44000000000005</v>
      </c>
      <c r="C898" s="11">
        <f t="shared" si="68"/>
        <v>515.70339999999987</v>
      </c>
      <c r="D898" s="11">
        <f t="shared" si="67"/>
        <v>474.57695000000012</v>
      </c>
      <c r="E898" s="9"/>
      <c r="F898" s="9"/>
      <c r="G898" s="9">
        <f t="shared" ca="1" si="64"/>
        <v>515.70339999999987</v>
      </c>
      <c r="H898" s="9">
        <f t="shared" ca="1" si="65"/>
        <v>474.57695000000012</v>
      </c>
      <c r="I898" s="12">
        <f ca="1">IF(AND('Data Analysis Addin'!$G898&lt;='Data Analysis Addin'!$H898,G899&gt;H899), 1, 0)</f>
        <v>0</v>
      </c>
      <c r="J898" s="3">
        <f t="shared" ca="1" si="66"/>
        <v>0</v>
      </c>
      <c r="K898" s="19">
        <f>YEAR('Data Analysis Addin'!$A898)</f>
        <v>2024</v>
      </c>
    </row>
    <row r="899" spans="1:11" x14ac:dyDescent="0.4">
      <c r="A899" s="16">
        <v>45440</v>
      </c>
      <c r="B899" s="8">
        <v>529.80999999999995</v>
      </c>
      <c r="C899" s="11">
        <f t="shared" si="68"/>
        <v>516.10299999999984</v>
      </c>
      <c r="D899" s="11">
        <f t="shared" si="67"/>
        <v>474.9964500000001</v>
      </c>
      <c r="E899" s="8"/>
      <c r="F899" s="8"/>
      <c r="G899" s="8">
        <f t="shared" ref="G899:G962" ca="1" si="69">AVERAGE(OFFSET($B899,0,0,-(MIN(ROW()-ROW($B$3)+1,n_50)),1))</f>
        <v>516.10299999999984</v>
      </c>
      <c r="H899" s="8">
        <f t="shared" ref="H899:H962" ca="1" si="70">AVERAGE(OFFSET($B899,0,0,-(MIN(ROW()-ROW($B$3)+1,n_200)),1))</f>
        <v>474.9964500000001</v>
      </c>
      <c r="I899" s="12">
        <f ca="1">IF(AND('Data Analysis Addin'!$G899&lt;='Data Analysis Addin'!$H899,G900&gt;H900), 1, 0)</f>
        <v>0</v>
      </c>
      <c r="J899" s="2">
        <f t="shared" ref="J899:J962" ca="1" si="71">IF($G899&lt;$H899,1,0)</f>
        <v>0</v>
      </c>
      <c r="K899" s="17">
        <f>YEAR('Data Analysis Addin'!$A899)</f>
        <v>2024</v>
      </c>
    </row>
    <row r="900" spans="1:11" x14ac:dyDescent="0.4">
      <c r="A900" s="18">
        <v>45441</v>
      </c>
      <c r="B900" s="9">
        <v>526.1</v>
      </c>
      <c r="C900" s="11">
        <f t="shared" si="68"/>
        <v>516.36779999999987</v>
      </c>
      <c r="D900" s="11">
        <f t="shared" si="67"/>
        <v>475.39870000000019</v>
      </c>
      <c r="E900" s="9"/>
      <c r="F900" s="9"/>
      <c r="G900" s="9">
        <f t="shared" ca="1" si="69"/>
        <v>516.36779999999987</v>
      </c>
      <c r="H900" s="9">
        <f t="shared" ca="1" si="70"/>
        <v>475.39870000000019</v>
      </c>
      <c r="I900" s="12">
        <f ca="1">IF(AND('Data Analysis Addin'!$G900&lt;='Data Analysis Addin'!$H900,G901&gt;H901), 1, 0)</f>
        <v>0</v>
      </c>
      <c r="J900" s="3">
        <f t="shared" ca="1" si="71"/>
        <v>0</v>
      </c>
      <c r="K900" s="19">
        <f>YEAR('Data Analysis Addin'!$A900)</f>
        <v>2024</v>
      </c>
    </row>
    <row r="901" spans="1:11" x14ac:dyDescent="0.4">
      <c r="A901" s="16">
        <v>45442</v>
      </c>
      <c r="B901" s="8">
        <v>522.61</v>
      </c>
      <c r="C901" s="11">
        <f t="shared" si="68"/>
        <v>516.50579999999991</v>
      </c>
      <c r="D901" s="11">
        <f t="shared" si="67"/>
        <v>475.77120000000008</v>
      </c>
      <c r="E901" s="8"/>
      <c r="F901" s="8"/>
      <c r="G901" s="8">
        <f t="shared" ca="1" si="69"/>
        <v>516.50579999999991</v>
      </c>
      <c r="H901" s="8">
        <f t="shared" ca="1" si="70"/>
        <v>475.77120000000008</v>
      </c>
      <c r="I901" s="12">
        <f ca="1">IF(AND('Data Analysis Addin'!$G901&lt;='Data Analysis Addin'!$H901,G902&gt;H902), 1, 0)</f>
        <v>0</v>
      </c>
      <c r="J901" s="2">
        <f t="shared" ca="1" si="71"/>
        <v>0</v>
      </c>
      <c r="K901" s="17">
        <f>YEAR('Data Analysis Addin'!$A901)</f>
        <v>2024</v>
      </c>
    </row>
    <row r="902" spans="1:11" x14ac:dyDescent="0.4">
      <c r="A902" s="18">
        <v>45443</v>
      </c>
      <c r="B902" s="9">
        <v>527.37</v>
      </c>
      <c r="C902" s="11">
        <f t="shared" si="68"/>
        <v>516.64359999999988</v>
      </c>
      <c r="D902" s="11">
        <f t="shared" si="67"/>
        <v>476.19360000000017</v>
      </c>
      <c r="E902" s="9"/>
      <c r="F902" s="9"/>
      <c r="G902" s="9">
        <f t="shared" ca="1" si="69"/>
        <v>516.64359999999988</v>
      </c>
      <c r="H902" s="9">
        <f t="shared" ca="1" si="70"/>
        <v>476.19360000000017</v>
      </c>
      <c r="I902" s="12">
        <f ca="1">IF(AND('Data Analysis Addin'!$G902&lt;='Data Analysis Addin'!$H902,G903&gt;H903), 1, 0)</f>
        <v>0</v>
      </c>
      <c r="J902" s="3">
        <f t="shared" ca="1" si="71"/>
        <v>0</v>
      </c>
      <c r="K902" s="19">
        <f>YEAR('Data Analysis Addin'!$A902)</f>
        <v>2024</v>
      </c>
    </row>
    <row r="903" spans="1:11" x14ac:dyDescent="0.4">
      <c r="A903" s="16">
        <v>45446</v>
      </c>
      <c r="B903" s="8">
        <v>527.79999999999995</v>
      </c>
      <c r="C903" s="11">
        <f t="shared" si="68"/>
        <v>516.75559999999996</v>
      </c>
      <c r="D903" s="11">
        <f t="shared" si="67"/>
        <v>476.63440000000014</v>
      </c>
      <c r="E903" s="8"/>
      <c r="F903" s="8"/>
      <c r="G903" s="8">
        <f t="shared" ca="1" si="69"/>
        <v>516.75559999999996</v>
      </c>
      <c r="H903" s="8">
        <f t="shared" ca="1" si="70"/>
        <v>476.63440000000014</v>
      </c>
      <c r="I903" s="12">
        <f ca="1">IF(AND('Data Analysis Addin'!$G903&lt;='Data Analysis Addin'!$H903,G904&gt;H904), 1, 0)</f>
        <v>0</v>
      </c>
      <c r="J903" s="2">
        <f t="shared" ca="1" si="71"/>
        <v>0</v>
      </c>
      <c r="K903" s="17">
        <f>YEAR('Data Analysis Addin'!$A903)</f>
        <v>2024</v>
      </c>
    </row>
    <row r="904" spans="1:11" x14ac:dyDescent="0.4">
      <c r="A904" s="18">
        <v>45447</v>
      </c>
      <c r="B904" s="9">
        <v>528.39</v>
      </c>
      <c r="C904" s="11">
        <f t="shared" si="68"/>
        <v>516.89919999999995</v>
      </c>
      <c r="D904" s="11">
        <f t="shared" si="67"/>
        <v>477.09490000000011</v>
      </c>
      <c r="E904" s="9"/>
      <c r="F904" s="9"/>
      <c r="G904" s="9">
        <f t="shared" ca="1" si="69"/>
        <v>516.89919999999995</v>
      </c>
      <c r="H904" s="9">
        <f t="shared" ca="1" si="70"/>
        <v>477.09490000000011</v>
      </c>
      <c r="I904" s="12">
        <f ca="1">IF(AND('Data Analysis Addin'!$G904&lt;='Data Analysis Addin'!$H904,G905&gt;H905), 1, 0)</f>
        <v>0</v>
      </c>
      <c r="J904" s="3">
        <f t="shared" ca="1" si="71"/>
        <v>0</v>
      </c>
      <c r="K904" s="19">
        <f>YEAR('Data Analysis Addin'!$A904)</f>
        <v>2024</v>
      </c>
    </row>
    <row r="905" spans="1:11" x14ac:dyDescent="0.4">
      <c r="A905" s="16">
        <v>45448</v>
      </c>
      <c r="B905" s="8">
        <v>534.66999999999996</v>
      </c>
      <c r="C905" s="11">
        <f t="shared" si="68"/>
        <v>517.19719999999984</v>
      </c>
      <c r="D905" s="11">
        <f t="shared" si="67"/>
        <v>477.58575000000013</v>
      </c>
      <c r="E905" s="8"/>
      <c r="F905" s="8"/>
      <c r="G905" s="8">
        <f t="shared" ca="1" si="69"/>
        <v>517.19719999999984</v>
      </c>
      <c r="H905" s="8">
        <f t="shared" ca="1" si="70"/>
        <v>477.58575000000013</v>
      </c>
      <c r="I905" s="12">
        <f ca="1">IF(AND('Data Analysis Addin'!$G905&lt;='Data Analysis Addin'!$H905,G906&gt;H906), 1, 0)</f>
        <v>0</v>
      </c>
      <c r="J905" s="2">
        <f t="shared" ca="1" si="71"/>
        <v>0</v>
      </c>
      <c r="K905" s="17">
        <f>YEAR('Data Analysis Addin'!$A905)</f>
        <v>2024</v>
      </c>
    </row>
    <row r="906" spans="1:11" x14ac:dyDescent="0.4">
      <c r="A906" s="18">
        <v>45449</v>
      </c>
      <c r="B906" s="9">
        <v>534.66</v>
      </c>
      <c r="C906" s="11">
        <f t="shared" si="68"/>
        <v>517.51419999999996</v>
      </c>
      <c r="D906" s="11">
        <f t="shared" ref="D906:D969" si="72">AVERAGE(B707:B906)</f>
        <v>478.06235000000015</v>
      </c>
      <c r="E906" s="9"/>
      <c r="F906" s="9"/>
      <c r="G906" s="9">
        <f t="shared" ca="1" si="69"/>
        <v>517.51419999999996</v>
      </c>
      <c r="H906" s="9">
        <f t="shared" ca="1" si="70"/>
        <v>478.06235000000015</v>
      </c>
      <c r="I906" s="12">
        <f ca="1">IF(AND('Data Analysis Addin'!$G906&lt;='Data Analysis Addin'!$H906,G907&gt;H907), 1, 0)</f>
        <v>0</v>
      </c>
      <c r="J906" s="3">
        <f t="shared" ca="1" si="71"/>
        <v>0</v>
      </c>
      <c r="K906" s="19">
        <f>YEAR('Data Analysis Addin'!$A906)</f>
        <v>2024</v>
      </c>
    </row>
    <row r="907" spans="1:11" x14ac:dyDescent="0.4">
      <c r="A907" s="16">
        <v>45450</v>
      </c>
      <c r="B907" s="8">
        <v>534.01</v>
      </c>
      <c r="C907" s="11">
        <f t="shared" si="68"/>
        <v>517.73099999999988</v>
      </c>
      <c r="D907" s="11">
        <f t="shared" si="72"/>
        <v>478.54165000000006</v>
      </c>
      <c r="E907" s="8"/>
      <c r="F907" s="8"/>
      <c r="G907" s="8">
        <f t="shared" ca="1" si="69"/>
        <v>517.73099999999988</v>
      </c>
      <c r="H907" s="8">
        <f t="shared" ca="1" si="70"/>
        <v>478.54165000000006</v>
      </c>
      <c r="I907" s="12">
        <f ca="1">IF(AND('Data Analysis Addin'!$G907&lt;='Data Analysis Addin'!$H907,G908&gt;H908), 1, 0)</f>
        <v>0</v>
      </c>
      <c r="J907" s="2">
        <f t="shared" ca="1" si="71"/>
        <v>0</v>
      </c>
      <c r="K907" s="17">
        <f>YEAR('Data Analysis Addin'!$A907)</f>
        <v>2024</v>
      </c>
    </row>
    <row r="908" spans="1:11" x14ac:dyDescent="0.4">
      <c r="A908" s="18">
        <v>45453</v>
      </c>
      <c r="B908" s="9">
        <v>535.66</v>
      </c>
      <c r="C908" s="11">
        <f t="shared" si="68"/>
        <v>517.98279999999988</v>
      </c>
      <c r="D908" s="11">
        <f t="shared" si="72"/>
        <v>479.0048000000001</v>
      </c>
      <c r="E908" s="9"/>
      <c r="F908" s="9"/>
      <c r="G908" s="9">
        <f t="shared" ca="1" si="69"/>
        <v>517.98279999999988</v>
      </c>
      <c r="H908" s="9">
        <f t="shared" ca="1" si="70"/>
        <v>479.0048000000001</v>
      </c>
      <c r="I908" s="12">
        <f ca="1">IF(AND('Data Analysis Addin'!$G908&lt;='Data Analysis Addin'!$H908,G909&gt;H909), 1, 0)</f>
        <v>0</v>
      </c>
      <c r="J908" s="3">
        <f t="shared" ca="1" si="71"/>
        <v>0</v>
      </c>
      <c r="K908" s="19">
        <f>YEAR('Data Analysis Addin'!$A908)</f>
        <v>2024</v>
      </c>
    </row>
    <row r="909" spans="1:11" x14ac:dyDescent="0.4">
      <c r="A909" s="16">
        <v>45454</v>
      </c>
      <c r="B909" s="8">
        <v>536.95000000000005</v>
      </c>
      <c r="C909" s="11">
        <f t="shared" si="68"/>
        <v>518.27859999999998</v>
      </c>
      <c r="D909" s="11">
        <f t="shared" si="72"/>
        <v>479.50510000000008</v>
      </c>
      <c r="E909" s="8"/>
      <c r="F909" s="8"/>
      <c r="G909" s="8">
        <f t="shared" ca="1" si="69"/>
        <v>518.27859999999998</v>
      </c>
      <c r="H909" s="8">
        <f t="shared" ca="1" si="70"/>
        <v>479.50510000000008</v>
      </c>
      <c r="I909" s="12">
        <f ca="1">IF(AND('Data Analysis Addin'!$G909&lt;='Data Analysis Addin'!$H909,G910&gt;H910), 1, 0)</f>
        <v>0</v>
      </c>
      <c r="J909" s="2">
        <f t="shared" ca="1" si="71"/>
        <v>0</v>
      </c>
      <c r="K909" s="17">
        <f>YEAR('Data Analysis Addin'!$A909)</f>
        <v>2024</v>
      </c>
    </row>
    <row r="910" spans="1:11" x14ac:dyDescent="0.4">
      <c r="A910" s="18">
        <v>45455</v>
      </c>
      <c r="B910" s="9">
        <v>541.36</v>
      </c>
      <c r="C910" s="11">
        <f t="shared" si="68"/>
        <v>518.72899999999993</v>
      </c>
      <c r="D910" s="11">
        <f t="shared" si="72"/>
        <v>480.0120500000001</v>
      </c>
      <c r="E910" s="9"/>
      <c r="F910" s="9"/>
      <c r="G910" s="9">
        <f t="shared" ca="1" si="69"/>
        <v>518.72899999999993</v>
      </c>
      <c r="H910" s="9">
        <f t="shared" ca="1" si="70"/>
        <v>480.0120500000001</v>
      </c>
      <c r="I910" s="12">
        <f ca="1">IF(AND('Data Analysis Addin'!$G910&lt;='Data Analysis Addin'!$H910,G911&gt;H911), 1, 0)</f>
        <v>0</v>
      </c>
      <c r="J910" s="3">
        <f t="shared" ca="1" si="71"/>
        <v>0</v>
      </c>
      <c r="K910" s="19">
        <f>YEAR('Data Analysis Addin'!$A910)</f>
        <v>2024</v>
      </c>
    </row>
    <row r="911" spans="1:11" x14ac:dyDescent="0.4">
      <c r="A911" s="16">
        <v>45456</v>
      </c>
      <c r="B911" s="8">
        <v>542.45000000000005</v>
      </c>
      <c r="C911" s="11">
        <f t="shared" si="68"/>
        <v>519.18979999999999</v>
      </c>
      <c r="D911" s="11">
        <f t="shared" si="72"/>
        <v>480.51050000000015</v>
      </c>
      <c r="E911" s="8"/>
      <c r="F911" s="8"/>
      <c r="G911" s="8">
        <f t="shared" ca="1" si="69"/>
        <v>519.18979999999999</v>
      </c>
      <c r="H911" s="8">
        <f t="shared" ca="1" si="70"/>
        <v>480.51050000000015</v>
      </c>
      <c r="I911" s="12">
        <f ca="1">IF(AND('Data Analysis Addin'!$G911&lt;='Data Analysis Addin'!$H911,G912&gt;H912), 1, 0)</f>
        <v>0</v>
      </c>
      <c r="J911" s="2">
        <f t="shared" ca="1" si="71"/>
        <v>0</v>
      </c>
      <c r="K911" s="17">
        <f>YEAR('Data Analysis Addin'!$A911)</f>
        <v>2024</v>
      </c>
    </row>
    <row r="912" spans="1:11" x14ac:dyDescent="0.4">
      <c r="A912" s="18">
        <v>45457</v>
      </c>
      <c r="B912" s="9">
        <v>542.78</v>
      </c>
      <c r="C912" s="11">
        <f t="shared" si="68"/>
        <v>519.78399999999999</v>
      </c>
      <c r="D912" s="11">
        <f t="shared" si="72"/>
        <v>480.97860000000009</v>
      </c>
      <c r="E912" s="9"/>
      <c r="F912" s="9"/>
      <c r="G912" s="9">
        <f t="shared" ca="1" si="69"/>
        <v>519.78399999999999</v>
      </c>
      <c r="H912" s="9">
        <f t="shared" ca="1" si="70"/>
        <v>480.97860000000009</v>
      </c>
      <c r="I912" s="12">
        <f ca="1">IF(AND('Data Analysis Addin'!$G912&lt;='Data Analysis Addin'!$H912,G913&gt;H913), 1, 0)</f>
        <v>0</v>
      </c>
      <c r="J912" s="3">
        <f t="shared" ca="1" si="71"/>
        <v>0</v>
      </c>
      <c r="K912" s="19">
        <f>YEAR('Data Analysis Addin'!$A912)</f>
        <v>2024</v>
      </c>
    </row>
    <row r="913" spans="1:11" x14ac:dyDescent="0.4">
      <c r="A913" s="16">
        <v>45460</v>
      </c>
      <c r="B913" s="8">
        <v>547.1</v>
      </c>
      <c r="C913" s="11">
        <f t="shared" si="68"/>
        <v>520.35739999999987</v>
      </c>
      <c r="D913" s="11">
        <f t="shared" si="72"/>
        <v>481.45905000000016</v>
      </c>
      <c r="E913" s="8"/>
      <c r="F913" s="8"/>
      <c r="G913" s="8">
        <f t="shared" ca="1" si="69"/>
        <v>520.35739999999987</v>
      </c>
      <c r="H913" s="8">
        <f t="shared" ca="1" si="70"/>
        <v>481.45905000000016</v>
      </c>
      <c r="I913" s="12">
        <f ca="1">IF(AND('Data Analysis Addin'!$G913&lt;='Data Analysis Addin'!$H913,G914&gt;H914), 1, 0)</f>
        <v>0</v>
      </c>
      <c r="J913" s="2">
        <f t="shared" ca="1" si="71"/>
        <v>0</v>
      </c>
      <c r="K913" s="17">
        <f>YEAR('Data Analysis Addin'!$A913)</f>
        <v>2024</v>
      </c>
    </row>
    <row r="914" spans="1:11" x14ac:dyDescent="0.4">
      <c r="A914" s="18">
        <v>45461</v>
      </c>
      <c r="B914" s="9">
        <v>548.49</v>
      </c>
      <c r="C914" s="11">
        <f t="shared" si="68"/>
        <v>520.95279999999991</v>
      </c>
      <c r="D914" s="11">
        <f t="shared" si="72"/>
        <v>481.94975000000011</v>
      </c>
      <c r="E914" s="9"/>
      <c r="F914" s="9"/>
      <c r="G914" s="9">
        <f t="shared" ca="1" si="69"/>
        <v>520.95279999999991</v>
      </c>
      <c r="H914" s="9">
        <f t="shared" ca="1" si="70"/>
        <v>481.94975000000011</v>
      </c>
      <c r="I914" s="12">
        <f ca="1">IF(AND('Data Analysis Addin'!$G914&lt;='Data Analysis Addin'!$H914,G915&gt;H915), 1, 0)</f>
        <v>0</v>
      </c>
      <c r="J914" s="3">
        <f t="shared" ca="1" si="71"/>
        <v>0</v>
      </c>
      <c r="K914" s="19">
        <f>YEAR('Data Analysis Addin'!$A914)</f>
        <v>2024</v>
      </c>
    </row>
    <row r="915" spans="1:11" x14ac:dyDescent="0.4">
      <c r="A915" s="16">
        <v>45463</v>
      </c>
      <c r="B915" s="8">
        <v>547</v>
      </c>
      <c r="C915" s="11">
        <f t="shared" si="68"/>
        <v>521.50639999999987</v>
      </c>
      <c r="D915" s="11">
        <f t="shared" si="72"/>
        <v>482.42880000000014</v>
      </c>
      <c r="E915" s="8"/>
      <c r="F915" s="8"/>
      <c r="G915" s="8">
        <f t="shared" ca="1" si="69"/>
        <v>521.50639999999987</v>
      </c>
      <c r="H915" s="8">
        <f t="shared" ca="1" si="70"/>
        <v>482.42880000000014</v>
      </c>
      <c r="I915" s="12">
        <f ca="1">IF(AND('Data Analysis Addin'!$G915&lt;='Data Analysis Addin'!$H915,G916&gt;H916), 1, 0)</f>
        <v>0</v>
      </c>
      <c r="J915" s="2">
        <f t="shared" ca="1" si="71"/>
        <v>0</v>
      </c>
      <c r="K915" s="17">
        <f>YEAR('Data Analysis Addin'!$A915)</f>
        <v>2024</v>
      </c>
    </row>
    <row r="916" spans="1:11" x14ac:dyDescent="0.4">
      <c r="A916" s="18">
        <v>45464</v>
      </c>
      <c r="B916" s="9">
        <v>544.51</v>
      </c>
      <c r="C916" s="11">
        <f t="shared" si="68"/>
        <v>522.11419999999987</v>
      </c>
      <c r="D916" s="11">
        <f t="shared" si="72"/>
        <v>482.90515000000005</v>
      </c>
      <c r="E916" s="9"/>
      <c r="F916" s="9"/>
      <c r="G916" s="9">
        <f t="shared" ca="1" si="69"/>
        <v>522.11419999999987</v>
      </c>
      <c r="H916" s="9">
        <f t="shared" ca="1" si="70"/>
        <v>482.90515000000005</v>
      </c>
      <c r="I916" s="12">
        <f ca="1">IF(AND('Data Analysis Addin'!$G916&lt;='Data Analysis Addin'!$H916,G917&gt;H917), 1, 0)</f>
        <v>0</v>
      </c>
      <c r="J916" s="3">
        <f t="shared" ca="1" si="71"/>
        <v>0</v>
      </c>
      <c r="K916" s="19">
        <f>YEAR('Data Analysis Addin'!$A916)</f>
        <v>2024</v>
      </c>
    </row>
    <row r="917" spans="1:11" x14ac:dyDescent="0.4">
      <c r="A917" s="16">
        <v>45467</v>
      </c>
      <c r="B917" s="8">
        <v>542.74</v>
      </c>
      <c r="C917" s="11">
        <f t="shared" si="68"/>
        <v>522.60899999999992</v>
      </c>
      <c r="D917" s="11">
        <f t="shared" si="72"/>
        <v>483.3877500000001</v>
      </c>
      <c r="E917" s="8"/>
      <c r="F917" s="8"/>
      <c r="G917" s="8">
        <f t="shared" ca="1" si="69"/>
        <v>522.60899999999992</v>
      </c>
      <c r="H917" s="8">
        <f t="shared" ca="1" si="70"/>
        <v>483.3877500000001</v>
      </c>
      <c r="I917" s="12">
        <f ca="1">IF(AND('Data Analysis Addin'!$G917&lt;='Data Analysis Addin'!$H917,G918&gt;H918), 1, 0)</f>
        <v>0</v>
      </c>
      <c r="J917" s="2">
        <f t="shared" ca="1" si="71"/>
        <v>0</v>
      </c>
      <c r="K917" s="17">
        <f>YEAR('Data Analysis Addin'!$A917)</f>
        <v>2024</v>
      </c>
    </row>
    <row r="918" spans="1:11" x14ac:dyDescent="0.4">
      <c r="A918" s="18">
        <v>45468</v>
      </c>
      <c r="B918" s="9">
        <v>544.83000000000004</v>
      </c>
      <c r="C918" s="11">
        <f t="shared" si="68"/>
        <v>523.28859999999997</v>
      </c>
      <c r="D918" s="11">
        <f t="shared" si="72"/>
        <v>483.88765000000006</v>
      </c>
      <c r="E918" s="9"/>
      <c r="F918" s="9"/>
      <c r="G918" s="9">
        <f t="shared" ca="1" si="69"/>
        <v>523.28859999999997</v>
      </c>
      <c r="H918" s="9">
        <f t="shared" ca="1" si="70"/>
        <v>483.88765000000006</v>
      </c>
      <c r="I918" s="12">
        <f ca="1">IF(AND('Data Analysis Addin'!$G918&lt;='Data Analysis Addin'!$H918,G919&gt;H919), 1, 0)</f>
        <v>0</v>
      </c>
      <c r="J918" s="3">
        <f t="shared" ca="1" si="71"/>
        <v>0</v>
      </c>
      <c r="K918" s="19">
        <f>YEAR('Data Analysis Addin'!$A918)</f>
        <v>2024</v>
      </c>
    </row>
    <row r="919" spans="1:11" x14ac:dyDescent="0.4">
      <c r="A919" s="16">
        <v>45469</v>
      </c>
      <c r="B919" s="8">
        <v>545.51</v>
      </c>
      <c r="C919" s="11">
        <f t="shared" si="68"/>
        <v>524.10979999999984</v>
      </c>
      <c r="D919" s="11">
        <f t="shared" si="72"/>
        <v>484.38760000000002</v>
      </c>
      <c r="E919" s="8"/>
      <c r="F919" s="8"/>
      <c r="G919" s="8">
        <f t="shared" ca="1" si="69"/>
        <v>524.10979999999984</v>
      </c>
      <c r="H919" s="8">
        <f t="shared" ca="1" si="70"/>
        <v>484.38760000000002</v>
      </c>
      <c r="I919" s="12">
        <f ca="1">IF(AND('Data Analysis Addin'!$G919&lt;='Data Analysis Addin'!$H919,G920&gt;H920), 1, 0)</f>
        <v>0</v>
      </c>
      <c r="J919" s="2">
        <f t="shared" ca="1" si="71"/>
        <v>0</v>
      </c>
      <c r="K919" s="17">
        <f>YEAR('Data Analysis Addin'!$A919)</f>
        <v>2024</v>
      </c>
    </row>
    <row r="920" spans="1:11" x14ac:dyDescent="0.4">
      <c r="A920" s="18">
        <v>45470</v>
      </c>
      <c r="B920" s="9">
        <v>546.37</v>
      </c>
      <c r="C920" s="11">
        <f t="shared" si="68"/>
        <v>524.96659999999997</v>
      </c>
      <c r="D920" s="11">
        <f t="shared" si="72"/>
        <v>484.87720000000002</v>
      </c>
      <c r="E920" s="9"/>
      <c r="F920" s="9"/>
      <c r="G920" s="9">
        <f t="shared" ca="1" si="69"/>
        <v>524.96659999999997</v>
      </c>
      <c r="H920" s="9">
        <f t="shared" ca="1" si="70"/>
        <v>484.87720000000002</v>
      </c>
      <c r="I920" s="12">
        <f ca="1">IF(AND('Data Analysis Addin'!$G920&lt;='Data Analysis Addin'!$H920,G921&gt;H921), 1, 0)</f>
        <v>0</v>
      </c>
      <c r="J920" s="3">
        <f t="shared" ca="1" si="71"/>
        <v>0</v>
      </c>
      <c r="K920" s="19">
        <f>YEAR('Data Analysis Addin'!$A920)</f>
        <v>2024</v>
      </c>
    </row>
    <row r="921" spans="1:11" x14ac:dyDescent="0.4">
      <c r="A921" s="16">
        <v>45471</v>
      </c>
      <c r="B921" s="8">
        <v>544.22</v>
      </c>
      <c r="C921" s="11">
        <f t="shared" si="68"/>
        <v>525.84</v>
      </c>
      <c r="D921" s="11">
        <f t="shared" si="72"/>
        <v>485.36834999999996</v>
      </c>
      <c r="E921" s="8"/>
      <c r="F921" s="8"/>
      <c r="G921" s="8">
        <f t="shared" ca="1" si="69"/>
        <v>525.84</v>
      </c>
      <c r="H921" s="8">
        <f t="shared" ca="1" si="70"/>
        <v>485.36834999999996</v>
      </c>
      <c r="I921" s="12">
        <f ca="1">IF(AND('Data Analysis Addin'!$G921&lt;='Data Analysis Addin'!$H921,G922&gt;H922), 1, 0)</f>
        <v>0</v>
      </c>
      <c r="J921" s="2">
        <f t="shared" ca="1" si="71"/>
        <v>0</v>
      </c>
      <c r="K921" s="17">
        <f>YEAR('Data Analysis Addin'!$A921)</f>
        <v>2024</v>
      </c>
    </row>
    <row r="922" spans="1:11" x14ac:dyDescent="0.4">
      <c r="A922" s="18">
        <v>45474</v>
      </c>
      <c r="B922" s="9">
        <v>545.34</v>
      </c>
      <c r="C922" s="11">
        <f t="shared" si="68"/>
        <v>526.75639999999999</v>
      </c>
      <c r="D922" s="11">
        <f t="shared" si="72"/>
        <v>485.86250000000001</v>
      </c>
      <c r="E922" s="9"/>
      <c r="F922" s="9"/>
      <c r="G922" s="9">
        <f t="shared" ca="1" si="69"/>
        <v>526.75639999999999</v>
      </c>
      <c r="H922" s="9">
        <f t="shared" ca="1" si="70"/>
        <v>485.86250000000001</v>
      </c>
      <c r="I922" s="12">
        <f ca="1">IF(AND('Data Analysis Addin'!$G922&lt;='Data Analysis Addin'!$H922,G923&gt;H923), 1, 0)</f>
        <v>0</v>
      </c>
      <c r="J922" s="3">
        <f t="shared" ca="1" si="71"/>
        <v>0</v>
      </c>
      <c r="K922" s="19">
        <f>YEAR('Data Analysis Addin'!$A922)</f>
        <v>2024</v>
      </c>
    </row>
    <row r="923" spans="1:11" x14ac:dyDescent="0.4">
      <c r="A923" s="16">
        <v>45475</v>
      </c>
      <c r="B923" s="8">
        <v>549.01</v>
      </c>
      <c r="C923" s="11">
        <f t="shared" si="68"/>
        <v>527.83339999999998</v>
      </c>
      <c r="D923" s="11">
        <f t="shared" si="72"/>
        <v>486.35574999999994</v>
      </c>
      <c r="E923" s="8"/>
      <c r="F923" s="8"/>
      <c r="G923" s="8">
        <f t="shared" ca="1" si="69"/>
        <v>527.83339999999998</v>
      </c>
      <c r="H923" s="8">
        <f t="shared" ca="1" si="70"/>
        <v>486.35574999999994</v>
      </c>
      <c r="I923" s="12">
        <f ca="1">IF(AND('Data Analysis Addin'!$G923&lt;='Data Analysis Addin'!$H923,G924&gt;H924), 1, 0)</f>
        <v>0</v>
      </c>
      <c r="J923" s="2">
        <f t="shared" ca="1" si="71"/>
        <v>0</v>
      </c>
      <c r="K923" s="17">
        <f>YEAR('Data Analysis Addin'!$A923)</f>
        <v>2024</v>
      </c>
    </row>
    <row r="924" spans="1:11" x14ac:dyDescent="0.4">
      <c r="A924" s="18">
        <v>45476</v>
      </c>
      <c r="B924" s="9">
        <v>551.46</v>
      </c>
      <c r="C924" s="11">
        <f t="shared" si="68"/>
        <v>528.8682</v>
      </c>
      <c r="D924" s="11">
        <f t="shared" si="72"/>
        <v>486.89619999999996</v>
      </c>
      <c r="E924" s="9"/>
      <c r="F924" s="9"/>
      <c r="G924" s="9">
        <f t="shared" ca="1" si="69"/>
        <v>528.8682</v>
      </c>
      <c r="H924" s="9">
        <f t="shared" ca="1" si="70"/>
        <v>486.89619999999996</v>
      </c>
      <c r="I924" s="12">
        <f ca="1">IF(AND('Data Analysis Addin'!$G924&lt;='Data Analysis Addin'!$H924,G925&gt;H925), 1, 0)</f>
        <v>0</v>
      </c>
      <c r="J924" s="3">
        <f t="shared" ca="1" si="71"/>
        <v>0</v>
      </c>
      <c r="K924" s="19">
        <f>YEAR('Data Analysis Addin'!$A924)</f>
        <v>2024</v>
      </c>
    </row>
    <row r="925" spans="1:11" x14ac:dyDescent="0.4">
      <c r="A925" s="16">
        <v>45478</v>
      </c>
      <c r="B925" s="8">
        <v>554.64</v>
      </c>
      <c r="C925" s="11">
        <f t="shared" si="68"/>
        <v>529.84800000000007</v>
      </c>
      <c r="D925" s="11">
        <f t="shared" si="72"/>
        <v>487.45125000000002</v>
      </c>
      <c r="E925" s="8"/>
      <c r="F925" s="8"/>
      <c r="G925" s="8">
        <f t="shared" ca="1" si="69"/>
        <v>529.84800000000007</v>
      </c>
      <c r="H925" s="8">
        <f t="shared" ca="1" si="70"/>
        <v>487.45125000000002</v>
      </c>
      <c r="I925" s="12">
        <f ca="1">IF(AND('Data Analysis Addin'!$G925&lt;='Data Analysis Addin'!$H925,G926&gt;H926), 1, 0)</f>
        <v>0</v>
      </c>
      <c r="J925" s="2">
        <f t="shared" ca="1" si="71"/>
        <v>0</v>
      </c>
      <c r="K925" s="17">
        <f>YEAR('Data Analysis Addin'!$A925)</f>
        <v>2024</v>
      </c>
    </row>
    <row r="926" spans="1:11" x14ac:dyDescent="0.4">
      <c r="A926" s="18">
        <v>45481</v>
      </c>
      <c r="B926" s="9">
        <v>555.28</v>
      </c>
      <c r="C926" s="11">
        <f t="shared" si="68"/>
        <v>530.84540000000004</v>
      </c>
      <c r="D926" s="11">
        <f t="shared" si="72"/>
        <v>488.01409999999998</v>
      </c>
      <c r="E926" s="9"/>
      <c r="F926" s="9"/>
      <c r="G926" s="9">
        <f t="shared" ca="1" si="69"/>
        <v>530.84540000000004</v>
      </c>
      <c r="H926" s="9">
        <f t="shared" ca="1" si="70"/>
        <v>488.01409999999998</v>
      </c>
      <c r="I926" s="12">
        <f ca="1">IF(AND('Data Analysis Addin'!$G926&lt;='Data Analysis Addin'!$H926,G927&gt;H927), 1, 0)</f>
        <v>0</v>
      </c>
      <c r="J926" s="3">
        <f t="shared" ca="1" si="71"/>
        <v>0</v>
      </c>
      <c r="K926" s="19">
        <f>YEAR('Data Analysis Addin'!$A926)</f>
        <v>2024</v>
      </c>
    </row>
    <row r="927" spans="1:11" x14ac:dyDescent="0.4">
      <c r="A927" s="16">
        <v>45482</v>
      </c>
      <c r="B927" s="8">
        <v>555.82000000000005</v>
      </c>
      <c r="C927" s="11">
        <f t="shared" si="68"/>
        <v>531.89199999999994</v>
      </c>
      <c r="D927" s="11">
        <f t="shared" si="72"/>
        <v>488.60000000000008</v>
      </c>
      <c r="E927" s="8"/>
      <c r="F927" s="8"/>
      <c r="G927" s="8">
        <f t="shared" ca="1" si="69"/>
        <v>531.89199999999994</v>
      </c>
      <c r="H927" s="8">
        <f t="shared" ca="1" si="70"/>
        <v>488.60000000000008</v>
      </c>
      <c r="I927" s="12">
        <f ca="1">IF(AND('Data Analysis Addin'!$G927&lt;='Data Analysis Addin'!$H927,G928&gt;H928), 1, 0)</f>
        <v>0</v>
      </c>
      <c r="J927" s="2">
        <f t="shared" ca="1" si="71"/>
        <v>0</v>
      </c>
      <c r="K927" s="17">
        <f>YEAR('Data Analysis Addin'!$A927)</f>
        <v>2024</v>
      </c>
    </row>
    <row r="928" spans="1:11" x14ac:dyDescent="0.4">
      <c r="A928" s="18">
        <v>45483</v>
      </c>
      <c r="B928" s="9">
        <v>561.32000000000005</v>
      </c>
      <c r="C928" s="11">
        <f t="shared" si="68"/>
        <v>532.95319999999992</v>
      </c>
      <c r="D928" s="11">
        <f t="shared" si="72"/>
        <v>489.24965000000009</v>
      </c>
      <c r="E928" s="9"/>
      <c r="F928" s="9"/>
      <c r="G928" s="9">
        <f t="shared" ca="1" si="69"/>
        <v>532.95319999999992</v>
      </c>
      <c r="H928" s="9">
        <f t="shared" ca="1" si="70"/>
        <v>489.24965000000009</v>
      </c>
      <c r="I928" s="12">
        <f ca="1">IF(AND('Data Analysis Addin'!$G928&lt;='Data Analysis Addin'!$H928,G929&gt;H929), 1, 0)</f>
        <v>0</v>
      </c>
      <c r="J928" s="3">
        <f t="shared" ca="1" si="71"/>
        <v>0</v>
      </c>
      <c r="K928" s="19">
        <f>YEAR('Data Analysis Addin'!$A928)</f>
        <v>2024</v>
      </c>
    </row>
    <row r="929" spans="1:11" x14ac:dyDescent="0.4">
      <c r="A929" s="16">
        <v>45484</v>
      </c>
      <c r="B929" s="8">
        <v>556.48</v>
      </c>
      <c r="C929" s="11">
        <f t="shared" si="68"/>
        <v>533.88159999999993</v>
      </c>
      <c r="D929" s="11">
        <f t="shared" si="72"/>
        <v>489.87995000000001</v>
      </c>
      <c r="E929" s="8"/>
      <c r="F929" s="8"/>
      <c r="G929" s="8">
        <f t="shared" ca="1" si="69"/>
        <v>533.88159999999993</v>
      </c>
      <c r="H929" s="8">
        <f t="shared" ca="1" si="70"/>
        <v>489.87995000000001</v>
      </c>
      <c r="I929" s="12">
        <f ca="1">IF(AND('Data Analysis Addin'!$G929&lt;='Data Analysis Addin'!$H929,G930&gt;H930), 1, 0)</f>
        <v>0</v>
      </c>
      <c r="J929" s="2">
        <f t="shared" ca="1" si="71"/>
        <v>0</v>
      </c>
      <c r="K929" s="17">
        <f>YEAR('Data Analysis Addin'!$A929)</f>
        <v>2024</v>
      </c>
    </row>
    <row r="930" spans="1:11" x14ac:dyDescent="0.4">
      <c r="A930" s="18">
        <v>45485</v>
      </c>
      <c r="B930" s="9">
        <v>559.99</v>
      </c>
      <c r="C930" s="11">
        <f t="shared" si="68"/>
        <v>535.04179999999997</v>
      </c>
      <c r="D930" s="11">
        <f t="shared" si="72"/>
        <v>490.51875000000007</v>
      </c>
      <c r="E930" s="9"/>
      <c r="F930" s="9"/>
      <c r="G930" s="9">
        <f t="shared" ca="1" si="69"/>
        <v>535.04179999999997</v>
      </c>
      <c r="H930" s="9">
        <f t="shared" ca="1" si="70"/>
        <v>490.51875000000007</v>
      </c>
      <c r="I930" s="12">
        <f ca="1">IF(AND('Data Analysis Addin'!$G930&lt;='Data Analysis Addin'!$H930,G931&gt;H931), 1, 0)</f>
        <v>0</v>
      </c>
      <c r="J930" s="3">
        <f t="shared" ca="1" si="71"/>
        <v>0</v>
      </c>
      <c r="K930" s="19">
        <f>YEAR('Data Analysis Addin'!$A930)</f>
        <v>2024</v>
      </c>
    </row>
    <row r="931" spans="1:11" x14ac:dyDescent="0.4">
      <c r="A931" s="16">
        <v>45488</v>
      </c>
      <c r="B931" s="8">
        <v>561.53</v>
      </c>
      <c r="C931" s="11">
        <f t="shared" si="68"/>
        <v>536.2654</v>
      </c>
      <c r="D931" s="11">
        <f t="shared" si="72"/>
        <v>491.19700000000012</v>
      </c>
      <c r="E931" s="8"/>
      <c r="F931" s="8"/>
      <c r="G931" s="8">
        <f t="shared" ca="1" si="69"/>
        <v>536.2654</v>
      </c>
      <c r="H931" s="8">
        <f t="shared" ca="1" si="70"/>
        <v>491.19700000000012</v>
      </c>
      <c r="I931" s="12">
        <f ca="1">IF(AND('Data Analysis Addin'!$G931&lt;='Data Analysis Addin'!$H931,G932&gt;H932), 1, 0)</f>
        <v>0</v>
      </c>
      <c r="J931" s="2">
        <f t="shared" ca="1" si="71"/>
        <v>0</v>
      </c>
      <c r="K931" s="17">
        <f>YEAR('Data Analysis Addin'!$A931)</f>
        <v>2024</v>
      </c>
    </row>
    <row r="932" spans="1:11" x14ac:dyDescent="0.4">
      <c r="A932" s="18">
        <v>45489</v>
      </c>
      <c r="B932" s="9">
        <v>564.86</v>
      </c>
      <c r="C932" s="11">
        <f t="shared" si="68"/>
        <v>537.46199999999999</v>
      </c>
      <c r="D932" s="11">
        <f t="shared" si="72"/>
        <v>491.89105000000001</v>
      </c>
      <c r="E932" s="9"/>
      <c r="F932" s="9"/>
      <c r="G932" s="9">
        <f t="shared" ca="1" si="69"/>
        <v>537.46199999999999</v>
      </c>
      <c r="H932" s="9">
        <f t="shared" ca="1" si="70"/>
        <v>491.89105000000001</v>
      </c>
      <c r="I932" s="12">
        <f ca="1">IF(AND('Data Analysis Addin'!$G932&lt;='Data Analysis Addin'!$H932,G933&gt;H933), 1, 0)</f>
        <v>0</v>
      </c>
      <c r="J932" s="3">
        <f t="shared" ca="1" si="71"/>
        <v>0</v>
      </c>
      <c r="K932" s="19">
        <f>YEAR('Data Analysis Addin'!$A932)</f>
        <v>2024</v>
      </c>
    </row>
    <row r="933" spans="1:11" x14ac:dyDescent="0.4">
      <c r="A933" s="16">
        <v>45490</v>
      </c>
      <c r="B933" s="8">
        <v>556.94000000000005</v>
      </c>
      <c r="C933" s="11">
        <f t="shared" si="68"/>
        <v>538.375</v>
      </c>
      <c r="D933" s="11">
        <f t="shared" si="72"/>
        <v>492.53315000000009</v>
      </c>
      <c r="E933" s="8"/>
      <c r="F933" s="8"/>
      <c r="G933" s="8">
        <f t="shared" ca="1" si="69"/>
        <v>538.375</v>
      </c>
      <c r="H933" s="8">
        <f t="shared" ca="1" si="70"/>
        <v>492.53315000000009</v>
      </c>
      <c r="I933" s="12">
        <f ca="1">IF(AND('Data Analysis Addin'!$G933&lt;='Data Analysis Addin'!$H933,G934&gt;H934), 1, 0)</f>
        <v>0</v>
      </c>
      <c r="J933" s="2">
        <f t="shared" ca="1" si="71"/>
        <v>0</v>
      </c>
      <c r="K933" s="17">
        <f>YEAR('Data Analysis Addin'!$A933)</f>
        <v>2024</v>
      </c>
    </row>
    <row r="934" spans="1:11" x14ac:dyDescent="0.4">
      <c r="A934" s="18">
        <v>45491</v>
      </c>
      <c r="B934" s="9">
        <v>552.66</v>
      </c>
      <c r="C934" s="11">
        <f t="shared" si="68"/>
        <v>539.09679999999992</v>
      </c>
      <c r="D934" s="11">
        <f t="shared" si="72"/>
        <v>493.15905000000015</v>
      </c>
      <c r="E934" s="9"/>
      <c r="F934" s="9"/>
      <c r="G934" s="9">
        <f t="shared" ca="1" si="69"/>
        <v>539.09679999999992</v>
      </c>
      <c r="H934" s="9">
        <f t="shared" ca="1" si="70"/>
        <v>493.15905000000015</v>
      </c>
      <c r="I934" s="12">
        <f ca="1">IF(AND('Data Analysis Addin'!$G934&lt;='Data Analysis Addin'!$H934,G935&gt;H935), 1, 0)</f>
        <v>0</v>
      </c>
      <c r="J934" s="3">
        <f t="shared" ca="1" si="71"/>
        <v>0</v>
      </c>
      <c r="K934" s="19">
        <f>YEAR('Data Analysis Addin'!$A934)</f>
        <v>2024</v>
      </c>
    </row>
    <row r="935" spans="1:11" x14ac:dyDescent="0.4">
      <c r="A935" s="16">
        <v>45492</v>
      </c>
      <c r="B935" s="8">
        <v>548.99</v>
      </c>
      <c r="C935" s="11">
        <f t="shared" si="68"/>
        <v>539.73379999999997</v>
      </c>
      <c r="D935" s="11">
        <f t="shared" si="72"/>
        <v>493.76745000000011</v>
      </c>
      <c r="E935" s="8"/>
      <c r="F935" s="8"/>
      <c r="G935" s="8">
        <f t="shared" ca="1" si="69"/>
        <v>539.73379999999997</v>
      </c>
      <c r="H935" s="8">
        <f t="shared" ca="1" si="70"/>
        <v>493.76745000000011</v>
      </c>
      <c r="I935" s="12">
        <f ca="1">IF(AND('Data Analysis Addin'!$G935&lt;='Data Analysis Addin'!$H935,G936&gt;H936), 1, 0)</f>
        <v>0</v>
      </c>
      <c r="J935" s="2">
        <f t="shared" ca="1" si="71"/>
        <v>0</v>
      </c>
      <c r="K935" s="17">
        <f>YEAR('Data Analysis Addin'!$A935)</f>
        <v>2024</v>
      </c>
    </row>
    <row r="936" spans="1:11" x14ac:dyDescent="0.4">
      <c r="A936" s="18">
        <v>45495</v>
      </c>
      <c r="B936" s="9">
        <v>554.65</v>
      </c>
      <c r="C936" s="11">
        <f t="shared" si="68"/>
        <v>540.48300000000006</v>
      </c>
      <c r="D936" s="11">
        <f t="shared" si="72"/>
        <v>494.43275000000011</v>
      </c>
      <c r="E936" s="9"/>
      <c r="F936" s="9"/>
      <c r="G936" s="9">
        <f t="shared" ca="1" si="69"/>
        <v>540.48300000000006</v>
      </c>
      <c r="H936" s="9">
        <f t="shared" ca="1" si="70"/>
        <v>494.43275000000011</v>
      </c>
      <c r="I936" s="12">
        <f ca="1">IF(AND('Data Analysis Addin'!$G936&lt;='Data Analysis Addin'!$H936,G937&gt;H937), 1, 0)</f>
        <v>0</v>
      </c>
      <c r="J936" s="3">
        <f t="shared" ca="1" si="71"/>
        <v>0</v>
      </c>
      <c r="K936" s="19">
        <f>YEAR('Data Analysis Addin'!$A936)</f>
        <v>2024</v>
      </c>
    </row>
    <row r="937" spans="1:11" x14ac:dyDescent="0.4">
      <c r="A937" s="16">
        <v>45496</v>
      </c>
      <c r="B937" s="8">
        <v>553.78</v>
      </c>
      <c r="C937" s="11">
        <f t="shared" si="68"/>
        <v>541.15519999999992</v>
      </c>
      <c r="D937" s="11">
        <f t="shared" si="72"/>
        <v>495.07835000000011</v>
      </c>
      <c r="E937" s="8"/>
      <c r="F937" s="8"/>
      <c r="G937" s="8">
        <f t="shared" ca="1" si="69"/>
        <v>541.15519999999992</v>
      </c>
      <c r="H937" s="8">
        <f t="shared" ca="1" si="70"/>
        <v>495.07835000000011</v>
      </c>
      <c r="I937" s="12">
        <f ca="1">IF(AND('Data Analysis Addin'!$G937&lt;='Data Analysis Addin'!$H937,G938&gt;H938), 1, 0)</f>
        <v>0</v>
      </c>
      <c r="J937" s="2">
        <f t="shared" ca="1" si="71"/>
        <v>0</v>
      </c>
      <c r="K937" s="17">
        <f>YEAR('Data Analysis Addin'!$A937)</f>
        <v>2024</v>
      </c>
    </row>
    <row r="938" spans="1:11" x14ac:dyDescent="0.4">
      <c r="A938" s="18">
        <v>45497</v>
      </c>
      <c r="B938" s="9">
        <v>541.23</v>
      </c>
      <c r="C938" s="11">
        <f t="shared" si="68"/>
        <v>541.56299999999999</v>
      </c>
      <c r="D938" s="11">
        <f t="shared" si="72"/>
        <v>495.66200000000009</v>
      </c>
      <c r="E938" s="9"/>
      <c r="F938" s="9"/>
      <c r="G938" s="9">
        <f t="shared" ca="1" si="69"/>
        <v>541.56299999999999</v>
      </c>
      <c r="H938" s="9">
        <f t="shared" ca="1" si="70"/>
        <v>495.66200000000009</v>
      </c>
      <c r="I938" s="12">
        <f ca="1">IF(AND('Data Analysis Addin'!$G938&lt;='Data Analysis Addin'!$H938,G939&gt;H939), 1, 0)</f>
        <v>0</v>
      </c>
      <c r="J938" s="3">
        <f t="shared" ca="1" si="71"/>
        <v>0</v>
      </c>
      <c r="K938" s="19">
        <f>YEAR('Data Analysis Addin'!$A938)</f>
        <v>2024</v>
      </c>
    </row>
    <row r="939" spans="1:11" x14ac:dyDescent="0.4">
      <c r="A939" s="16">
        <v>45498</v>
      </c>
      <c r="B939" s="8">
        <v>538.41</v>
      </c>
      <c r="C939" s="11">
        <f t="shared" si="68"/>
        <v>541.91300000000001</v>
      </c>
      <c r="D939" s="11">
        <f t="shared" si="72"/>
        <v>496.2063500000001</v>
      </c>
      <c r="E939" s="8"/>
      <c r="F939" s="8"/>
      <c r="G939" s="8">
        <f t="shared" ca="1" si="69"/>
        <v>541.91300000000001</v>
      </c>
      <c r="H939" s="8">
        <f t="shared" ca="1" si="70"/>
        <v>496.2063500000001</v>
      </c>
      <c r="I939" s="12">
        <f ca="1">IF(AND('Data Analysis Addin'!$G939&lt;='Data Analysis Addin'!$H939,G940&gt;H940), 1, 0)</f>
        <v>0</v>
      </c>
      <c r="J939" s="2">
        <f t="shared" ca="1" si="71"/>
        <v>0</v>
      </c>
      <c r="K939" s="17">
        <f>YEAR('Data Analysis Addin'!$A939)</f>
        <v>2024</v>
      </c>
    </row>
    <row r="940" spans="1:11" x14ac:dyDescent="0.4">
      <c r="A940" s="18">
        <v>45499</v>
      </c>
      <c r="B940" s="9">
        <v>544.44000000000005</v>
      </c>
      <c r="C940" s="11">
        <f t="shared" si="68"/>
        <v>542.33579999999995</v>
      </c>
      <c r="D940" s="11">
        <f t="shared" si="72"/>
        <v>496.76710000000014</v>
      </c>
      <c r="E940" s="9"/>
      <c r="F940" s="9"/>
      <c r="G940" s="9">
        <f t="shared" ca="1" si="69"/>
        <v>542.33579999999995</v>
      </c>
      <c r="H940" s="9">
        <f t="shared" ca="1" si="70"/>
        <v>496.76710000000014</v>
      </c>
      <c r="I940" s="12">
        <f ca="1">IF(AND('Data Analysis Addin'!$G940&lt;='Data Analysis Addin'!$H940,G941&gt;H941), 1, 0)</f>
        <v>0</v>
      </c>
      <c r="J940" s="3">
        <f t="shared" ca="1" si="71"/>
        <v>0</v>
      </c>
      <c r="K940" s="19">
        <f>YEAR('Data Analysis Addin'!$A940)</f>
        <v>2024</v>
      </c>
    </row>
    <row r="941" spans="1:11" x14ac:dyDescent="0.4">
      <c r="A941" s="16">
        <v>45502</v>
      </c>
      <c r="B941" s="8">
        <v>544.76</v>
      </c>
      <c r="C941" s="11">
        <f t="shared" si="68"/>
        <v>542.63539999999989</v>
      </c>
      <c r="D941" s="11">
        <f t="shared" si="72"/>
        <v>497.31820000000016</v>
      </c>
      <c r="E941" s="8"/>
      <c r="F941" s="8"/>
      <c r="G941" s="8">
        <f t="shared" ca="1" si="69"/>
        <v>542.63539999999989</v>
      </c>
      <c r="H941" s="8">
        <f t="shared" ca="1" si="70"/>
        <v>497.31820000000016</v>
      </c>
      <c r="I941" s="12">
        <f ca="1">IF(AND('Data Analysis Addin'!$G941&lt;='Data Analysis Addin'!$H941,G942&gt;H942), 1, 0)</f>
        <v>0</v>
      </c>
      <c r="J941" s="2">
        <f t="shared" ca="1" si="71"/>
        <v>0</v>
      </c>
      <c r="K941" s="17">
        <f>YEAR('Data Analysis Addin'!$A941)</f>
        <v>2024</v>
      </c>
    </row>
    <row r="942" spans="1:11" x14ac:dyDescent="0.4">
      <c r="A942" s="18">
        <v>45503</v>
      </c>
      <c r="B942" s="9">
        <v>542</v>
      </c>
      <c r="C942" s="11">
        <f t="shared" si="68"/>
        <v>542.90159999999992</v>
      </c>
      <c r="D942" s="11">
        <f t="shared" si="72"/>
        <v>497.84660000000019</v>
      </c>
      <c r="E942" s="9"/>
      <c r="F942" s="9"/>
      <c r="G942" s="9">
        <f t="shared" ca="1" si="69"/>
        <v>542.90159999999992</v>
      </c>
      <c r="H942" s="9">
        <f t="shared" ca="1" si="70"/>
        <v>497.84660000000019</v>
      </c>
      <c r="I942" s="12">
        <f ca="1">IF(AND('Data Analysis Addin'!$G942&lt;='Data Analysis Addin'!$H942,G943&gt;H943), 1, 0)</f>
        <v>0</v>
      </c>
      <c r="J942" s="3">
        <f t="shared" ca="1" si="71"/>
        <v>0</v>
      </c>
      <c r="K942" s="19">
        <f>YEAR('Data Analysis Addin'!$A942)</f>
        <v>2024</v>
      </c>
    </row>
    <row r="943" spans="1:11" x14ac:dyDescent="0.4">
      <c r="A943" s="16">
        <v>45504</v>
      </c>
      <c r="B943" s="8">
        <v>550.80999999999995</v>
      </c>
      <c r="C943" s="11">
        <f t="shared" si="68"/>
        <v>543.3288</v>
      </c>
      <c r="D943" s="11">
        <f t="shared" si="72"/>
        <v>498.43235000000016</v>
      </c>
      <c r="E943" s="8"/>
      <c r="F943" s="8"/>
      <c r="G943" s="8">
        <f t="shared" ca="1" si="69"/>
        <v>543.3288</v>
      </c>
      <c r="H943" s="8">
        <f t="shared" ca="1" si="70"/>
        <v>498.43235000000016</v>
      </c>
      <c r="I943" s="12">
        <f ca="1">IF(AND('Data Analysis Addin'!$G943&lt;='Data Analysis Addin'!$H943,G944&gt;H944), 1, 0)</f>
        <v>0</v>
      </c>
      <c r="J943" s="2">
        <f t="shared" ca="1" si="71"/>
        <v>0</v>
      </c>
      <c r="K943" s="17">
        <f>YEAR('Data Analysis Addin'!$A943)</f>
        <v>2024</v>
      </c>
    </row>
    <row r="944" spans="1:11" x14ac:dyDescent="0.4">
      <c r="A944" s="18">
        <v>45505</v>
      </c>
      <c r="B944" s="9">
        <v>543.01</v>
      </c>
      <c r="C944" s="11">
        <f t="shared" si="68"/>
        <v>543.58780000000002</v>
      </c>
      <c r="D944" s="11">
        <f t="shared" si="72"/>
        <v>498.98990000000015</v>
      </c>
      <c r="E944" s="9"/>
      <c r="F944" s="9"/>
      <c r="G944" s="9">
        <f t="shared" ca="1" si="69"/>
        <v>543.58780000000002</v>
      </c>
      <c r="H944" s="9">
        <f t="shared" ca="1" si="70"/>
        <v>498.98990000000015</v>
      </c>
      <c r="I944" s="12">
        <f ca="1">IF(AND('Data Analysis Addin'!$G944&lt;='Data Analysis Addin'!$H944,G945&gt;H945), 1, 0)</f>
        <v>0</v>
      </c>
      <c r="J944" s="3">
        <f t="shared" ca="1" si="71"/>
        <v>0</v>
      </c>
      <c r="K944" s="19">
        <f>YEAR('Data Analysis Addin'!$A944)</f>
        <v>2024</v>
      </c>
    </row>
    <row r="945" spans="1:11" x14ac:dyDescent="0.4">
      <c r="A945" s="16">
        <v>45506</v>
      </c>
      <c r="B945" s="8">
        <v>532.9</v>
      </c>
      <c r="C945" s="11">
        <f t="shared" si="68"/>
        <v>543.6185999999999</v>
      </c>
      <c r="D945" s="11">
        <f t="shared" si="72"/>
        <v>499.47420000000011</v>
      </c>
      <c r="E945" s="8"/>
      <c r="F945" s="8"/>
      <c r="G945" s="8">
        <f t="shared" ca="1" si="69"/>
        <v>543.6185999999999</v>
      </c>
      <c r="H945" s="8">
        <f t="shared" ca="1" si="70"/>
        <v>499.47420000000011</v>
      </c>
      <c r="I945" s="12">
        <f ca="1">IF(AND('Data Analysis Addin'!$G945&lt;='Data Analysis Addin'!$H945,G946&gt;H946), 1, 0)</f>
        <v>0</v>
      </c>
      <c r="J945" s="2">
        <f t="shared" ca="1" si="71"/>
        <v>0</v>
      </c>
      <c r="K945" s="17">
        <f>YEAR('Data Analysis Addin'!$A945)</f>
        <v>2024</v>
      </c>
    </row>
    <row r="946" spans="1:11" x14ac:dyDescent="0.4">
      <c r="A946" s="18">
        <v>45509</v>
      </c>
      <c r="B946" s="9">
        <v>517.38</v>
      </c>
      <c r="C946" s="11">
        <f t="shared" si="68"/>
        <v>543.3696000000001</v>
      </c>
      <c r="D946" s="11">
        <f t="shared" si="72"/>
        <v>499.88100000000014</v>
      </c>
      <c r="E946" s="9"/>
      <c r="F946" s="9"/>
      <c r="G946" s="9">
        <f t="shared" ca="1" si="69"/>
        <v>543.3696000000001</v>
      </c>
      <c r="H946" s="9">
        <f t="shared" ca="1" si="70"/>
        <v>499.88100000000014</v>
      </c>
      <c r="I946" s="12">
        <f ca="1">IF(AND('Data Analysis Addin'!$G946&lt;='Data Analysis Addin'!$H946,G947&gt;H947), 1, 0)</f>
        <v>0</v>
      </c>
      <c r="J946" s="3">
        <f t="shared" ca="1" si="71"/>
        <v>0</v>
      </c>
      <c r="K946" s="19">
        <f>YEAR('Data Analysis Addin'!$A946)</f>
        <v>2024</v>
      </c>
    </row>
    <row r="947" spans="1:11" x14ac:dyDescent="0.4">
      <c r="A947" s="16">
        <v>45510</v>
      </c>
      <c r="B947" s="8">
        <v>522.15</v>
      </c>
      <c r="C947" s="11">
        <f t="shared" si="68"/>
        <v>543.29340000000002</v>
      </c>
      <c r="D947" s="11">
        <f t="shared" si="72"/>
        <v>500.34070000000014</v>
      </c>
      <c r="E947" s="8"/>
      <c r="F947" s="8"/>
      <c r="G947" s="8">
        <f t="shared" ca="1" si="69"/>
        <v>543.29340000000002</v>
      </c>
      <c r="H947" s="8">
        <f t="shared" ca="1" si="70"/>
        <v>500.34070000000014</v>
      </c>
      <c r="I947" s="12">
        <f ca="1">IF(AND('Data Analysis Addin'!$G947&lt;='Data Analysis Addin'!$H947,G948&gt;H948), 1, 0)</f>
        <v>0</v>
      </c>
      <c r="J947" s="2">
        <f t="shared" ca="1" si="71"/>
        <v>0</v>
      </c>
      <c r="K947" s="17">
        <f>YEAR('Data Analysis Addin'!$A947)</f>
        <v>2024</v>
      </c>
    </row>
    <row r="948" spans="1:11" x14ac:dyDescent="0.4">
      <c r="A948" s="18">
        <v>45511</v>
      </c>
      <c r="B948" s="9">
        <v>518.66</v>
      </c>
      <c r="C948" s="11">
        <f t="shared" ref="C948:C1011" si="73">AVERAGE(B899:B948)</f>
        <v>543.07780000000002</v>
      </c>
      <c r="D948" s="11">
        <f t="shared" si="72"/>
        <v>500.80185000000017</v>
      </c>
      <c r="E948" s="9"/>
      <c r="F948" s="9"/>
      <c r="G948" s="9">
        <f t="shared" ca="1" si="69"/>
        <v>543.07780000000002</v>
      </c>
      <c r="H948" s="9">
        <f t="shared" ca="1" si="70"/>
        <v>500.80185000000017</v>
      </c>
      <c r="I948" s="12">
        <f ca="1">IF(AND('Data Analysis Addin'!$G948&lt;='Data Analysis Addin'!$H948,G949&gt;H949), 1, 0)</f>
        <v>0</v>
      </c>
      <c r="J948" s="3">
        <f t="shared" ca="1" si="71"/>
        <v>0</v>
      </c>
      <c r="K948" s="19">
        <f>YEAR('Data Analysis Addin'!$A948)</f>
        <v>2024</v>
      </c>
    </row>
    <row r="949" spans="1:11" x14ac:dyDescent="0.4">
      <c r="A949" s="16">
        <v>45512</v>
      </c>
      <c r="B949" s="8">
        <v>530.65</v>
      </c>
      <c r="C949" s="11">
        <f t="shared" si="73"/>
        <v>543.09460000000001</v>
      </c>
      <c r="D949" s="11">
        <f t="shared" si="72"/>
        <v>501.34915000000007</v>
      </c>
      <c r="E949" s="8"/>
      <c r="F949" s="8"/>
      <c r="G949" s="8">
        <f t="shared" ca="1" si="69"/>
        <v>543.09460000000001</v>
      </c>
      <c r="H949" s="8">
        <f t="shared" ca="1" si="70"/>
        <v>501.34915000000007</v>
      </c>
      <c r="I949" s="12">
        <f ca="1">IF(AND('Data Analysis Addin'!$G949&lt;='Data Analysis Addin'!$H949,G950&gt;H950), 1, 0)</f>
        <v>0</v>
      </c>
      <c r="J949" s="2">
        <f t="shared" ca="1" si="71"/>
        <v>0</v>
      </c>
      <c r="K949" s="17">
        <f>YEAR('Data Analysis Addin'!$A949)</f>
        <v>2024</v>
      </c>
    </row>
    <row r="950" spans="1:11" x14ac:dyDescent="0.4">
      <c r="A950" s="18">
        <v>45513</v>
      </c>
      <c r="B950" s="9">
        <v>532.99</v>
      </c>
      <c r="C950" s="11">
        <f t="shared" si="73"/>
        <v>543.2324000000001</v>
      </c>
      <c r="D950" s="11">
        <f t="shared" si="72"/>
        <v>501.91180000000008</v>
      </c>
      <c r="E950" s="9"/>
      <c r="F950" s="9"/>
      <c r="G950" s="9">
        <f t="shared" ca="1" si="69"/>
        <v>543.2324000000001</v>
      </c>
      <c r="H950" s="9">
        <f t="shared" ca="1" si="70"/>
        <v>501.91180000000008</v>
      </c>
      <c r="I950" s="12">
        <f ca="1">IF(AND('Data Analysis Addin'!$G950&lt;='Data Analysis Addin'!$H950,G951&gt;H951), 1, 0)</f>
        <v>0</v>
      </c>
      <c r="J950" s="3">
        <f t="shared" ca="1" si="71"/>
        <v>0</v>
      </c>
      <c r="K950" s="19">
        <f>YEAR('Data Analysis Addin'!$A950)</f>
        <v>2024</v>
      </c>
    </row>
    <row r="951" spans="1:11" x14ac:dyDescent="0.4">
      <c r="A951" s="16">
        <v>45516</v>
      </c>
      <c r="B951" s="8">
        <v>533.27</v>
      </c>
      <c r="C951" s="11">
        <f t="shared" si="73"/>
        <v>543.44560000000001</v>
      </c>
      <c r="D951" s="11">
        <f t="shared" si="72"/>
        <v>502.46000000000015</v>
      </c>
      <c r="E951" s="8"/>
      <c r="F951" s="8"/>
      <c r="G951" s="8">
        <f t="shared" ca="1" si="69"/>
        <v>543.44560000000001</v>
      </c>
      <c r="H951" s="8">
        <f t="shared" ca="1" si="70"/>
        <v>502.46000000000015</v>
      </c>
      <c r="I951" s="12">
        <f ca="1">IF(AND('Data Analysis Addin'!$G951&lt;='Data Analysis Addin'!$H951,G952&gt;H952), 1, 0)</f>
        <v>0</v>
      </c>
      <c r="J951" s="2">
        <f t="shared" ca="1" si="71"/>
        <v>0</v>
      </c>
      <c r="K951" s="17">
        <f>YEAR('Data Analysis Addin'!$A951)</f>
        <v>2024</v>
      </c>
    </row>
    <row r="952" spans="1:11" x14ac:dyDescent="0.4">
      <c r="A952" s="18">
        <v>45517</v>
      </c>
      <c r="B952" s="9">
        <v>542.04</v>
      </c>
      <c r="C952" s="11">
        <f t="shared" si="73"/>
        <v>543.73900000000003</v>
      </c>
      <c r="D952" s="11">
        <f t="shared" si="72"/>
        <v>503.08245000000011</v>
      </c>
      <c r="E952" s="9"/>
      <c r="F952" s="9"/>
      <c r="G952" s="9">
        <f t="shared" ca="1" si="69"/>
        <v>543.73900000000003</v>
      </c>
      <c r="H952" s="9">
        <f t="shared" ca="1" si="70"/>
        <v>503.08245000000011</v>
      </c>
      <c r="I952" s="12">
        <f ca="1">IF(AND('Data Analysis Addin'!$G952&lt;='Data Analysis Addin'!$H952,G953&gt;H953), 1, 0)</f>
        <v>0</v>
      </c>
      <c r="J952" s="3">
        <f t="shared" ca="1" si="71"/>
        <v>0</v>
      </c>
      <c r="K952" s="19">
        <f>YEAR('Data Analysis Addin'!$A952)</f>
        <v>2024</v>
      </c>
    </row>
    <row r="953" spans="1:11" x14ac:dyDescent="0.4">
      <c r="A953" s="16">
        <v>45518</v>
      </c>
      <c r="B953" s="8">
        <v>543.75</v>
      </c>
      <c r="C953" s="11">
        <f t="shared" si="73"/>
        <v>544.05800000000011</v>
      </c>
      <c r="D953" s="11">
        <f t="shared" si="72"/>
        <v>503.73845000000006</v>
      </c>
      <c r="E953" s="8"/>
      <c r="F953" s="8"/>
      <c r="G953" s="8">
        <f t="shared" ca="1" si="69"/>
        <v>544.05800000000011</v>
      </c>
      <c r="H953" s="8">
        <f t="shared" ca="1" si="70"/>
        <v>503.73845000000006</v>
      </c>
      <c r="I953" s="12">
        <f ca="1">IF(AND('Data Analysis Addin'!$G953&lt;='Data Analysis Addin'!$H953,G954&gt;H954), 1, 0)</f>
        <v>0</v>
      </c>
      <c r="J953" s="2">
        <f t="shared" ca="1" si="71"/>
        <v>0</v>
      </c>
      <c r="K953" s="17">
        <f>YEAR('Data Analysis Addin'!$A953)</f>
        <v>2024</v>
      </c>
    </row>
    <row r="954" spans="1:11" x14ac:dyDescent="0.4">
      <c r="A954" s="18">
        <v>45519</v>
      </c>
      <c r="B954" s="9">
        <v>553.07000000000005</v>
      </c>
      <c r="C954" s="11">
        <f t="shared" si="73"/>
        <v>544.55160000000012</v>
      </c>
      <c r="D954" s="11">
        <f t="shared" si="72"/>
        <v>504.45040000000006</v>
      </c>
      <c r="E954" s="9"/>
      <c r="F954" s="9"/>
      <c r="G954" s="9">
        <f t="shared" ca="1" si="69"/>
        <v>544.55160000000012</v>
      </c>
      <c r="H954" s="9">
        <f t="shared" ca="1" si="70"/>
        <v>504.45040000000006</v>
      </c>
      <c r="I954" s="12">
        <f ca="1">IF(AND('Data Analysis Addin'!$G954&lt;='Data Analysis Addin'!$H954,G955&gt;H955), 1, 0)</f>
        <v>0</v>
      </c>
      <c r="J954" s="3">
        <f t="shared" ca="1" si="71"/>
        <v>0</v>
      </c>
      <c r="K954" s="19">
        <f>YEAR('Data Analysis Addin'!$A954)</f>
        <v>2024</v>
      </c>
    </row>
    <row r="955" spans="1:11" x14ac:dyDescent="0.4">
      <c r="A955" s="16">
        <v>45520</v>
      </c>
      <c r="B955" s="8">
        <v>554.30999999999995</v>
      </c>
      <c r="C955" s="11">
        <f t="shared" si="73"/>
        <v>544.9444000000002</v>
      </c>
      <c r="D955" s="11">
        <f t="shared" si="72"/>
        <v>505.14400000000006</v>
      </c>
      <c r="E955" s="8"/>
      <c r="F955" s="8"/>
      <c r="G955" s="8">
        <f t="shared" ca="1" si="69"/>
        <v>544.9444000000002</v>
      </c>
      <c r="H955" s="8">
        <f t="shared" ca="1" si="70"/>
        <v>505.14400000000006</v>
      </c>
      <c r="I955" s="12">
        <f ca="1">IF(AND('Data Analysis Addin'!$G955&lt;='Data Analysis Addin'!$H955,G956&gt;H956), 1, 0)</f>
        <v>0</v>
      </c>
      <c r="J955" s="2">
        <f t="shared" ca="1" si="71"/>
        <v>0</v>
      </c>
      <c r="K955" s="17">
        <f>YEAR('Data Analysis Addin'!$A955)</f>
        <v>2024</v>
      </c>
    </row>
    <row r="956" spans="1:11" x14ac:dyDescent="0.4">
      <c r="A956" s="18">
        <v>45523</v>
      </c>
      <c r="B956" s="9">
        <v>559.61</v>
      </c>
      <c r="C956" s="11">
        <f t="shared" si="73"/>
        <v>545.44340000000011</v>
      </c>
      <c r="D956" s="11">
        <f t="shared" si="72"/>
        <v>505.8510500000001</v>
      </c>
      <c r="E956" s="9"/>
      <c r="F956" s="9"/>
      <c r="G956" s="9">
        <f t="shared" ca="1" si="69"/>
        <v>545.44340000000011</v>
      </c>
      <c r="H956" s="9">
        <f t="shared" ca="1" si="70"/>
        <v>505.8510500000001</v>
      </c>
      <c r="I956" s="12">
        <f ca="1">IF(AND('Data Analysis Addin'!$G956&lt;='Data Analysis Addin'!$H956,G957&gt;H957), 1, 0)</f>
        <v>0</v>
      </c>
      <c r="J956" s="3">
        <f t="shared" ca="1" si="71"/>
        <v>0</v>
      </c>
      <c r="K956" s="19">
        <f>YEAR('Data Analysis Addin'!$A956)</f>
        <v>2024</v>
      </c>
    </row>
    <row r="957" spans="1:11" x14ac:dyDescent="0.4">
      <c r="A957" s="16">
        <v>45524</v>
      </c>
      <c r="B957" s="8">
        <v>558.70000000000005</v>
      </c>
      <c r="C957" s="11">
        <f t="shared" si="73"/>
        <v>545.93720000000008</v>
      </c>
      <c r="D957" s="11">
        <f t="shared" si="72"/>
        <v>506.53125000000006</v>
      </c>
      <c r="E957" s="8"/>
      <c r="F957" s="8"/>
      <c r="G957" s="8">
        <f t="shared" ca="1" si="69"/>
        <v>545.93720000000008</v>
      </c>
      <c r="H957" s="8">
        <f t="shared" ca="1" si="70"/>
        <v>506.53125000000006</v>
      </c>
      <c r="I957" s="12">
        <f ca="1">IF(AND('Data Analysis Addin'!$G957&lt;='Data Analysis Addin'!$H957,G958&gt;H958), 1, 0)</f>
        <v>0</v>
      </c>
      <c r="J957" s="2">
        <f t="shared" ca="1" si="71"/>
        <v>0</v>
      </c>
      <c r="K957" s="17">
        <f>YEAR('Data Analysis Addin'!$A957)</f>
        <v>2024</v>
      </c>
    </row>
    <row r="958" spans="1:11" x14ac:dyDescent="0.4">
      <c r="A958" s="18">
        <v>45525</v>
      </c>
      <c r="B958" s="9">
        <v>560.62</v>
      </c>
      <c r="C958" s="11">
        <f t="shared" si="73"/>
        <v>546.43640000000016</v>
      </c>
      <c r="D958" s="11">
        <f t="shared" si="72"/>
        <v>507.1805500000001</v>
      </c>
      <c r="E958" s="9"/>
      <c r="F958" s="9"/>
      <c r="G958" s="9">
        <f t="shared" ca="1" si="69"/>
        <v>546.43640000000016</v>
      </c>
      <c r="H958" s="9">
        <f t="shared" ca="1" si="70"/>
        <v>507.1805500000001</v>
      </c>
      <c r="I958" s="12">
        <f ca="1">IF(AND('Data Analysis Addin'!$G958&lt;='Data Analysis Addin'!$H958,G959&gt;H959), 1, 0)</f>
        <v>0</v>
      </c>
      <c r="J958" s="3">
        <f t="shared" ca="1" si="71"/>
        <v>0</v>
      </c>
      <c r="K958" s="19">
        <f>YEAR('Data Analysis Addin'!$A958)</f>
        <v>2024</v>
      </c>
    </row>
    <row r="959" spans="1:11" x14ac:dyDescent="0.4">
      <c r="A959" s="16">
        <v>45526</v>
      </c>
      <c r="B959" s="8">
        <v>556.22</v>
      </c>
      <c r="C959" s="11">
        <f t="shared" si="73"/>
        <v>546.82180000000017</v>
      </c>
      <c r="D959" s="11">
        <f t="shared" si="72"/>
        <v>507.78820000000007</v>
      </c>
      <c r="E959" s="8"/>
      <c r="F959" s="8"/>
      <c r="G959" s="8">
        <f t="shared" ca="1" si="69"/>
        <v>546.82180000000017</v>
      </c>
      <c r="H959" s="8">
        <f t="shared" ca="1" si="70"/>
        <v>507.78820000000007</v>
      </c>
      <c r="I959" s="12">
        <f ca="1">IF(AND('Data Analysis Addin'!$G959&lt;='Data Analysis Addin'!$H959,G960&gt;H960), 1, 0)</f>
        <v>0</v>
      </c>
      <c r="J959" s="2">
        <f t="shared" ca="1" si="71"/>
        <v>0</v>
      </c>
      <c r="K959" s="17">
        <f>YEAR('Data Analysis Addin'!$A959)</f>
        <v>2024</v>
      </c>
    </row>
    <row r="960" spans="1:11" x14ac:dyDescent="0.4">
      <c r="A960" s="18">
        <v>45527</v>
      </c>
      <c r="B960" s="9">
        <v>562.13</v>
      </c>
      <c r="C960" s="11">
        <f t="shared" si="73"/>
        <v>547.23720000000026</v>
      </c>
      <c r="D960" s="11">
        <f t="shared" si="72"/>
        <v>508.42040000000009</v>
      </c>
      <c r="E960" s="9"/>
      <c r="F960" s="9"/>
      <c r="G960" s="9">
        <f t="shared" ca="1" si="69"/>
        <v>547.23720000000026</v>
      </c>
      <c r="H960" s="9">
        <f t="shared" ca="1" si="70"/>
        <v>508.42040000000009</v>
      </c>
      <c r="I960" s="12">
        <f ca="1">IF(AND('Data Analysis Addin'!$G960&lt;='Data Analysis Addin'!$H960,G961&gt;H961), 1, 0)</f>
        <v>0</v>
      </c>
      <c r="J960" s="3">
        <f t="shared" ca="1" si="71"/>
        <v>0</v>
      </c>
      <c r="K960" s="19">
        <f>YEAR('Data Analysis Addin'!$A960)</f>
        <v>2024</v>
      </c>
    </row>
    <row r="961" spans="1:11" x14ac:dyDescent="0.4">
      <c r="A961" s="16">
        <v>45530</v>
      </c>
      <c r="B961" s="8">
        <v>560.79</v>
      </c>
      <c r="C961" s="11">
        <f t="shared" si="73"/>
        <v>547.60400000000027</v>
      </c>
      <c r="D961" s="11">
        <f t="shared" si="72"/>
        <v>509.03970000000004</v>
      </c>
      <c r="E961" s="8"/>
      <c r="F961" s="8"/>
      <c r="G961" s="8">
        <f t="shared" ca="1" si="69"/>
        <v>547.60400000000027</v>
      </c>
      <c r="H961" s="8">
        <f t="shared" ca="1" si="70"/>
        <v>509.03970000000004</v>
      </c>
      <c r="I961" s="12">
        <f ca="1">IF(AND('Data Analysis Addin'!$G961&lt;='Data Analysis Addin'!$H961,G962&gt;H962), 1, 0)</f>
        <v>0</v>
      </c>
      <c r="J961" s="2">
        <f t="shared" ca="1" si="71"/>
        <v>0</v>
      </c>
      <c r="K961" s="17">
        <f>YEAR('Data Analysis Addin'!$A961)</f>
        <v>2024</v>
      </c>
    </row>
    <row r="962" spans="1:11" x14ac:dyDescent="0.4">
      <c r="A962" s="18">
        <v>45531</v>
      </c>
      <c r="B962" s="9">
        <v>561.55999999999995</v>
      </c>
      <c r="C962" s="11">
        <f t="shared" si="73"/>
        <v>547.97960000000023</v>
      </c>
      <c r="D962" s="11">
        <f t="shared" si="72"/>
        <v>509.66125</v>
      </c>
      <c r="E962" s="9"/>
      <c r="F962" s="9"/>
      <c r="G962" s="9">
        <f t="shared" ca="1" si="69"/>
        <v>547.97960000000023</v>
      </c>
      <c r="H962" s="9">
        <f t="shared" ca="1" si="70"/>
        <v>509.66125</v>
      </c>
      <c r="I962" s="12">
        <f ca="1">IF(AND('Data Analysis Addin'!$G962&lt;='Data Analysis Addin'!$H962,G963&gt;H963), 1, 0)</f>
        <v>0</v>
      </c>
      <c r="J962" s="3">
        <f t="shared" ca="1" si="71"/>
        <v>0</v>
      </c>
      <c r="K962" s="19">
        <f>YEAR('Data Analysis Addin'!$A962)</f>
        <v>2024</v>
      </c>
    </row>
    <row r="963" spans="1:11" x14ac:dyDescent="0.4">
      <c r="A963" s="16">
        <v>45532</v>
      </c>
      <c r="B963" s="8">
        <v>558.29999999999995</v>
      </c>
      <c r="C963" s="11">
        <f t="shared" si="73"/>
        <v>548.20360000000028</v>
      </c>
      <c r="D963" s="11">
        <f t="shared" si="72"/>
        <v>510.28354999999993</v>
      </c>
      <c r="E963" s="8"/>
      <c r="F963" s="8"/>
      <c r="G963" s="8">
        <f t="shared" ref="G963:G1026" ca="1" si="74">AVERAGE(OFFSET($B963,0,0,-(MIN(ROW()-ROW($B$3)+1,n_50)),1))</f>
        <v>548.20360000000028</v>
      </c>
      <c r="H963" s="8">
        <f t="shared" ref="H963:H1026" ca="1" si="75">AVERAGE(OFFSET($B963,0,0,-(MIN(ROW()-ROW($B$3)+1,n_200)),1))</f>
        <v>510.28354999999993</v>
      </c>
      <c r="I963" s="12">
        <f ca="1">IF(AND('Data Analysis Addin'!$G963&lt;='Data Analysis Addin'!$H963,G964&gt;H964), 1, 0)</f>
        <v>0</v>
      </c>
      <c r="J963" s="2">
        <f t="shared" ref="J963:J1026" ca="1" si="76">IF($G963&lt;$H963,1,0)</f>
        <v>0</v>
      </c>
      <c r="K963" s="17">
        <f>YEAR('Data Analysis Addin'!$A963)</f>
        <v>2024</v>
      </c>
    </row>
    <row r="964" spans="1:11" x14ac:dyDescent="0.4">
      <c r="A964" s="18">
        <v>45533</v>
      </c>
      <c r="B964" s="9">
        <v>558.35</v>
      </c>
      <c r="C964" s="11">
        <f t="shared" si="73"/>
        <v>548.40080000000023</v>
      </c>
      <c r="D964" s="11">
        <f t="shared" si="72"/>
        <v>510.87225000000001</v>
      </c>
      <c r="E964" s="9"/>
      <c r="F964" s="9"/>
      <c r="G964" s="9">
        <f t="shared" ca="1" si="74"/>
        <v>548.40080000000023</v>
      </c>
      <c r="H964" s="9">
        <f t="shared" ca="1" si="75"/>
        <v>510.87225000000001</v>
      </c>
      <c r="I964" s="12">
        <f ca="1">IF(AND('Data Analysis Addin'!$G964&lt;='Data Analysis Addin'!$H964,G965&gt;H965), 1, 0)</f>
        <v>0</v>
      </c>
      <c r="J964" s="3">
        <f t="shared" ca="1" si="76"/>
        <v>0</v>
      </c>
      <c r="K964" s="19">
        <f>YEAR('Data Analysis Addin'!$A964)</f>
        <v>2024</v>
      </c>
    </row>
    <row r="965" spans="1:11" x14ac:dyDescent="0.4">
      <c r="A965" s="16">
        <v>45534</v>
      </c>
      <c r="B965" s="8">
        <v>563.67999999999995</v>
      </c>
      <c r="C965" s="11">
        <f t="shared" si="73"/>
        <v>548.73440000000028</v>
      </c>
      <c r="D965" s="11">
        <f t="shared" si="72"/>
        <v>511.48969999999991</v>
      </c>
      <c r="E965" s="8"/>
      <c r="F965" s="8"/>
      <c r="G965" s="8">
        <f t="shared" ca="1" si="74"/>
        <v>548.73440000000028</v>
      </c>
      <c r="H965" s="8">
        <f t="shared" ca="1" si="75"/>
        <v>511.48969999999991</v>
      </c>
      <c r="I965" s="12">
        <f ca="1">IF(AND('Data Analysis Addin'!$G965&lt;='Data Analysis Addin'!$H965,G966&gt;H966), 1, 0)</f>
        <v>0</v>
      </c>
      <c r="J965" s="2">
        <f t="shared" ca="1" si="76"/>
        <v>0</v>
      </c>
      <c r="K965" s="17">
        <f>YEAR('Data Analysis Addin'!$A965)</f>
        <v>2024</v>
      </c>
    </row>
    <row r="966" spans="1:11" x14ac:dyDescent="0.4">
      <c r="A966" s="18">
        <v>45538</v>
      </c>
      <c r="B966" s="9">
        <v>552.08000000000004</v>
      </c>
      <c r="C966" s="11">
        <f t="shared" si="73"/>
        <v>548.88580000000024</v>
      </c>
      <c r="D966" s="11">
        <f t="shared" si="72"/>
        <v>512.00645000000009</v>
      </c>
      <c r="E966" s="9"/>
      <c r="F966" s="9"/>
      <c r="G966" s="9">
        <f t="shared" ca="1" si="74"/>
        <v>548.88580000000024</v>
      </c>
      <c r="H966" s="9">
        <f t="shared" ca="1" si="75"/>
        <v>512.00645000000009</v>
      </c>
      <c r="I966" s="12">
        <f ca="1">IF(AND('Data Analysis Addin'!$G966&lt;='Data Analysis Addin'!$H966,G967&gt;H967), 1, 0)</f>
        <v>0</v>
      </c>
      <c r="J966" s="3">
        <f t="shared" ca="1" si="76"/>
        <v>0</v>
      </c>
      <c r="K966" s="19">
        <f>YEAR('Data Analysis Addin'!$A966)</f>
        <v>2024</v>
      </c>
    </row>
    <row r="967" spans="1:11" x14ac:dyDescent="0.4">
      <c r="A967" s="16">
        <v>45539</v>
      </c>
      <c r="B967" s="8">
        <v>550.95000000000005</v>
      </c>
      <c r="C967" s="11">
        <f t="shared" si="73"/>
        <v>549.05000000000018</v>
      </c>
      <c r="D967" s="11">
        <f t="shared" si="72"/>
        <v>512.51279999999997</v>
      </c>
      <c r="E967" s="8"/>
      <c r="F967" s="8"/>
      <c r="G967" s="8">
        <f t="shared" ca="1" si="74"/>
        <v>549.05000000000018</v>
      </c>
      <c r="H967" s="8">
        <f t="shared" ca="1" si="75"/>
        <v>512.51279999999997</v>
      </c>
      <c r="I967" s="12">
        <f ca="1">IF(AND('Data Analysis Addin'!$G967&lt;='Data Analysis Addin'!$H967,G968&gt;H968), 1, 0)</f>
        <v>0</v>
      </c>
      <c r="J967" s="2">
        <f t="shared" ca="1" si="76"/>
        <v>0</v>
      </c>
      <c r="K967" s="17">
        <f>YEAR('Data Analysis Addin'!$A967)</f>
        <v>2024</v>
      </c>
    </row>
    <row r="968" spans="1:11" x14ac:dyDescent="0.4">
      <c r="A968" s="18">
        <v>45540</v>
      </c>
      <c r="B968" s="9">
        <v>549.61</v>
      </c>
      <c r="C968" s="11">
        <f t="shared" si="73"/>
        <v>549.14560000000017</v>
      </c>
      <c r="D968" s="11">
        <f t="shared" si="72"/>
        <v>513.00969999999995</v>
      </c>
      <c r="E968" s="9"/>
      <c r="F968" s="9"/>
      <c r="G968" s="9">
        <f t="shared" ca="1" si="74"/>
        <v>549.14560000000017</v>
      </c>
      <c r="H968" s="9">
        <f t="shared" ca="1" si="75"/>
        <v>513.00969999999995</v>
      </c>
      <c r="I968" s="12">
        <f ca="1">IF(AND('Data Analysis Addin'!$G968&lt;='Data Analysis Addin'!$H968,G969&gt;H969), 1, 0)</f>
        <v>0</v>
      </c>
      <c r="J968" s="3">
        <f t="shared" ca="1" si="76"/>
        <v>0</v>
      </c>
      <c r="K968" s="19">
        <f>YEAR('Data Analysis Addin'!$A968)</f>
        <v>2024</v>
      </c>
    </row>
    <row r="969" spans="1:11" x14ac:dyDescent="0.4">
      <c r="A969" s="16">
        <v>45541</v>
      </c>
      <c r="B969" s="8">
        <v>540.36</v>
      </c>
      <c r="C969" s="11">
        <f t="shared" si="73"/>
        <v>549.04260000000022</v>
      </c>
      <c r="D969" s="11">
        <f t="shared" si="72"/>
        <v>513.45754999999986</v>
      </c>
      <c r="E969" s="8"/>
      <c r="F969" s="8"/>
      <c r="G969" s="8">
        <f t="shared" ca="1" si="74"/>
        <v>549.04260000000022</v>
      </c>
      <c r="H969" s="8">
        <f t="shared" ca="1" si="75"/>
        <v>513.45754999999986</v>
      </c>
      <c r="I969" s="12">
        <f ca="1">IF(AND('Data Analysis Addin'!$G969&lt;='Data Analysis Addin'!$H969,G970&gt;H970), 1, 0)</f>
        <v>0</v>
      </c>
      <c r="J969" s="2">
        <f t="shared" ca="1" si="76"/>
        <v>0</v>
      </c>
      <c r="K969" s="17">
        <f>YEAR('Data Analysis Addin'!$A969)</f>
        <v>2024</v>
      </c>
    </row>
    <row r="970" spans="1:11" x14ac:dyDescent="0.4">
      <c r="A970" s="18">
        <v>45544</v>
      </c>
      <c r="B970" s="9">
        <v>546.41</v>
      </c>
      <c r="C970" s="11">
        <f t="shared" si="73"/>
        <v>549.04340000000013</v>
      </c>
      <c r="D970" s="11">
        <f t="shared" ref="D970:D1033" si="77">AVERAGE(B771:B970)</f>
        <v>513.91829999999993</v>
      </c>
      <c r="E970" s="9"/>
      <c r="F970" s="9"/>
      <c r="G970" s="9">
        <f t="shared" ca="1" si="74"/>
        <v>549.04340000000013</v>
      </c>
      <c r="H970" s="9">
        <f t="shared" ca="1" si="75"/>
        <v>513.91829999999993</v>
      </c>
      <c r="I970" s="12">
        <f ca="1">IF(AND('Data Analysis Addin'!$G970&lt;='Data Analysis Addin'!$H970,G971&gt;H971), 1, 0)</f>
        <v>0</v>
      </c>
      <c r="J970" s="3">
        <f t="shared" ca="1" si="76"/>
        <v>0</v>
      </c>
      <c r="K970" s="19">
        <f>YEAR('Data Analysis Addin'!$A970)</f>
        <v>2024</v>
      </c>
    </row>
    <row r="971" spans="1:11" x14ac:dyDescent="0.4">
      <c r="A971" s="16">
        <v>45545</v>
      </c>
      <c r="B971" s="8">
        <v>548.79</v>
      </c>
      <c r="C971" s="11">
        <f t="shared" si="73"/>
        <v>549.13480000000015</v>
      </c>
      <c r="D971" s="11">
        <f t="shared" si="77"/>
        <v>514.39589999999987</v>
      </c>
      <c r="E971" s="8"/>
      <c r="F971" s="8"/>
      <c r="G971" s="8">
        <f t="shared" ca="1" si="74"/>
        <v>549.13480000000015</v>
      </c>
      <c r="H971" s="8">
        <f t="shared" ca="1" si="75"/>
        <v>514.39589999999987</v>
      </c>
      <c r="I971" s="12">
        <f ca="1">IF(AND('Data Analysis Addin'!$G971&lt;='Data Analysis Addin'!$H971,G972&gt;H972), 1, 0)</f>
        <v>0</v>
      </c>
      <c r="J971" s="2">
        <f t="shared" ca="1" si="76"/>
        <v>0</v>
      </c>
      <c r="K971" s="17">
        <f>YEAR('Data Analysis Addin'!$A971)</f>
        <v>2024</v>
      </c>
    </row>
    <row r="972" spans="1:11" x14ac:dyDescent="0.4">
      <c r="A972" s="18">
        <v>45546</v>
      </c>
      <c r="B972" s="9">
        <v>554.41999999999996</v>
      </c>
      <c r="C972" s="11">
        <f t="shared" si="73"/>
        <v>549.31640000000004</v>
      </c>
      <c r="D972" s="11">
        <f t="shared" si="77"/>
        <v>514.89289999999994</v>
      </c>
      <c r="E972" s="9"/>
      <c r="F972" s="9"/>
      <c r="G972" s="9">
        <f t="shared" ca="1" si="74"/>
        <v>549.31640000000004</v>
      </c>
      <c r="H972" s="9">
        <f t="shared" ca="1" si="75"/>
        <v>514.89289999999994</v>
      </c>
      <c r="I972" s="12">
        <f ca="1">IF(AND('Data Analysis Addin'!$G972&lt;='Data Analysis Addin'!$H972,G973&gt;H973), 1, 0)</f>
        <v>0</v>
      </c>
      <c r="J972" s="3">
        <f t="shared" ca="1" si="76"/>
        <v>0</v>
      </c>
      <c r="K972" s="19">
        <f>YEAR('Data Analysis Addin'!$A972)</f>
        <v>2024</v>
      </c>
    </row>
    <row r="973" spans="1:11" x14ac:dyDescent="0.4">
      <c r="A973" s="16">
        <v>45547</v>
      </c>
      <c r="B973" s="8">
        <v>559.09</v>
      </c>
      <c r="C973" s="11">
        <f t="shared" si="73"/>
        <v>549.51800000000014</v>
      </c>
      <c r="D973" s="11">
        <f t="shared" si="77"/>
        <v>515.41184999999996</v>
      </c>
      <c r="E973" s="8"/>
      <c r="F973" s="8"/>
      <c r="G973" s="8">
        <f t="shared" ca="1" si="74"/>
        <v>549.51800000000014</v>
      </c>
      <c r="H973" s="8">
        <f t="shared" ca="1" si="75"/>
        <v>515.41184999999996</v>
      </c>
      <c r="I973" s="12">
        <f ca="1">IF(AND('Data Analysis Addin'!$G973&lt;='Data Analysis Addin'!$H973,G974&gt;H974), 1, 0)</f>
        <v>0</v>
      </c>
      <c r="J973" s="2">
        <f t="shared" ca="1" si="76"/>
        <v>0</v>
      </c>
      <c r="K973" s="17">
        <f>YEAR('Data Analysis Addin'!$A973)</f>
        <v>2024</v>
      </c>
    </row>
    <row r="974" spans="1:11" x14ac:dyDescent="0.4">
      <c r="A974" s="18">
        <v>45548</v>
      </c>
      <c r="B974" s="9">
        <v>562.01</v>
      </c>
      <c r="C974" s="11">
        <f t="shared" si="73"/>
        <v>549.72900000000004</v>
      </c>
      <c r="D974" s="11">
        <f t="shared" si="77"/>
        <v>515.94949999999983</v>
      </c>
      <c r="E974" s="9"/>
      <c r="F974" s="9"/>
      <c r="G974" s="9">
        <f t="shared" ca="1" si="74"/>
        <v>549.72900000000004</v>
      </c>
      <c r="H974" s="9">
        <f t="shared" ca="1" si="75"/>
        <v>515.94949999999983</v>
      </c>
      <c r="I974" s="12">
        <f ca="1">IF(AND('Data Analysis Addin'!$G974&lt;='Data Analysis Addin'!$H974,G975&gt;H975), 1, 0)</f>
        <v>0</v>
      </c>
      <c r="J974" s="3">
        <f t="shared" ca="1" si="76"/>
        <v>0</v>
      </c>
      <c r="K974" s="19">
        <f>YEAR('Data Analysis Addin'!$A974)</f>
        <v>2024</v>
      </c>
    </row>
    <row r="975" spans="1:11" x14ac:dyDescent="0.4">
      <c r="A975" s="16">
        <v>45551</v>
      </c>
      <c r="B975" s="8">
        <v>562.84</v>
      </c>
      <c r="C975" s="11">
        <f t="shared" si="73"/>
        <v>549.89299999999992</v>
      </c>
      <c r="D975" s="11">
        <f t="shared" si="77"/>
        <v>516.48904999999979</v>
      </c>
      <c r="E975" s="8"/>
      <c r="F975" s="8"/>
      <c r="G975" s="8">
        <f t="shared" ca="1" si="74"/>
        <v>549.89299999999992</v>
      </c>
      <c r="H975" s="8">
        <f t="shared" ca="1" si="75"/>
        <v>516.48904999999979</v>
      </c>
      <c r="I975" s="12">
        <f ca="1">IF(AND('Data Analysis Addin'!$G975&lt;='Data Analysis Addin'!$H975,G976&gt;H976), 1, 0)</f>
        <v>0</v>
      </c>
      <c r="J975" s="2">
        <f t="shared" ca="1" si="76"/>
        <v>0</v>
      </c>
      <c r="K975" s="17">
        <f>YEAR('Data Analysis Addin'!$A975)</f>
        <v>2024</v>
      </c>
    </row>
    <row r="976" spans="1:11" x14ac:dyDescent="0.4">
      <c r="A976" s="18">
        <v>45552</v>
      </c>
      <c r="B976" s="9">
        <v>563.07000000000005</v>
      </c>
      <c r="C976" s="11">
        <f t="shared" si="73"/>
        <v>550.04880000000003</v>
      </c>
      <c r="D976" s="11">
        <f t="shared" si="77"/>
        <v>517.03134999999997</v>
      </c>
      <c r="E976" s="9"/>
      <c r="F976" s="9"/>
      <c r="G976" s="9">
        <f t="shared" ca="1" si="74"/>
        <v>550.04880000000003</v>
      </c>
      <c r="H976" s="9">
        <f t="shared" ca="1" si="75"/>
        <v>517.03134999999997</v>
      </c>
      <c r="I976" s="12">
        <f ca="1">IF(AND('Data Analysis Addin'!$G976&lt;='Data Analysis Addin'!$H976,G977&gt;H977), 1, 0)</f>
        <v>0</v>
      </c>
      <c r="J976" s="3">
        <f t="shared" ca="1" si="76"/>
        <v>0</v>
      </c>
      <c r="K976" s="19">
        <f>YEAR('Data Analysis Addin'!$A976)</f>
        <v>2024</v>
      </c>
    </row>
    <row r="977" spans="1:11" x14ac:dyDescent="0.4">
      <c r="A977" s="16">
        <v>45553</v>
      </c>
      <c r="B977" s="8">
        <v>561.4</v>
      </c>
      <c r="C977" s="11">
        <f t="shared" si="73"/>
        <v>550.1604000000001</v>
      </c>
      <c r="D977" s="11">
        <f t="shared" si="77"/>
        <v>517.55634999999984</v>
      </c>
      <c r="E977" s="8"/>
      <c r="F977" s="8"/>
      <c r="G977" s="8">
        <f t="shared" ca="1" si="74"/>
        <v>550.1604000000001</v>
      </c>
      <c r="H977" s="8">
        <f t="shared" ca="1" si="75"/>
        <v>517.55634999999984</v>
      </c>
      <c r="I977" s="12">
        <f ca="1">IF(AND('Data Analysis Addin'!$G977&lt;='Data Analysis Addin'!$H977,G978&gt;H978), 1, 0)</f>
        <v>0</v>
      </c>
      <c r="J977" s="2">
        <f t="shared" ca="1" si="76"/>
        <v>0</v>
      </c>
      <c r="K977" s="17">
        <f>YEAR('Data Analysis Addin'!$A977)</f>
        <v>2024</v>
      </c>
    </row>
    <row r="978" spans="1:11" x14ac:dyDescent="0.4">
      <c r="A978" s="18">
        <v>45554</v>
      </c>
      <c r="B978" s="9">
        <v>570.98</v>
      </c>
      <c r="C978" s="11">
        <f t="shared" si="73"/>
        <v>550.35360000000003</v>
      </c>
      <c r="D978" s="11">
        <f t="shared" si="77"/>
        <v>518.11574999999993</v>
      </c>
      <c r="E978" s="9"/>
      <c r="F978" s="9"/>
      <c r="G978" s="9">
        <f t="shared" ca="1" si="74"/>
        <v>550.35360000000003</v>
      </c>
      <c r="H978" s="9">
        <f t="shared" ca="1" si="75"/>
        <v>518.11574999999993</v>
      </c>
      <c r="I978" s="12">
        <f ca="1">IF(AND('Data Analysis Addin'!$G978&lt;='Data Analysis Addin'!$H978,G979&gt;H979), 1, 0)</f>
        <v>0</v>
      </c>
      <c r="J978" s="3">
        <f t="shared" ca="1" si="76"/>
        <v>0</v>
      </c>
      <c r="K978" s="19">
        <f>YEAR('Data Analysis Addin'!$A978)</f>
        <v>2024</v>
      </c>
    </row>
    <row r="979" spans="1:11" x14ac:dyDescent="0.4">
      <c r="A979" s="16">
        <v>45555</v>
      </c>
      <c r="B979" s="8">
        <v>568.25</v>
      </c>
      <c r="C979" s="11">
        <f t="shared" si="73"/>
        <v>550.58900000000006</v>
      </c>
      <c r="D979" s="11">
        <f t="shared" si="77"/>
        <v>518.67354999999986</v>
      </c>
      <c r="E979" s="8"/>
      <c r="F979" s="8"/>
      <c r="G979" s="8">
        <f t="shared" ca="1" si="74"/>
        <v>550.58900000000006</v>
      </c>
      <c r="H979" s="8">
        <f t="shared" ca="1" si="75"/>
        <v>518.67354999999986</v>
      </c>
      <c r="I979" s="12">
        <f ca="1">IF(AND('Data Analysis Addin'!$G979&lt;='Data Analysis Addin'!$H979,G980&gt;H980), 1, 0)</f>
        <v>0</v>
      </c>
      <c r="J979" s="2">
        <f t="shared" ca="1" si="76"/>
        <v>0</v>
      </c>
      <c r="K979" s="17">
        <f>YEAR('Data Analysis Addin'!$A979)</f>
        <v>2024</v>
      </c>
    </row>
    <row r="980" spans="1:11" x14ac:dyDescent="0.4">
      <c r="A980" s="18">
        <v>45558</v>
      </c>
      <c r="B980" s="9">
        <v>569.66999999999996</v>
      </c>
      <c r="C980" s="11">
        <f t="shared" si="73"/>
        <v>550.7826</v>
      </c>
      <c r="D980" s="11">
        <f t="shared" si="77"/>
        <v>519.23889999999994</v>
      </c>
      <c r="E980" s="9"/>
      <c r="F980" s="9"/>
      <c r="G980" s="9">
        <f t="shared" ca="1" si="74"/>
        <v>550.7826</v>
      </c>
      <c r="H980" s="9">
        <f t="shared" ca="1" si="75"/>
        <v>519.23889999999994</v>
      </c>
      <c r="I980" s="12">
        <f ca="1">IF(AND('Data Analysis Addin'!$G980&lt;='Data Analysis Addin'!$H980,G981&gt;H981), 1, 0)</f>
        <v>0</v>
      </c>
      <c r="J980" s="3">
        <f t="shared" ca="1" si="76"/>
        <v>0</v>
      </c>
      <c r="K980" s="19">
        <f>YEAR('Data Analysis Addin'!$A980)</f>
        <v>2024</v>
      </c>
    </row>
    <row r="981" spans="1:11" x14ac:dyDescent="0.4">
      <c r="A981" s="16">
        <v>45559</v>
      </c>
      <c r="B981" s="8">
        <v>571.29999999999995</v>
      </c>
      <c r="C981" s="11">
        <f t="shared" si="73"/>
        <v>550.97800000000007</v>
      </c>
      <c r="D981" s="11">
        <f t="shared" si="77"/>
        <v>519.82159999999988</v>
      </c>
      <c r="E981" s="8"/>
      <c r="F981" s="8"/>
      <c r="G981" s="8">
        <f t="shared" ca="1" si="74"/>
        <v>550.97800000000007</v>
      </c>
      <c r="H981" s="8">
        <f t="shared" ca="1" si="75"/>
        <v>519.82159999999988</v>
      </c>
      <c r="I981" s="12">
        <f ca="1">IF(AND('Data Analysis Addin'!$G981&lt;='Data Analysis Addin'!$H981,G982&gt;H982), 1, 0)</f>
        <v>0</v>
      </c>
      <c r="J981" s="2">
        <f t="shared" ca="1" si="76"/>
        <v>0</v>
      </c>
      <c r="K981" s="17">
        <f>YEAR('Data Analysis Addin'!$A981)</f>
        <v>2024</v>
      </c>
    </row>
    <row r="982" spans="1:11" x14ac:dyDescent="0.4">
      <c r="A982" s="18">
        <v>45560</v>
      </c>
      <c r="B982" s="9">
        <v>570.04</v>
      </c>
      <c r="C982" s="11">
        <f t="shared" si="73"/>
        <v>551.08159999999998</v>
      </c>
      <c r="D982" s="11">
        <f t="shared" si="77"/>
        <v>520.38064999999983</v>
      </c>
      <c r="E982" s="9"/>
      <c r="F982" s="9"/>
      <c r="G982" s="9">
        <f t="shared" ca="1" si="74"/>
        <v>551.08159999999998</v>
      </c>
      <c r="H982" s="9">
        <f t="shared" ca="1" si="75"/>
        <v>520.38064999999983</v>
      </c>
      <c r="I982" s="12">
        <f ca="1">IF(AND('Data Analysis Addin'!$G982&lt;='Data Analysis Addin'!$H982,G983&gt;H983), 1, 0)</f>
        <v>0</v>
      </c>
      <c r="J982" s="3">
        <f t="shared" ca="1" si="76"/>
        <v>0</v>
      </c>
      <c r="K982" s="19">
        <f>YEAR('Data Analysis Addin'!$A982)</f>
        <v>2024</v>
      </c>
    </row>
    <row r="983" spans="1:11" x14ac:dyDescent="0.4">
      <c r="A983" s="16">
        <v>45561</v>
      </c>
      <c r="B983" s="8">
        <v>572.29999999999995</v>
      </c>
      <c r="C983" s="11">
        <f t="shared" si="73"/>
        <v>551.38879999999995</v>
      </c>
      <c r="D983" s="11">
        <f t="shared" si="77"/>
        <v>520.94114999999988</v>
      </c>
      <c r="E983" s="8"/>
      <c r="F983" s="8"/>
      <c r="G983" s="8">
        <f t="shared" ca="1" si="74"/>
        <v>551.38879999999995</v>
      </c>
      <c r="H983" s="8">
        <f t="shared" ca="1" si="75"/>
        <v>520.94114999999988</v>
      </c>
      <c r="I983" s="12">
        <f ca="1">IF(AND('Data Analysis Addin'!$G983&lt;='Data Analysis Addin'!$H983,G984&gt;H984), 1, 0)</f>
        <v>0</v>
      </c>
      <c r="J983" s="2">
        <f t="shared" ca="1" si="76"/>
        <v>0</v>
      </c>
      <c r="K983" s="17">
        <f>YEAR('Data Analysis Addin'!$A983)</f>
        <v>2024</v>
      </c>
    </row>
    <row r="984" spans="1:11" x14ac:dyDescent="0.4">
      <c r="A984" s="18">
        <v>45562</v>
      </c>
      <c r="B984" s="9">
        <v>571.47</v>
      </c>
      <c r="C984" s="11">
        <f t="shared" si="73"/>
        <v>551.76499999999999</v>
      </c>
      <c r="D984" s="11">
        <f t="shared" si="77"/>
        <v>521.4885499999998</v>
      </c>
      <c r="E984" s="9"/>
      <c r="F984" s="9"/>
      <c r="G984" s="9">
        <f t="shared" ca="1" si="74"/>
        <v>551.76499999999999</v>
      </c>
      <c r="H984" s="9">
        <f t="shared" ca="1" si="75"/>
        <v>521.4885499999998</v>
      </c>
      <c r="I984" s="12">
        <f ca="1">IF(AND('Data Analysis Addin'!$G984&lt;='Data Analysis Addin'!$H984,G985&gt;H985), 1, 0)</f>
        <v>0</v>
      </c>
      <c r="J984" s="3">
        <f t="shared" ca="1" si="76"/>
        <v>0</v>
      </c>
      <c r="K984" s="19">
        <f>YEAR('Data Analysis Addin'!$A984)</f>
        <v>2024</v>
      </c>
    </row>
    <row r="985" spans="1:11" x14ac:dyDescent="0.4">
      <c r="A985" s="16">
        <v>45565</v>
      </c>
      <c r="B985" s="8">
        <v>573.76</v>
      </c>
      <c r="C985" s="11">
        <f t="shared" si="73"/>
        <v>552.26039999999989</v>
      </c>
      <c r="D985" s="11">
        <f t="shared" si="77"/>
        <v>522.03684999999984</v>
      </c>
      <c r="E985" s="8"/>
      <c r="F985" s="8"/>
      <c r="G985" s="8">
        <f t="shared" ca="1" si="74"/>
        <v>552.26039999999989</v>
      </c>
      <c r="H985" s="8">
        <f t="shared" ca="1" si="75"/>
        <v>522.03684999999984</v>
      </c>
      <c r="I985" s="12">
        <f ca="1">IF(AND('Data Analysis Addin'!$G985&lt;='Data Analysis Addin'!$H985,G986&gt;H986), 1, 0)</f>
        <v>0</v>
      </c>
      <c r="J985" s="2">
        <f t="shared" ca="1" si="76"/>
        <v>0</v>
      </c>
      <c r="K985" s="17">
        <f>YEAR('Data Analysis Addin'!$A985)</f>
        <v>2024</v>
      </c>
    </row>
    <row r="986" spans="1:11" x14ac:dyDescent="0.4">
      <c r="A986" s="18">
        <v>45566</v>
      </c>
      <c r="B986" s="9">
        <v>568.62</v>
      </c>
      <c r="C986" s="11">
        <f t="shared" si="73"/>
        <v>552.53980000000001</v>
      </c>
      <c r="D986" s="11">
        <f t="shared" si="77"/>
        <v>522.52744999999982</v>
      </c>
      <c r="E986" s="9"/>
      <c r="F986" s="9"/>
      <c r="G986" s="9">
        <f t="shared" ca="1" si="74"/>
        <v>552.53980000000001</v>
      </c>
      <c r="H986" s="9">
        <f t="shared" ca="1" si="75"/>
        <v>522.52744999999982</v>
      </c>
      <c r="I986" s="12">
        <f ca="1">IF(AND('Data Analysis Addin'!$G986&lt;='Data Analysis Addin'!$H986,G987&gt;H987), 1, 0)</f>
        <v>0</v>
      </c>
      <c r="J986" s="3">
        <f t="shared" ca="1" si="76"/>
        <v>0</v>
      </c>
      <c r="K986" s="19">
        <f>YEAR('Data Analysis Addin'!$A986)</f>
        <v>2024</v>
      </c>
    </row>
    <row r="987" spans="1:11" x14ac:dyDescent="0.4">
      <c r="A987" s="16">
        <v>45567</v>
      </c>
      <c r="B987" s="8">
        <v>568.86</v>
      </c>
      <c r="C987" s="11">
        <f t="shared" si="73"/>
        <v>552.84139999999979</v>
      </c>
      <c r="D987" s="11">
        <f t="shared" si="77"/>
        <v>523.01169999999979</v>
      </c>
      <c r="E987" s="8"/>
      <c r="F987" s="8"/>
      <c r="G987" s="8">
        <f t="shared" ca="1" si="74"/>
        <v>552.84139999999979</v>
      </c>
      <c r="H987" s="8">
        <f t="shared" ca="1" si="75"/>
        <v>523.01169999999979</v>
      </c>
      <c r="I987" s="12">
        <f ca="1">IF(AND('Data Analysis Addin'!$G987&lt;='Data Analysis Addin'!$H987,G988&gt;H988), 1, 0)</f>
        <v>0</v>
      </c>
      <c r="J987" s="2">
        <f t="shared" ca="1" si="76"/>
        <v>0</v>
      </c>
      <c r="K987" s="17">
        <f>YEAR('Data Analysis Addin'!$A987)</f>
        <v>2024</v>
      </c>
    </row>
    <row r="988" spans="1:11" x14ac:dyDescent="0.4">
      <c r="A988" s="18">
        <v>45568</v>
      </c>
      <c r="B988" s="9">
        <v>567.82000000000005</v>
      </c>
      <c r="C988" s="11">
        <f t="shared" si="73"/>
        <v>553.37319999999988</v>
      </c>
      <c r="D988" s="11">
        <f t="shared" si="77"/>
        <v>523.50414999999975</v>
      </c>
      <c r="E988" s="9"/>
      <c r="F988" s="9"/>
      <c r="G988" s="9">
        <f t="shared" ca="1" si="74"/>
        <v>553.37319999999988</v>
      </c>
      <c r="H988" s="9">
        <f t="shared" ca="1" si="75"/>
        <v>523.50414999999975</v>
      </c>
      <c r="I988" s="12">
        <f ca="1">IF(AND('Data Analysis Addin'!$G988&lt;='Data Analysis Addin'!$H988,G989&gt;H989), 1, 0)</f>
        <v>0</v>
      </c>
      <c r="J988" s="3">
        <f t="shared" ca="1" si="76"/>
        <v>0</v>
      </c>
      <c r="K988" s="19">
        <f>YEAR('Data Analysis Addin'!$A988)</f>
        <v>2024</v>
      </c>
    </row>
    <row r="989" spans="1:11" x14ac:dyDescent="0.4">
      <c r="A989" s="16">
        <v>45569</v>
      </c>
      <c r="B989" s="8">
        <v>572.98</v>
      </c>
      <c r="C989" s="11">
        <f t="shared" si="73"/>
        <v>554.06459999999993</v>
      </c>
      <c r="D989" s="11">
        <f t="shared" si="77"/>
        <v>524.00919999999985</v>
      </c>
      <c r="E989" s="8"/>
      <c r="F989" s="8"/>
      <c r="G989" s="8">
        <f t="shared" ca="1" si="74"/>
        <v>554.06459999999993</v>
      </c>
      <c r="H989" s="8">
        <f t="shared" ca="1" si="75"/>
        <v>524.00919999999985</v>
      </c>
      <c r="I989" s="12">
        <f ca="1">IF(AND('Data Analysis Addin'!$G989&lt;='Data Analysis Addin'!$H989,G990&gt;H990), 1, 0)</f>
        <v>0</v>
      </c>
      <c r="J989" s="2">
        <f t="shared" ca="1" si="76"/>
        <v>0</v>
      </c>
      <c r="K989" s="17">
        <f>YEAR('Data Analysis Addin'!$A989)</f>
        <v>2024</v>
      </c>
    </row>
    <row r="990" spans="1:11" x14ac:dyDescent="0.4">
      <c r="A990" s="18">
        <v>45572</v>
      </c>
      <c r="B990" s="9">
        <v>567.79999999999995</v>
      </c>
      <c r="C990" s="11">
        <f t="shared" si="73"/>
        <v>554.53179999999998</v>
      </c>
      <c r="D990" s="11">
        <f t="shared" si="77"/>
        <v>524.47399999999982</v>
      </c>
      <c r="E990" s="9"/>
      <c r="F990" s="9"/>
      <c r="G990" s="9">
        <f t="shared" ca="1" si="74"/>
        <v>554.53179999999998</v>
      </c>
      <c r="H990" s="9">
        <f t="shared" ca="1" si="75"/>
        <v>524.47399999999982</v>
      </c>
      <c r="I990" s="12">
        <f ca="1">IF(AND('Data Analysis Addin'!$G990&lt;='Data Analysis Addin'!$H990,G991&gt;H991), 1, 0)</f>
        <v>0</v>
      </c>
      <c r="J990" s="3">
        <f t="shared" ca="1" si="76"/>
        <v>0</v>
      </c>
      <c r="K990" s="19">
        <f>YEAR('Data Analysis Addin'!$A990)</f>
        <v>2024</v>
      </c>
    </row>
    <row r="991" spans="1:11" x14ac:dyDescent="0.4">
      <c r="A991" s="16">
        <v>45573</v>
      </c>
      <c r="B991" s="8">
        <v>573.16999999999996</v>
      </c>
      <c r="C991" s="11">
        <f t="shared" si="73"/>
        <v>555.0999999999998</v>
      </c>
      <c r="D991" s="11">
        <f t="shared" si="77"/>
        <v>524.99854999999991</v>
      </c>
      <c r="E991" s="8"/>
      <c r="F991" s="8"/>
      <c r="G991" s="8">
        <f t="shared" ca="1" si="74"/>
        <v>555.0999999999998</v>
      </c>
      <c r="H991" s="8">
        <f t="shared" ca="1" si="75"/>
        <v>524.99854999999991</v>
      </c>
      <c r="I991" s="12">
        <f ca="1">IF(AND('Data Analysis Addin'!$G991&lt;='Data Analysis Addin'!$H991,G992&gt;H992), 1, 0)</f>
        <v>0</v>
      </c>
      <c r="J991" s="2">
        <f t="shared" ca="1" si="76"/>
        <v>0</v>
      </c>
      <c r="K991" s="17">
        <f>YEAR('Data Analysis Addin'!$A991)</f>
        <v>2024</v>
      </c>
    </row>
    <row r="992" spans="1:11" x14ac:dyDescent="0.4">
      <c r="A992" s="18">
        <v>45574</v>
      </c>
      <c r="B992" s="9">
        <v>577.14</v>
      </c>
      <c r="C992" s="11">
        <f t="shared" si="73"/>
        <v>555.80279999999982</v>
      </c>
      <c r="D992" s="11">
        <f t="shared" si="77"/>
        <v>525.52074999999991</v>
      </c>
      <c r="E992" s="9"/>
      <c r="F992" s="9"/>
      <c r="G992" s="9">
        <f t="shared" ca="1" si="74"/>
        <v>555.80279999999982</v>
      </c>
      <c r="H992" s="9">
        <f t="shared" ca="1" si="75"/>
        <v>525.52074999999991</v>
      </c>
      <c r="I992" s="12">
        <f ca="1">IF(AND('Data Analysis Addin'!$G992&lt;='Data Analysis Addin'!$H992,G993&gt;H993), 1, 0)</f>
        <v>0</v>
      </c>
      <c r="J992" s="3">
        <f t="shared" ca="1" si="76"/>
        <v>0</v>
      </c>
      <c r="K992" s="19">
        <f>YEAR('Data Analysis Addin'!$A992)</f>
        <v>2024</v>
      </c>
    </row>
    <row r="993" spans="1:11" x14ac:dyDescent="0.4">
      <c r="A993" s="16">
        <v>45575</v>
      </c>
      <c r="B993" s="8">
        <v>576.13</v>
      </c>
      <c r="C993" s="11">
        <f t="shared" si="73"/>
        <v>556.30919999999981</v>
      </c>
      <c r="D993" s="11">
        <f t="shared" si="77"/>
        <v>526.03314999999998</v>
      </c>
      <c r="E993" s="8"/>
      <c r="F993" s="8"/>
      <c r="G993" s="8">
        <f t="shared" ca="1" si="74"/>
        <v>556.30919999999981</v>
      </c>
      <c r="H993" s="8">
        <f t="shared" ca="1" si="75"/>
        <v>526.03314999999998</v>
      </c>
      <c r="I993" s="12">
        <f ca="1">IF(AND('Data Analysis Addin'!$G993&lt;='Data Analysis Addin'!$H993,G994&gt;H994), 1, 0)</f>
        <v>0</v>
      </c>
      <c r="J993" s="2">
        <f t="shared" ca="1" si="76"/>
        <v>0</v>
      </c>
      <c r="K993" s="17">
        <f>YEAR('Data Analysis Addin'!$A993)</f>
        <v>2024</v>
      </c>
    </row>
    <row r="994" spans="1:11" x14ac:dyDescent="0.4">
      <c r="A994" s="18">
        <v>45576</v>
      </c>
      <c r="B994" s="9">
        <v>579.58000000000004</v>
      </c>
      <c r="C994" s="11">
        <f t="shared" si="73"/>
        <v>557.04059999999993</v>
      </c>
      <c r="D994" s="11">
        <f t="shared" si="77"/>
        <v>526.55279999999993</v>
      </c>
      <c r="E994" s="9"/>
      <c r="F994" s="9"/>
      <c r="G994" s="9">
        <f t="shared" ca="1" si="74"/>
        <v>557.04059999999993</v>
      </c>
      <c r="H994" s="9">
        <f t="shared" ca="1" si="75"/>
        <v>526.55279999999993</v>
      </c>
      <c r="I994" s="12">
        <f ca="1">IF(AND('Data Analysis Addin'!$G994&lt;='Data Analysis Addin'!$H994,G995&gt;H995), 1, 0)</f>
        <v>0</v>
      </c>
      <c r="J994" s="3">
        <f t="shared" ca="1" si="76"/>
        <v>0</v>
      </c>
      <c r="K994" s="19">
        <f>YEAR('Data Analysis Addin'!$A994)</f>
        <v>2024</v>
      </c>
    </row>
    <row r="995" spans="1:11" x14ac:dyDescent="0.4">
      <c r="A995" s="16">
        <v>45579</v>
      </c>
      <c r="B995" s="8">
        <v>584.32000000000005</v>
      </c>
      <c r="C995" s="11">
        <f t="shared" si="73"/>
        <v>558.06899999999996</v>
      </c>
      <c r="D995" s="11">
        <f t="shared" si="77"/>
        <v>527.09185000000002</v>
      </c>
      <c r="E995" s="8"/>
      <c r="F995" s="8"/>
      <c r="G995" s="8">
        <f t="shared" ca="1" si="74"/>
        <v>558.06899999999996</v>
      </c>
      <c r="H995" s="8">
        <f t="shared" ca="1" si="75"/>
        <v>527.09185000000002</v>
      </c>
      <c r="I995" s="12">
        <f ca="1">IF(AND('Data Analysis Addin'!$G995&lt;='Data Analysis Addin'!$H995,G996&gt;H996), 1, 0)</f>
        <v>0</v>
      </c>
      <c r="J995" s="2">
        <f t="shared" ca="1" si="76"/>
        <v>0</v>
      </c>
      <c r="K995" s="17">
        <f>YEAR('Data Analysis Addin'!$A995)</f>
        <v>2024</v>
      </c>
    </row>
    <row r="996" spans="1:11" x14ac:dyDescent="0.4">
      <c r="A996" s="18">
        <v>45580</v>
      </c>
      <c r="B996" s="9">
        <v>579.78</v>
      </c>
      <c r="C996" s="11">
        <f t="shared" si="73"/>
        <v>559.31699999999989</v>
      </c>
      <c r="D996" s="11">
        <f t="shared" si="77"/>
        <v>527.60730000000001</v>
      </c>
      <c r="E996" s="9"/>
      <c r="F996" s="9"/>
      <c r="G996" s="9">
        <f t="shared" ca="1" si="74"/>
        <v>559.31699999999989</v>
      </c>
      <c r="H996" s="9">
        <f t="shared" ca="1" si="75"/>
        <v>527.60730000000001</v>
      </c>
      <c r="I996" s="12">
        <f ca="1">IF(AND('Data Analysis Addin'!$G996&lt;='Data Analysis Addin'!$H996,G997&gt;H997), 1, 0)</f>
        <v>0</v>
      </c>
      <c r="J996" s="3">
        <f t="shared" ca="1" si="76"/>
        <v>0</v>
      </c>
      <c r="K996" s="19">
        <f>YEAR('Data Analysis Addin'!$A996)</f>
        <v>2024</v>
      </c>
    </row>
    <row r="997" spans="1:11" x14ac:dyDescent="0.4">
      <c r="A997" s="16">
        <v>45581</v>
      </c>
      <c r="B997" s="8">
        <v>582.29999999999995</v>
      </c>
      <c r="C997" s="11">
        <f t="shared" si="73"/>
        <v>560.52</v>
      </c>
      <c r="D997" s="11">
        <f t="shared" si="77"/>
        <v>528.14224999999999</v>
      </c>
      <c r="E997" s="8"/>
      <c r="F997" s="8"/>
      <c r="G997" s="8">
        <f t="shared" ca="1" si="74"/>
        <v>560.52</v>
      </c>
      <c r="H997" s="8">
        <f t="shared" ca="1" si="75"/>
        <v>528.14224999999999</v>
      </c>
      <c r="I997" s="12">
        <f ca="1">IF(AND('Data Analysis Addin'!$G997&lt;='Data Analysis Addin'!$H997,G998&gt;H998), 1, 0)</f>
        <v>0</v>
      </c>
      <c r="J997" s="2">
        <f t="shared" ca="1" si="76"/>
        <v>0</v>
      </c>
      <c r="K997" s="17">
        <f>YEAR('Data Analysis Addin'!$A997)</f>
        <v>2024</v>
      </c>
    </row>
    <row r="998" spans="1:11" x14ac:dyDescent="0.4">
      <c r="A998" s="18">
        <v>45582</v>
      </c>
      <c r="B998" s="9">
        <v>582.35</v>
      </c>
      <c r="C998" s="11">
        <f t="shared" si="73"/>
        <v>561.79379999999992</v>
      </c>
      <c r="D998" s="11">
        <f t="shared" si="77"/>
        <v>528.69075000000009</v>
      </c>
      <c r="E998" s="9"/>
      <c r="F998" s="9"/>
      <c r="G998" s="9">
        <f t="shared" ca="1" si="74"/>
        <v>561.79379999999992</v>
      </c>
      <c r="H998" s="9">
        <f t="shared" ca="1" si="75"/>
        <v>528.69075000000009</v>
      </c>
      <c r="I998" s="12">
        <f ca="1">IF(AND('Data Analysis Addin'!$G998&lt;='Data Analysis Addin'!$H998,G999&gt;H999), 1, 0)</f>
        <v>0</v>
      </c>
      <c r="J998" s="3">
        <f t="shared" ca="1" si="76"/>
        <v>0</v>
      </c>
      <c r="K998" s="19">
        <f>YEAR('Data Analysis Addin'!$A998)</f>
        <v>2024</v>
      </c>
    </row>
    <row r="999" spans="1:11" x14ac:dyDescent="0.4">
      <c r="A999" s="16">
        <v>45583</v>
      </c>
      <c r="B999" s="8">
        <v>584.59</v>
      </c>
      <c r="C999" s="11">
        <f t="shared" si="73"/>
        <v>562.87259999999992</v>
      </c>
      <c r="D999" s="11">
        <f t="shared" si="77"/>
        <v>529.26974999999993</v>
      </c>
      <c r="E999" s="8"/>
      <c r="F999" s="8"/>
      <c r="G999" s="8">
        <f t="shared" ca="1" si="74"/>
        <v>562.87259999999992</v>
      </c>
      <c r="H999" s="8">
        <f t="shared" ca="1" si="75"/>
        <v>529.26974999999993</v>
      </c>
      <c r="I999" s="12">
        <f ca="1">IF(AND('Data Analysis Addin'!$G999&lt;='Data Analysis Addin'!$H999,G1000&gt;H1000), 1, 0)</f>
        <v>0</v>
      </c>
      <c r="J999" s="2">
        <f t="shared" ca="1" si="76"/>
        <v>0</v>
      </c>
      <c r="K999" s="17">
        <f>YEAR('Data Analysis Addin'!$A999)</f>
        <v>2024</v>
      </c>
    </row>
    <row r="1000" spans="1:11" x14ac:dyDescent="0.4">
      <c r="A1000" s="18">
        <v>45586</v>
      </c>
      <c r="B1000" s="9">
        <v>583.63</v>
      </c>
      <c r="C1000" s="11">
        <f t="shared" si="73"/>
        <v>563.88539999999989</v>
      </c>
      <c r="D1000" s="11">
        <f t="shared" si="77"/>
        <v>529.85149999999999</v>
      </c>
      <c r="E1000" s="9"/>
      <c r="F1000" s="9"/>
      <c r="G1000" s="9">
        <f t="shared" ca="1" si="74"/>
        <v>563.88539999999989</v>
      </c>
      <c r="H1000" s="9">
        <f t="shared" ca="1" si="75"/>
        <v>529.85149999999999</v>
      </c>
      <c r="I1000" s="12">
        <f ca="1">IF(AND('Data Analysis Addin'!$G1000&lt;='Data Analysis Addin'!$H1000,G1001&gt;H1001), 1, 0)</f>
        <v>0</v>
      </c>
      <c r="J1000" s="3">
        <f t="shared" ca="1" si="76"/>
        <v>0</v>
      </c>
      <c r="K1000" s="19">
        <f>YEAR('Data Analysis Addin'!$A1000)</f>
        <v>2024</v>
      </c>
    </row>
    <row r="1001" spans="1:11" x14ac:dyDescent="0.4">
      <c r="A1001" s="16">
        <v>45587</v>
      </c>
      <c r="B1001" s="8">
        <v>583.32000000000005</v>
      </c>
      <c r="C1001" s="11">
        <f t="shared" si="73"/>
        <v>564.88639999999998</v>
      </c>
      <c r="D1001" s="11">
        <f t="shared" si="77"/>
        <v>530.42849999999999</v>
      </c>
      <c r="E1001" s="8"/>
      <c r="F1001" s="8"/>
      <c r="G1001" s="8">
        <f t="shared" ca="1" si="74"/>
        <v>564.88639999999998</v>
      </c>
      <c r="H1001" s="8">
        <f t="shared" ca="1" si="75"/>
        <v>530.42849999999999</v>
      </c>
      <c r="I1001" s="12">
        <f ca="1">IF(AND('Data Analysis Addin'!$G1001&lt;='Data Analysis Addin'!$H1001,G1002&gt;H1002), 1, 0)</f>
        <v>0</v>
      </c>
      <c r="J1001" s="2">
        <f t="shared" ca="1" si="76"/>
        <v>0</v>
      </c>
      <c r="K1001" s="17">
        <f>YEAR('Data Analysis Addin'!$A1001)</f>
        <v>2024</v>
      </c>
    </row>
    <row r="1002" spans="1:11" x14ac:dyDescent="0.4">
      <c r="A1002" s="18">
        <v>45588</v>
      </c>
      <c r="B1002" s="9">
        <v>577.99</v>
      </c>
      <c r="C1002" s="11">
        <f t="shared" si="73"/>
        <v>565.60539999999992</v>
      </c>
      <c r="D1002" s="11">
        <f t="shared" si="77"/>
        <v>530.94545000000005</v>
      </c>
      <c r="E1002" s="9"/>
      <c r="F1002" s="9"/>
      <c r="G1002" s="9">
        <f t="shared" ca="1" si="74"/>
        <v>565.60539999999992</v>
      </c>
      <c r="H1002" s="9">
        <f t="shared" ca="1" si="75"/>
        <v>530.94545000000005</v>
      </c>
      <c r="I1002" s="12">
        <f ca="1">IF(AND('Data Analysis Addin'!$G1002&lt;='Data Analysis Addin'!$H1002,G1003&gt;H1003), 1, 0)</f>
        <v>0</v>
      </c>
      <c r="J1002" s="3">
        <f t="shared" ca="1" si="76"/>
        <v>0</v>
      </c>
      <c r="K1002" s="19">
        <f>YEAR('Data Analysis Addin'!$A1002)</f>
        <v>2024</v>
      </c>
    </row>
    <row r="1003" spans="1:11" x14ac:dyDescent="0.4">
      <c r="A1003" s="16">
        <v>45589</v>
      </c>
      <c r="B1003" s="8">
        <v>579.24</v>
      </c>
      <c r="C1003" s="11">
        <f t="shared" si="73"/>
        <v>566.3152</v>
      </c>
      <c r="D1003" s="11">
        <f t="shared" si="77"/>
        <v>531.47225000000003</v>
      </c>
      <c r="E1003" s="8"/>
      <c r="F1003" s="8"/>
      <c r="G1003" s="8">
        <f t="shared" ca="1" si="74"/>
        <v>566.3152</v>
      </c>
      <c r="H1003" s="8">
        <f t="shared" ca="1" si="75"/>
        <v>531.47225000000003</v>
      </c>
      <c r="I1003" s="12">
        <f ca="1">IF(AND('Data Analysis Addin'!$G1003&lt;='Data Analysis Addin'!$H1003,G1004&gt;H1004), 1, 0)</f>
        <v>0</v>
      </c>
      <c r="J1003" s="2">
        <f t="shared" ca="1" si="76"/>
        <v>0</v>
      </c>
      <c r="K1003" s="17">
        <f>YEAR('Data Analysis Addin'!$A1003)</f>
        <v>2024</v>
      </c>
    </row>
    <row r="1004" spans="1:11" x14ac:dyDescent="0.4">
      <c r="A1004" s="18">
        <v>45590</v>
      </c>
      <c r="B1004" s="9">
        <v>579.04</v>
      </c>
      <c r="C1004" s="11">
        <f t="shared" si="73"/>
        <v>566.83460000000002</v>
      </c>
      <c r="D1004" s="11">
        <f t="shared" si="77"/>
        <v>531.98464999999999</v>
      </c>
      <c r="E1004" s="9"/>
      <c r="F1004" s="9"/>
      <c r="G1004" s="9">
        <f t="shared" ca="1" si="74"/>
        <v>566.83460000000002</v>
      </c>
      <c r="H1004" s="9">
        <f t="shared" ca="1" si="75"/>
        <v>531.98464999999999</v>
      </c>
      <c r="I1004" s="12">
        <f ca="1">IF(AND('Data Analysis Addin'!$G1004&lt;='Data Analysis Addin'!$H1004,G1005&gt;H1005), 1, 0)</f>
        <v>0</v>
      </c>
      <c r="J1004" s="3">
        <f t="shared" ca="1" si="76"/>
        <v>0</v>
      </c>
      <c r="K1004" s="19">
        <f>YEAR('Data Analysis Addin'!$A1004)</f>
        <v>2024</v>
      </c>
    </row>
    <row r="1005" spans="1:11" x14ac:dyDescent="0.4">
      <c r="A1005" s="16">
        <v>45593</v>
      </c>
      <c r="B1005" s="8">
        <v>580.83000000000004</v>
      </c>
      <c r="C1005" s="11">
        <f t="shared" si="73"/>
        <v>567.36500000000001</v>
      </c>
      <c r="D1005" s="11">
        <f t="shared" si="77"/>
        <v>532.50705000000005</v>
      </c>
      <c r="E1005" s="8"/>
      <c r="F1005" s="8"/>
      <c r="G1005" s="8">
        <f t="shared" ca="1" si="74"/>
        <v>567.36500000000001</v>
      </c>
      <c r="H1005" s="8">
        <f t="shared" ca="1" si="75"/>
        <v>532.50705000000005</v>
      </c>
      <c r="I1005" s="12">
        <f ca="1">IF(AND('Data Analysis Addin'!$G1005&lt;='Data Analysis Addin'!$H1005,G1006&gt;H1006), 1, 0)</f>
        <v>0</v>
      </c>
      <c r="J1005" s="2">
        <f t="shared" ca="1" si="76"/>
        <v>0</v>
      </c>
      <c r="K1005" s="17">
        <f>YEAR('Data Analysis Addin'!$A1005)</f>
        <v>2024</v>
      </c>
    </row>
    <row r="1006" spans="1:11" x14ac:dyDescent="0.4">
      <c r="A1006" s="18">
        <v>45594</v>
      </c>
      <c r="B1006" s="9">
        <v>581.77</v>
      </c>
      <c r="C1006" s="11">
        <f t="shared" si="73"/>
        <v>567.80819999999994</v>
      </c>
      <c r="D1006" s="11">
        <f t="shared" si="77"/>
        <v>533.03250000000003</v>
      </c>
      <c r="E1006" s="9"/>
      <c r="F1006" s="9"/>
      <c r="G1006" s="9">
        <f t="shared" ca="1" si="74"/>
        <v>567.80819999999994</v>
      </c>
      <c r="H1006" s="9">
        <f t="shared" ca="1" si="75"/>
        <v>533.03250000000003</v>
      </c>
      <c r="I1006" s="12">
        <f ca="1">IF(AND('Data Analysis Addin'!$G1006&lt;='Data Analysis Addin'!$H1006,G1007&gt;H1007), 1, 0)</f>
        <v>0</v>
      </c>
      <c r="J1006" s="3">
        <f t="shared" ca="1" si="76"/>
        <v>0</v>
      </c>
      <c r="K1006" s="19">
        <f>YEAR('Data Analysis Addin'!$A1006)</f>
        <v>2024</v>
      </c>
    </row>
    <row r="1007" spans="1:11" x14ac:dyDescent="0.4">
      <c r="A1007" s="16">
        <v>45595</v>
      </c>
      <c r="B1007" s="8">
        <v>580.01</v>
      </c>
      <c r="C1007" s="11">
        <f t="shared" si="73"/>
        <v>568.23439999999994</v>
      </c>
      <c r="D1007" s="11">
        <f t="shared" si="77"/>
        <v>533.55790000000002</v>
      </c>
      <c r="E1007" s="8"/>
      <c r="F1007" s="8"/>
      <c r="G1007" s="8">
        <f t="shared" ca="1" si="74"/>
        <v>568.23439999999994</v>
      </c>
      <c r="H1007" s="8">
        <f t="shared" ca="1" si="75"/>
        <v>533.55790000000002</v>
      </c>
      <c r="I1007" s="12">
        <f ca="1">IF(AND('Data Analysis Addin'!$G1007&lt;='Data Analysis Addin'!$H1007,G1008&gt;H1008), 1, 0)</f>
        <v>0</v>
      </c>
      <c r="J1007" s="2">
        <f t="shared" ca="1" si="76"/>
        <v>0</v>
      </c>
      <c r="K1007" s="17">
        <f>YEAR('Data Analysis Addin'!$A1007)</f>
        <v>2024</v>
      </c>
    </row>
    <row r="1008" spans="1:11" x14ac:dyDescent="0.4">
      <c r="A1008" s="18">
        <v>45596</v>
      </c>
      <c r="B1008" s="9">
        <v>568.64</v>
      </c>
      <c r="C1008" s="11">
        <f t="shared" si="73"/>
        <v>568.39479999999992</v>
      </c>
      <c r="D1008" s="11">
        <f t="shared" si="77"/>
        <v>534.03964999999994</v>
      </c>
      <c r="E1008" s="9"/>
      <c r="F1008" s="9"/>
      <c r="G1008" s="9">
        <f t="shared" ca="1" si="74"/>
        <v>568.39479999999992</v>
      </c>
      <c r="H1008" s="9">
        <f t="shared" ca="1" si="75"/>
        <v>534.03964999999994</v>
      </c>
      <c r="I1008" s="12">
        <f ca="1">IF(AND('Data Analysis Addin'!$G1008&lt;='Data Analysis Addin'!$H1008,G1009&gt;H1009), 1, 0)</f>
        <v>0</v>
      </c>
      <c r="J1008" s="3">
        <f t="shared" ca="1" si="76"/>
        <v>0</v>
      </c>
      <c r="K1008" s="19">
        <f>YEAR('Data Analysis Addin'!$A1008)</f>
        <v>2024</v>
      </c>
    </row>
    <row r="1009" spans="1:11" x14ac:dyDescent="0.4">
      <c r="A1009" s="16">
        <v>45597</v>
      </c>
      <c r="B1009" s="8">
        <v>571.04</v>
      </c>
      <c r="C1009" s="11">
        <f t="shared" si="73"/>
        <v>568.69119999999998</v>
      </c>
      <c r="D1009" s="11">
        <f t="shared" si="77"/>
        <v>534.51239999999996</v>
      </c>
      <c r="E1009" s="8"/>
      <c r="F1009" s="8"/>
      <c r="G1009" s="8">
        <f t="shared" ca="1" si="74"/>
        <v>568.69119999999998</v>
      </c>
      <c r="H1009" s="8">
        <f t="shared" ca="1" si="75"/>
        <v>534.51239999999996</v>
      </c>
      <c r="I1009" s="12">
        <f ca="1">IF(AND('Data Analysis Addin'!$G1009&lt;='Data Analysis Addin'!$H1009,G1010&gt;H1010), 1, 0)</f>
        <v>0</v>
      </c>
      <c r="J1009" s="2">
        <f t="shared" ca="1" si="76"/>
        <v>0</v>
      </c>
      <c r="K1009" s="17">
        <f>YEAR('Data Analysis Addin'!$A1009)</f>
        <v>2024</v>
      </c>
    </row>
    <row r="1010" spans="1:11" x14ac:dyDescent="0.4">
      <c r="A1010" s="18">
        <v>45600</v>
      </c>
      <c r="B1010" s="9">
        <v>569.80999999999995</v>
      </c>
      <c r="C1010" s="11">
        <f t="shared" si="73"/>
        <v>568.84480000000008</v>
      </c>
      <c r="D1010" s="11">
        <f t="shared" si="77"/>
        <v>534.94929999999988</v>
      </c>
      <c r="E1010" s="9"/>
      <c r="F1010" s="9"/>
      <c r="G1010" s="9">
        <f t="shared" ca="1" si="74"/>
        <v>568.84480000000008</v>
      </c>
      <c r="H1010" s="9">
        <f t="shared" ca="1" si="75"/>
        <v>534.94929999999988</v>
      </c>
      <c r="I1010" s="12">
        <f ca="1">IF(AND('Data Analysis Addin'!$G1010&lt;='Data Analysis Addin'!$H1010,G1011&gt;H1011), 1, 0)</f>
        <v>0</v>
      </c>
      <c r="J1010" s="3">
        <f t="shared" ca="1" si="76"/>
        <v>0</v>
      </c>
      <c r="K1010" s="19">
        <f>YEAR('Data Analysis Addin'!$A1010)</f>
        <v>2024</v>
      </c>
    </row>
    <row r="1011" spans="1:11" x14ac:dyDescent="0.4">
      <c r="A1011" s="16">
        <v>45601</v>
      </c>
      <c r="B1011" s="8">
        <v>576.70000000000005</v>
      </c>
      <c r="C1011" s="11">
        <f t="shared" si="73"/>
        <v>569.16300000000012</v>
      </c>
      <c r="D1011" s="11">
        <f t="shared" si="77"/>
        <v>535.41554999999994</v>
      </c>
      <c r="E1011" s="8"/>
      <c r="F1011" s="8"/>
      <c r="G1011" s="8">
        <f t="shared" ca="1" si="74"/>
        <v>569.16300000000012</v>
      </c>
      <c r="H1011" s="8">
        <f t="shared" ca="1" si="75"/>
        <v>535.41554999999994</v>
      </c>
      <c r="I1011" s="12">
        <f ca="1">IF(AND('Data Analysis Addin'!$G1011&lt;='Data Analysis Addin'!$H1011,G1012&gt;H1012), 1, 0)</f>
        <v>0</v>
      </c>
      <c r="J1011" s="2">
        <f t="shared" ca="1" si="76"/>
        <v>0</v>
      </c>
      <c r="K1011" s="17">
        <f>YEAR('Data Analysis Addin'!$A1011)</f>
        <v>2024</v>
      </c>
    </row>
    <row r="1012" spans="1:11" x14ac:dyDescent="0.4">
      <c r="A1012" s="18">
        <v>45602</v>
      </c>
      <c r="B1012" s="9">
        <v>591.04</v>
      </c>
      <c r="C1012" s="11">
        <f t="shared" ref="C1012:C1075" si="78">AVERAGE(B963:B1012)</f>
        <v>569.75260000000014</v>
      </c>
      <c r="D1012" s="11">
        <f t="shared" si="77"/>
        <v>535.94644999999991</v>
      </c>
      <c r="E1012" s="9"/>
      <c r="F1012" s="9"/>
      <c r="G1012" s="9">
        <f t="shared" ca="1" si="74"/>
        <v>569.75260000000014</v>
      </c>
      <c r="H1012" s="9">
        <f t="shared" ca="1" si="75"/>
        <v>535.94644999999991</v>
      </c>
      <c r="I1012" s="12">
        <f ca="1">IF(AND('Data Analysis Addin'!$G1012&lt;='Data Analysis Addin'!$H1012,G1013&gt;H1013), 1, 0)</f>
        <v>0</v>
      </c>
      <c r="J1012" s="3">
        <f t="shared" ca="1" si="76"/>
        <v>0</v>
      </c>
      <c r="K1012" s="19">
        <f>YEAR('Data Analysis Addin'!$A1012)</f>
        <v>2024</v>
      </c>
    </row>
    <row r="1013" spans="1:11" x14ac:dyDescent="0.4">
      <c r="A1013" s="16">
        <v>45603</v>
      </c>
      <c r="B1013" s="8">
        <v>595.61</v>
      </c>
      <c r="C1013" s="11">
        <f t="shared" si="78"/>
        <v>570.49880000000007</v>
      </c>
      <c r="D1013" s="11">
        <f t="shared" si="77"/>
        <v>536.49754999999993</v>
      </c>
      <c r="E1013" s="8"/>
      <c r="F1013" s="8"/>
      <c r="G1013" s="8">
        <f t="shared" ca="1" si="74"/>
        <v>570.49880000000007</v>
      </c>
      <c r="H1013" s="8">
        <f t="shared" ca="1" si="75"/>
        <v>536.49754999999993</v>
      </c>
      <c r="I1013" s="12">
        <f ca="1">IF(AND('Data Analysis Addin'!$G1013&lt;='Data Analysis Addin'!$H1013,G1014&gt;H1014), 1, 0)</f>
        <v>0</v>
      </c>
      <c r="J1013" s="2">
        <f t="shared" ca="1" si="76"/>
        <v>0</v>
      </c>
      <c r="K1013" s="17">
        <f>YEAR('Data Analysis Addin'!$A1013)</f>
        <v>2024</v>
      </c>
    </row>
    <row r="1014" spans="1:11" x14ac:dyDescent="0.4">
      <c r="A1014" s="18">
        <v>45604</v>
      </c>
      <c r="B1014" s="9">
        <v>598.19000000000005</v>
      </c>
      <c r="C1014" s="11">
        <f t="shared" si="78"/>
        <v>571.29560000000004</v>
      </c>
      <c r="D1014" s="11">
        <f t="shared" si="77"/>
        <v>537.04834999999991</v>
      </c>
      <c r="E1014" s="9"/>
      <c r="F1014" s="9"/>
      <c r="G1014" s="9">
        <f t="shared" ca="1" si="74"/>
        <v>571.29560000000004</v>
      </c>
      <c r="H1014" s="9">
        <f t="shared" ca="1" si="75"/>
        <v>537.04834999999991</v>
      </c>
      <c r="I1014" s="12">
        <f ca="1">IF(AND('Data Analysis Addin'!$G1014&lt;='Data Analysis Addin'!$H1014,G1015&gt;H1015), 1, 0)</f>
        <v>0</v>
      </c>
      <c r="J1014" s="3">
        <f t="shared" ca="1" si="76"/>
        <v>0</v>
      </c>
      <c r="K1014" s="19">
        <f>YEAR('Data Analysis Addin'!$A1014)</f>
        <v>2024</v>
      </c>
    </row>
    <row r="1015" spans="1:11" x14ac:dyDescent="0.4">
      <c r="A1015" s="16">
        <v>45607</v>
      </c>
      <c r="B1015" s="8">
        <v>598.76</v>
      </c>
      <c r="C1015" s="11">
        <f t="shared" si="78"/>
        <v>571.99720000000002</v>
      </c>
      <c r="D1015" s="11">
        <f t="shared" si="77"/>
        <v>537.60509999999999</v>
      </c>
      <c r="E1015" s="8"/>
      <c r="F1015" s="8"/>
      <c r="G1015" s="8">
        <f t="shared" ca="1" si="74"/>
        <v>571.99720000000002</v>
      </c>
      <c r="H1015" s="8">
        <f t="shared" ca="1" si="75"/>
        <v>537.60509999999999</v>
      </c>
      <c r="I1015" s="12">
        <f ca="1">IF(AND('Data Analysis Addin'!$G1015&lt;='Data Analysis Addin'!$H1015,G1016&gt;H1016), 1, 0)</f>
        <v>0</v>
      </c>
      <c r="J1015" s="2">
        <f t="shared" ca="1" si="76"/>
        <v>0</v>
      </c>
      <c r="K1015" s="17">
        <f>YEAR('Data Analysis Addin'!$A1015)</f>
        <v>2024</v>
      </c>
    </row>
    <row r="1016" spans="1:11" x14ac:dyDescent="0.4">
      <c r="A1016" s="18">
        <v>45608</v>
      </c>
      <c r="B1016" s="9">
        <v>596.9</v>
      </c>
      <c r="C1016" s="11">
        <f t="shared" si="78"/>
        <v>572.89359999999999</v>
      </c>
      <c r="D1016" s="11">
        <f t="shared" si="77"/>
        <v>538.13324999999998</v>
      </c>
      <c r="E1016" s="9"/>
      <c r="F1016" s="9"/>
      <c r="G1016" s="9">
        <f t="shared" ca="1" si="74"/>
        <v>572.89359999999999</v>
      </c>
      <c r="H1016" s="9">
        <f t="shared" ca="1" si="75"/>
        <v>538.13324999999998</v>
      </c>
      <c r="I1016" s="12">
        <f ca="1">IF(AND('Data Analysis Addin'!$G1016&lt;='Data Analysis Addin'!$H1016,G1017&gt;H1017), 1, 0)</f>
        <v>0</v>
      </c>
      <c r="J1016" s="3">
        <f t="shared" ca="1" si="76"/>
        <v>0</v>
      </c>
      <c r="K1016" s="19">
        <f>YEAR('Data Analysis Addin'!$A1016)</f>
        <v>2024</v>
      </c>
    </row>
    <row r="1017" spans="1:11" x14ac:dyDescent="0.4">
      <c r="A1017" s="16">
        <v>45609</v>
      </c>
      <c r="B1017" s="8">
        <v>597.19000000000005</v>
      </c>
      <c r="C1017" s="11">
        <f t="shared" si="78"/>
        <v>573.8184</v>
      </c>
      <c r="D1017" s="11">
        <f t="shared" si="77"/>
        <v>538.66474999999991</v>
      </c>
      <c r="E1017" s="8"/>
      <c r="F1017" s="8"/>
      <c r="G1017" s="8">
        <f t="shared" ca="1" si="74"/>
        <v>573.8184</v>
      </c>
      <c r="H1017" s="8">
        <f t="shared" ca="1" si="75"/>
        <v>538.66474999999991</v>
      </c>
      <c r="I1017" s="12">
        <f ca="1">IF(AND('Data Analysis Addin'!$G1017&lt;='Data Analysis Addin'!$H1017,G1018&gt;H1018), 1, 0)</f>
        <v>0</v>
      </c>
      <c r="J1017" s="2">
        <f t="shared" ca="1" si="76"/>
        <v>0</v>
      </c>
      <c r="K1017" s="17">
        <f>YEAR('Data Analysis Addin'!$A1017)</f>
        <v>2024</v>
      </c>
    </row>
    <row r="1018" spans="1:11" x14ac:dyDescent="0.4">
      <c r="A1018" s="18">
        <v>45610</v>
      </c>
      <c r="B1018" s="9">
        <v>593.35</v>
      </c>
      <c r="C1018" s="11">
        <f t="shared" si="78"/>
        <v>574.69320000000005</v>
      </c>
      <c r="D1018" s="11">
        <f t="shared" si="77"/>
        <v>539.21709999999996</v>
      </c>
      <c r="E1018" s="9"/>
      <c r="F1018" s="9"/>
      <c r="G1018" s="9">
        <f t="shared" ca="1" si="74"/>
        <v>574.69320000000005</v>
      </c>
      <c r="H1018" s="9">
        <f t="shared" ca="1" si="75"/>
        <v>539.21709999999996</v>
      </c>
      <c r="I1018" s="12">
        <f ca="1">IF(AND('Data Analysis Addin'!$G1018&lt;='Data Analysis Addin'!$H1018,G1019&gt;H1019), 1, 0)</f>
        <v>0</v>
      </c>
      <c r="J1018" s="3">
        <f t="shared" ca="1" si="76"/>
        <v>0</v>
      </c>
      <c r="K1018" s="19">
        <f>YEAR('Data Analysis Addin'!$A1018)</f>
        <v>2024</v>
      </c>
    </row>
    <row r="1019" spans="1:11" x14ac:dyDescent="0.4">
      <c r="A1019" s="16">
        <v>45611</v>
      </c>
      <c r="B1019" s="8">
        <v>585.75</v>
      </c>
      <c r="C1019" s="11">
        <f t="shared" si="78"/>
        <v>575.60100000000011</v>
      </c>
      <c r="D1019" s="11">
        <f t="shared" si="77"/>
        <v>539.69984999999997</v>
      </c>
      <c r="E1019" s="8"/>
      <c r="F1019" s="8"/>
      <c r="G1019" s="8">
        <f t="shared" ca="1" si="74"/>
        <v>575.60100000000011</v>
      </c>
      <c r="H1019" s="8">
        <f t="shared" ca="1" si="75"/>
        <v>539.69984999999997</v>
      </c>
      <c r="I1019" s="12">
        <f ca="1">IF(AND('Data Analysis Addin'!$G1019&lt;='Data Analysis Addin'!$H1019,G1020&gt;H1020), 1, 0)</f>
        <v>0</v>
      </c>
      <c r="J1019" s="2">
        <f t="shared" ca="1" si="76"/>
        <v>0</v>
      </c>
      <c r="K1019" s="17">
        <f>YEAR('Data Analysis Addin'!$A1019)</f>
        <v>2024</v>
      </c>
    </row>
    <row r="1020" spans="1:11" x14ac:dyDescent="0.4">
      <c r="A1020" s="18">
        <v>45614</v>
      </c>
      <c r="B1020" s="9">
        <v>588.15</v>
      </c>
      <c r="C1020" s="11">
        <f t="shared" si="78"/>
        <v>576.43580000000009</v>
      </c>
      <c r="D1020" s="11">
        <f t="shared" si="77"/>
        <v>540.16885000000002</v>
      </c>
      <c r="E1020" s="9"/>
      <c r="F1020" s="9"/>
      <c r="G1020" s="9">
        <f t="shared" ca="1" si="74"/>
        <v>576.43580000000009</v>
      </c>
      <c r="H1020" s="9">
        <f t="shared" ca="1" si="75"/>
        <v>540.16885000000002</v>
      </c>
      <c r="I1020" s="12">
        <f ca="1">IF(AND('Data Analysis Addin'!$G1020&lt;='Data Analysis Addin'!$H1020,G1021&gt;H1021), 1, 0)</f>
        <v>0</v>
      </c>
      <c r="J1020" s="3">
        <f t="shared" ca="1" si="76"/>
        <v>0</v>
      </c>
      <c r="K1020" s="19">
        <f>YEAR('Data Analysis Addin'!$A1020)</f>
        <v>2024</v>
      </c>
    </row>
    <row r="1021" spans="1:11" x14ac:dyDescent="0.4">
      <c r="A1021" s="16">
        <v>45615</v>
      </c>
      <c r="B1021" s="8">
        <v>590.29999999999995</v>
      </c>
      <c r="C1021" s="11">
        <f t="shared" si="78"/>
        <v>577.26600000000008</v>
      </c>
      <c r="D1021" s="11">
        <f t="shared" si="77"/>
        <v>540.6576</v>
      </c>
      <c r="E1021" s="8"/>
      <c r="F1021" s="8"/>
      <c r="G1021" s="8">
        <f t="shared" ca="1" si="74"/>
        <v>577.26600000000008</v>
      </c>
      <c r="H1021" s="8">
        <f t="shared" ca="1" si="75"/>
        <v>540.6576</v>
      </c>
      <c r="I1021" s="12">
        <f ca="1">IF(AND('Data Analysis Addin'!$G1021&lt;='Data Analysis Addin'!$H1021,G1022&gt;H1022), 1, 0)</f>
        <v>0</v>
      </c>
      <c r="J1021" s="2">
        <f t="shared" ca="1" si="76"/>
        <v>0</v>
      </c>
      <c r="K1021" s="17">
        <f>YEAR('Data Analysis Addin'!$A1021)</f>
        <v>2024</v>
      </c>
    </row>
    <row r="1022" spans="1:11" x14ac:dyDescent="0.4">
      <c r="A1022" s="18">
        <v>45616</v>
      </c>
      <c r="B1022" s="9">
        <v>590.5</v>
      </c>
      <c r="C1022" s="11">
        <f t="shared" si="78"/>
        <v>577.98760000000004</v>
      </c>
      <c r="D1022" s="11">
        <f t="shared" si="77"/>
        <v>541.14019999999994</v>
      </c>
      <c r="E1022" s="9"/>
      <c r="F1022" s="9"/>
      <c r="G1022" s="9">
        <f t="shared" ca="1" si="74"/>
        <v>577.98760000000004</v>
      </c>
      <c r="H1022" s="9">
        <f t="shared" ca="1" si="75"/>
        <v>541.14019999999994</v>
      </c>
      <c r="I1022" s="12">
        <f ca="1">IF(AND('Data Analysis Addin'!$G1022&lt;='Data Analysis Addin'!$H1022,G1023&gt;H1023), 1, 0)</f>
        <v>0</v>
      </c>
      <c r="J1022" s="3">
        <f t="shared" ca="1" si="76"/>
        <v>0</v>
      </c>
      <c r="K1022" s="19">
        <f>YEAR('Data Analysis Addin'!$A1022)</f>
        <v>2024</v>
      </c>
    </row>
    <row r="1023" spans="1:11" x14ac:dyDescent="0.4">
      <c r="A1023" s="16">
        <v>45617</v>
      </c>
      <c r="B1023" s="8">
        <v>593.66999999999996</v>
      </c>
      <c r="C1023" s="11">
        <f t="shared" si="78"/>
        <v>578.67920000000004</v>
      </c>
      <c r="D1023" s="11">
        <f t="shared" si="77"/>
        <v>541.61805000000004</v>
      </c>
      <c r="E1023" s="8"/>
      <c r="F1023" s="8"/>
      <c r="G1023" s="8">
        <f t="shared" ca="1" si="74"/>
        <v>578.67920000000004</v>
      </c>
      <c r="H1023" s="8">
        <f t="shared" ca="1" si="75"/>
        <v>541.61805000000004</v>
      </c>
      <c r="I1023" s="12">
        <f ca="1">IF(AND('Data Analysis Addin'!$G1023&lt;='Data Analysis Addin'!$H1023,G1024&gt;H1024), 1, 0)</f>
        <v>0</v>
      </c>
      <c r="J1023" s="2">
        <f t="shared" ca="1" si="76"/>
        <v>0</v>
      </c>
      <c r="K1023" s="17">
        <f>YEAR('Data Analysis Addin'!$A1023)</f>
        <v>2024</v>
      </c>
    </row>
    <row r="1024" spans="1:11" x14ac:dyDescent="0.4">
      <c r="A1024" s="18">
        <v>45618</v>
      </c>
      <c r="B1024" s="9">
        <v>595.51</v>
      </c>
      <c r="C1024" s="11">
        <f t="shared" si="78"/>
        <v>579.34919999999988</v>
      </c>
      <c r="D1024" s="11">
        <f t="shared" si="77"/>
        <v>542.10400000000004</v>
      </c>
      <c r="E1024" s="9"/>
      <c r="F1024" s="9"/>
      <c r="G1024" s="9">
        <f t="shared" ca="1" si="74"/>
        <v>579.34919999999988</v>
      </c>
      <c r="H1024" s="9">
        <f t="shared" ca="1" si="75"/>
        <v>542.10400000000004</v>
      </c>
      <c r="I1024" s="12">
        <f ca="1">IF(AND('Data Analysis Addin'!$G1024&lt;='Data Analysis Addin'!$H1024,G1025&gt;H1025), 1, 0)</f>
        <v>0</v>
      </c>
      <c r="J1024" s="3">
        <f t="shared" ca="1" si="76"/>
        <v>0</v>
      </c>
      <c r="K1024" s="19">
        <f>YEAR('Data Analysis Addin'!$A1024)</f>
        <v>2024</v>
      </c>
    </row>
    <row r="1025" spans="1:11" x14ac:dyDescent="0.4">
      <c r="A1025" s="16">
        <v>45621</v>
      </c>
      <c r="B1025" s="8">
        <v>597.53</v>
      </c>
      <c r="C1025" s="11">
        <f t="shared" si="78"/>
        <v>580.04299999999989</v>
      </c>
      <c r="D1025" s="11">
        <f t="shared" si="77"/>
        <v>542.58564999999999</v>
      </c>
      <c r="E1025" s="8"/>
      <c r="F1025" s="8"/>
      <c r="G1025" s="8">
        <f t="shared" ca="1" si="74"/>
        <v>580.04299999999989</v>
      </c>
      <c r="H1025" s="8">
        <f t="shared" ca="1" si="75"/>
        <v>542.58564999999999</v>
      </c>
      <c r="I1025" s="12">
        <f ca="1">IF(AND('Data Analysis Addin'!$G1025&lt;='Data Analysis Addin'!$H1025,G1026&gt;H1026), 1, 0)</f>
        <v>0</v>
      </c>
      <c r="J1025" s="2">
        <f t="shared" ca="1" si="76"/>
        <v>0</v>
      </c>
      <c r="K1025" s="17">
        <f>YEAR('Data Analysis Addin'!$A1025)</f>
        <v>2024</v>
      </c>
    </row>
    <row r="1026" spans="1:11" x14ac:dyDescent="0.4">
      <c r="A1026" s="18">
        <v>45622</v>
      </c>
      <c r="B1026" s="9">
        <v>600.65</v>
      </c>
      <c r="C1026" s="11">
        <f t="shared" si="78"/>
        <v>580.79459999999995</v>
      </c>
      <c r="D1026" s="11">
        <f t="shared" si="77"/>
        <v>543.08399999999983</v>
      </c>
      <c r="E1026" s="9"/>
      <c r="F1026" s="9"/>
      <c r="G1026" s="9">
        <f t="shared" ca="1" si="74"/>
        <v>580.79459999999995</v>
      </c>
      <c r="H1026" s="9">
        <f t="shared" ca="1" si="75"/>
        <v>543.08399999999983</v>
      </c>
      <c r="I1026" s="12">
        <f ca="1">IF(AND('Data Analysis Addin'!$G1026&lt;='Data Analysis Addin'!$H1026,G1027&gt;H1027), 1, 0)</f>
        <v>0</v>
      </c>
      <c r="J1026" s="3">
        <f t="shared" ca="1" si="76"/>
        <v>0</v>
      </c>
      <c r="K1026" s="19">
        <f>YEAR('Data Analysis Addin'!$A1026)</f>
        <v>2024</v>
      </c>
    </row>
    <row r="1027" spans="1:11" x14ac:dyDescent="0.4">
      <c r="A1027" s="16">
        <v>45623</v>
      </c>
      <c r="B1027" s="8">
        <v>598.83000000000004</v>
      </c>
      <c r="C1027" s="11">
        <f t="shared" si="78"/>
        <v>581.54319999999984</v>
      </c>
      <c r="D1027" s="11">
        <f t="shared" si="77"/>
        <v>543.6077499999999</v>
      </c>
      <c r="E1027" s="8"/>
      <c r="F1027" s="8"/>
      <c r="G1027" s="8">
        <f t="shared" ref="G1027:G1090" ca="1" si="79">AVERAGE(OFFSET($B1027,0,0,-(MIN(ROW()-ROW($B$3)+1,n_50)),1))</f>
        <v>581.54319999999984</v>
      </c>
      <c r="H1027" s="8">
        <f t="shared" ref="H1027:H1090" ca="1" si="80">AVERAGE(OFFSET($B1027,0,0,-(MIN(ROW()-ROW($B$3)+1,n_200)),1))</f>
        <v>543.6077499999999</v>
      </c>
      <c r="I1027" s="12">
        <f ca="1">IF(AND('Data Analysis Addin'!$G1027&lt;='Data Analysis Addin'!$H1027,G1028&gt;H1028), 1, 0)</f>
        <v>0</v>
      </c>
      <c r="J1027" s="2">
        <f t="shared" ref="J1027:J1090" ca="1" si="81">IF($G1027&lt;$H1027,1,0)</f>
        <v>0</v>
      </c>
      <c r="K1027" s="17">
        <f>YEAR('Data Analysis Addin'!$A1027)</f>
        <v>2024</v>
      </c>
    </row>
    <row r="1028" spans="1:11" x14ac:dyDescent="0.4">
      <c r="A1028" s="18">
        <v>45625</v>
      </c>
      <c r="B1028" s="9">
        <v>602.54999999999995</v>
      </c>
      <c r="C1028" s="11">
        <f t="shared" si="78"/>
        <v>582.17459999999994</v>
      </c>
      <c r="D1028" s="11">
        <f t="shared" si="77"/>
        <v>544.1276499999999</v>
      </c>
      <c r="E1028" s="9"/>
      <c r="F1028" s="9"/>
      <c r="G1028" s="9">
        <f t="shared" ca="1" si="79"/>
        <v>582.17459999999994</v>
      </c>
      <c r="H1028" s="9">
        <f t="shared" ca="1" si="80"/>
        <v>544.1276499999999</v>
      </c>
      <c r="I1028" s="12">
        <f ca="1">IF(AND('Data Analysis Addin'!$G1028&lt;='Data Analysis Addin'!$H1028,G1029&gt;H1029), 1, 0)</f>
        <v>0</v>
      </c>
      <c r="J1028" s="3">
        <f t="shared" ca="1" si="81"/>
        <v>0</v>
      </c>
      <c r="K1028" s="19">
        <f>YEAR('Data Analysis Addin'!$A1028)</f>
        <v>2024</v>
      </c>
    </row>
    <row r="1029" spans="1:11" x14ac:dyDescent="0.4">
      <c r="A1029" s="16">
        <v>45628</v>
      </c>
      <c r="B1029" s="8">
        <v>603.63</v>
      </c>
      <c r="C1029" s="11">
        <f t="shared" si="78"/>
        <v>582.88220000000001</v>
      </c>
      <c r="D1029" s="11">
        <f t="shared" si="77"/>
        <v>544.63574999999992</v>
      </c>
      <c r="E1029" s="8"/>
      <c r="F1029" s="8"/>
      <c r="G1029" s="8">
        <f t="shared" ca="1" si="79"/>
        <v>582.88220000000001</v>
      </c>
      <c r="H1029" s="8">
        <f t="shared" ca="1" si="80"/>
        <v>544.63574999999992</v>
      </c>
      <c r="I1029" s="12">
        <f ca="1">IF(AND('Data Analysis Addin'!$G1029&lt;='Data Analysis Addin'!$H1029,G1030&gt;H1030), 1, 0)</f>
        <v>0</v>
      </c>
      <c r="J1029" s="2">
        <f t="shared" ca="1" si="81"/>
        <v>0</v>
      </c>
      <c r="K1029" s="17">
        <f>YEAR('Data Analysis Addin'!$A1029)</f>
        <v>2024</v>
      </c>
    </row>
    <row r="1030" spans="1:11" x14ac:dyDescent="0.4">
      <c r="A1030" s="18">
        <v>45629</v>
      </c>
      <c r="B1030" s="9">
        <v>603.91</v>
      </c>
      <c r="C1030" s="11">
        <f t="shared" si="78"/>
        <v>583.56700000000001</v>
      </c>
      <c r="D1030" s="11">
        <f t="shared" si="77"/>
        <v>545.15774999999996</v>
      </c>
      <c r="E1030" s="9"/>
      <c r="F1030" s="9"/>
      <c r="G1030" s="9">
        <f t="shared" ca="1" si="79"/>
        <v>583.56700000000001</v>
      </c>
      <c r="H1030" s="9">
        <f t="shared" ca="1" si="80"/>
        <v>545.15774999999996</v>
      </c>
      <c r="I1030" s="12">
        <f ca="1">IF(AND('Data Analysis Addin'!$G1030&lt;='Data Analysis Addin'!$H1030,G1031&gt;H1031), 1, 0)</f>
        <v>0</v>
      </c>
      <c r="J1030" s="3">
        <f t="shared" ca="1" si="81"/>
        <v>0</v>
      </c>
      <c r="K1030" s="19">
        <f>YEAR('Data Analysis Addin'!$A1030)</f>
        <v>2024</v>
      </c>
    </row>
    <row r="1031" spans="1:11" x14ac:dyDescent="0.4">
      <c r="A1031" s="16">
        <v>45630</v>
      </c>
      <c r="B1031" s="8">
        <v>607.66</v>
      </c>
      <c r="C1031" s="11">
        <f t="shared" si="78"/>
        <v>584.29419999999993</v>
      </c>
      <c r="D1031" s="11">
        <f t="shared" si="77"/>
        <v>545.71224999999993</v>
      </c>
      <c r="E1031" s="8"/>
      <c r="F1031" s="8"/>
      <c r="G1031" s="8">
        <f t="shared" ca="1" si="79"/>
        <v>584.29419999999993</v>
      </c>
      <c r="H1031" s="8">
        <f t="shared" ca="1" si="80"/>
        <v>545.71224999999993</v>
      </c>
      <c r="I1031" s="12">
        <f ca="1">IF(AND('Data Analysis Addin'!$G1031&lt;='Data Analysis Addin'!$H1031,G1032&gt;H1032), 1, 0)</f>
        <v>0</v>
      </c>
      <c r="J1031" s="2">
        <f t="shared" ca="1" si="81"/>
        <v>0</v>
      </c>
      <c r="K1031" s="17">
        <f>YEAR('Data Analysis Addin'!$A1031)</f>
        <v>2024</v>
      </c>
    </row>
    <row r="1032" spans="1:11" x14ac:dyDescent="0.4">
      <c r="A1032" s="18">
        <v>45631</v>
      </c>
      <c r="B1032" s="9">
        <v>606.66</v>
      </c>
      <c r="C1032" s="11">
        <f t="shared" si="78"/>
        <v>585.02659999999992</v>
      </c>
      <c r="D1032" s="11">
        <f t="shared" si="77"/>
        <v>546.2595</v>
      </c>
      <c r="E1032" s="9"/>
      <c r="F1032" s="9"/>
      <c r="G1032" s="9">
        <f t="shared" ca="1" si="79"/>
        <v>585.02659999999992</v>
      </c>
      <c r="H1032" s="9">
        <f t="shared" ca="1" si="80"/>
        <v>546.2595</v>
      </c>
      <c r="I1032" s="12">
        <f ca="1">IF(AND('Data Analysis Addin'!$G1032&lt;='Data Analysis Addin'!$H1032,G1033&gt;H1033), 1, 0)</f>
        <v>0</v>
      </c>
      <c r="J1032" s="3">
        <f t="shared" ca="1" si="81"/>
        <v>0</v>
      </c>
      <c r="K1032" s="19">
        <f>YEAR('Data Analysis Addin'!$A1032)</f>
        <v>2024</v>
      </c>
    </row>
    <row r="1033" spans="1:11" x14ac:dyDescent="0.4">
      <c r="A1033" s="16">
        <v>45632</v>
      </c>
      <c r="B1033" s="8">
        <v>607.80999999999995</v>
      </c>
      <c r="C1033" s="11">
        <f t="shared" si="78"/>
        <v>585.7367999999999</v>
      </c>
      <c r="D1033" s="11">
        <f t="shared" si="77"/>
        <v>546.76104999999995</v>
      </c>
      <c r="E1033" s="8"/>
      <c r="F1033" s="8"/>
      <c r="G1033" s="8">
        <f t="shared" ca="1" si="79"/>
        <v>585.7367999999999</v>
      </c>
      <c r="H1033" s="8">
        <f t="shared" ca="1" si="80"/>
        <v>546.76104999999995</v>
      </c>
      <c r="I1033" s="12">
        <f ca="1">IF(AND('Data Analysis Addin'!$G1033&lt;='Data Analysis Addin'!$H1033,G1034&gt;H1034), 1, 0)</f>
        <v>0</v>
      </c>
      <c r="J1033" s="2">
        <f t="shared" ca="1" si="81"/>
        <v>0</v>
      </c>
      <c r="K1033" s="17">
        <f>YEAR('Data Analysis Addin'!$A1033)</f>
        <v>2024</v>
      </c>
    </row>
    <row r="1034" spans="1:11" x14ac:dyDescent="0.4">
      <c r="A1034" s="18">
        <v>45635</v>
      </c>
      <c r="B1034" s="9">
        <v>604.67999999999995</v>
      </c>
      <c r="C1034" s="11">
        <f t="shared" si="78"/>
        <v>586.40099999999995</v>
      </c>
      <c r="D1034" s="11">
        <f t="shared" ref="D1034:D1097" si="82">AVERAGE(B835:B1034)</f>
        <v>547.24519999999995</v>
      </c>
      <c r="E1034" s="9"/>
      <c r="F1034" s="9"/>
      <c r="G1034" s="9">
        <f t="shared" ca="1" si="79"/>
        <v>586.40099999999995</v>
      </c>
      <c r="H1034" s="9">
        <f t="shared" ca="1" si="80"/>
        <v>547.24519999999995</v>
      </c>
      <c r="I1034" s="12">
        <f ca="1">IF(AND('Data Analysis Addin'!$G1034&lt;='Data Analysis Addin'!$H1034,G1035&gt;H1035), 1, 0)</f>
        <v>0</v>
      </c>
      <c r="J1034" s="3">
        <f t="shared" ca="1" si="81"/>
        <v>0</v>
      </c>
      <c r="K1034" s="19">
        <f>YEAR('Data Analysis Addin'!$A1034)</f>
        <v>2024</v>
      </c>
    </row>
    <row r="1035" spans="1:11" x14ac:dyDescent="0.4">
      <c r="A1035" s="16">
        <v>45636</v>
      </c>
      <c r="B1035" s="8">
        <v>602.79999999999995</v>
      </c>
      <c r="C1035" s="11">
        <f t="shared" si="78"/>
        <v>586.98179999999991</v>
      </c>
      <c r="D1035" s="11">
        <f t="shared" si="82"/>
        <v>547.72924999999998</v>
      </c>
      <c r="E1035" s="8"/>
      <c r="F1035" s="8"/>
      <c r="G1035" s="8">
        <f t="shared" ca="1" si="79"/>
        <v>586.98179999999991</v>
      </c>
      <c r="H1035" s="8">
        <f t="shared" ca="1" si="80"/>
        <v>547.72924999999998</v>
      </c>
      <c r="I1035" s="12">
        <f ca="1">IF(AND('Data Analysis Addin'!$G1035&lt;='Data Analysis Addin'!$H1035,G1036&gt;H1036), 1, 0)</f>
        <v>0</v>
      </c>
      <c r="J1035" s="2">
        <f t="shared" ca="1" si="81"/>
        <v>0</v>
      </c>
      <c r="K1035" s="17">
        <f>YEAR('Data Analysis Addin'!$A1035)</f>
        <v>2024</v>
      </c>
    </row>
    <row r="1036" spans="1:11" x14ac:dyDescent="0.4">
      <c r="A1036" s="18">
        <v>45637</v>
      </c>
      <c r="B1036" s="9">
        <v>607.46</v>
      </c>
      <c r="C1036" s="11">
        <f t="shared" si="78"/>
        <v>587.7586</v>
      </c>
      <c r="D1036" s="11">
        <f t="shared" si="82"/>
        <v>548.2319</v>
      </c>
      <c r="E1036" s="9"/>
      <c r="F1036" s="9"/>
      <c r="G1036" s="9">
        <f t="shared" ca="1" si="79"/>
        <v>587.7586</v>
      </c>
      <c r="H1036" s="9">
        <f t="shared" ca="1" si="80"/>
        <v>548.2319</v>
      </c>
      <c r="I1036" s="12">
        <f ca="1">IF(AND('Data Analysis Addin'!$G1036&lt;='Data Analysis Addin'!$H1036,G1037&gt;H1037), 1, 0)</f>
        <v>0</v>
      </c>
      <c r="J1036" s="3">
        <f t="shared" ca="1" si="81"/>
        <v>0</v>
      </c>
      <c r="K1036" s="19">
        <f>YEAR('Data Analysis Addin'!$A1036)</f>
        <v>2024</v>
      </c>
    </row>
    <row r="1037" spans="1:11" x14ac:dyDescent="0.4">
      <c r="A1037" s="16">
        <v>45638</v>
      </c>
      <c r="B1037" s="8">
        <v>604.33000000000004</v>
      </c>
      <c r="C1037" s="11">
        <f t="shared" si="78"/>
        <v>588.46800000000007</v>
      </c>
      <c r="D1037" s="11">
        <f t="shared" si="82"/>
        <v>548.72225000000003</v>
      </c>
      <c r="E1037" s="8"/>
      <c r="F1037" s="8"/>
      <c r="G1037" s="8">
        <f t="shared" ca="1" si="79"/>
        <v>588.46800000000007</v>
      </c>
      <c r="H1037" s="8">
        <f t="shared" ca="1" si="80"/>
        <v>548.72225000000003</v>
      </c>
      <c r="I1037" s="12">
        <f ca="1">IF(AND('Data Analysis Addin'!$G1037&lt;='Data Analysis Addin'!$H1037,G1038&gt;H1038), 1, 0)</f>
        <v>0</v>
      </c>
      <c r="J1037" s="2">
        <f t="shared" ca="1" si="81"/>
        <v>0</v>
      </c>
      <c r="K1037" s="17">
        <f>YEAR('Data Analysis Addin'!$A1037)</f>
        <v>2024</v>
      </c>
    </row>
    <row r="1038" spans="1:11" x14ac:dyDescent="0.4">
      <c r="A1038" s="18">
        <v>45639</v>
      </c>
      <c r="B1038" s="9">
        <v>604.21</v>
      </c>
      <c r="C1038" s="11">
        <f t="shared" si="78"/>
        <v>589.19579999999996</v>
      </c>
      <c r="D1038" s="11">
        <f t="shared" si="82"/>
        <v>549.20290000000011</v>
      </c>
      <c r="E1038" s="9"/>
      <c r="F1038" s="9"/>
      <c r="G1038" s="9">
        <f t="shared" ca="1" si="79"/>
        <v>589.19579999999996</v>
      </c>
      <c r="H1038" s="9">
        <f t="shared" ca="1" si="80"/>
        <v>549.20290000000011</v>
      </c>
      <c r="I1038" s="12">
        <f ca="1">IF(AND('Data Analysis Addin'!$G1038&lt;='Data Analysis Addin'!$H1038,G1039&gt;H1039), 1, 0)</f>
        <v>0</v>
      </c>
      <c r="J1038" s="3">
        <f t="shared" ca="1" si="81"/>
        <v>0</v>
      </c>
      <c r="K1038" s="19">
        <f>YEAR('Data Analysis Addin'!$A1038)</f>
        <v>2024</v>
      </c>
    </row>
    <row r="1039" spans="1:11" x14ac:dyDescent="0.4">
      <c r="A1039" s="16">
        <v>45642</v>
      </c>
      <c r="B1039" s="8">
        <v>606.79</v>
      </c>
      <c r="C1039" s="11">
        <f t="shared" si="78"/>
        <v>589.87200000000007</v>
      </c>
      <c r="D1039" s="11">
        <f t="shared" si="82"/>
        <v>549.67259999999999</v>
      </c>
      <c r="E1039" s="8"/>
      <c r="F1039" s="8"/>
      <c r="G1039" s="8">
        <f t="shared" ca="1" si="79"/>
        <v>589.87200000000007</v>
      </c>
      <c r="H1039" s="8">
        <f t="shared" ca="1" si="80"/>
        <v>549.67259999999999</v>
      </c>
      <c r="I1039" s="12">
        <f ca="1">IF(AND('Data Analysis Addin'!$G1039&lt;='Data Analysis Addin'!$H1039,G1040&gt;H1040), 1, 0)</f>
        <v>0</v>
      </c>
      <c r="J1039" s="2">
        <f t="shared" ca="1" si="81"/>
        <v>0</v>
      </c>
      <c r="K1039" s="17">
        <f>YEAR('Data Analysis Addin'!$A1039)</f>
        <v>2024</v>
      </c>
    </row>
    <row r="1040" spans="1:11" x14ac:dyDescent="0.4">
      <c r="A1040" s="18">
        <v>45643</v>
      </c>
      <c r="B1040" s="9">
        <v>604.29</v>
      </c>
      <c r="C1040" s="11">
        <f t="shared" si="78"/>
        <v>590.60180000000003</v>
      </c>
      <c r="D1040" s="11">
        <f t="shared" si="82"/>
        <v>550.13254999999992</v>
      </c>
      <c r="E1040" s="9"/>
      <c r="F1040" s="9"/>
      <c r="G1040" s="9">
        <f t="shared" ca="1" si="79"/>
        <v>590.60180000000003</v>
      </c>
      <c r="H1040" s="9">
        <f t="shared" ca="1" si="80"/>
        <v>550.13254999999992</v>
      </c>
      <c r="I1040" s="12">
        <f ca="1">IF(AND('Data Analysis Addin'!$G1040&lt;='Data Analysis Addin'!$H1040,G1041&gt;H1041), 1, 0)</f>
        <v>0</v>
      </c>
      <c r="J1040" s="3">
        <f t="shared" ca="1" si="81"/>
        <v>0</v>
      </c>
      <c r="K1040" s="19">
        <f>YEAR('Data Analysis Addin'!$A1040)</f>
        <v>2024</v>
      </c>
    </row>
    <row r="1041" spans="1:11" x14ac:dyDescent="0.4">
      <c r="A1041" s="16">
        <v>45644</v>
      </c>
      <c r="B1041" s="8">
        <v>586.28</v>
      </c>
      <c r="C1041" s="11">
        <f t="shared" si="78"/>
        <v>590.86399999999992</v>
      </c>
      <c r="D1041" s="11">
        <f t="shared" si="82"/>
        <v>550.52804999999989</v>
      </c>
      <c r="E1041" s="8"/>
      <c r="F1041" s="8"/>
      <c r="G1041" s="8">
        <f t="shared" ca="1" si="79"/>
        <v>590.86399999999992</v>
      </c>
      <c r="H1041" s="8">
        <f t="shared" ca="1" si="80"/>
        <v>550.52804999999989</v>
      </c>
      <c r="I1041" s="12">
        <f ca="1">IF(AND('Data Analysis Addin'!$G1041&lt;='Data Analysis Addin'!$H1041,G1042&gt;H1042), 1, 0)</f>
        <v>0</v>
      </c>
      <c r="J1041" s="2">
        <f t="shared" ca="1" si="81"/>
        <v>0</v>
      </c>
      <c r="K1041" s="17">
        <f>YEAR('Data Analysis Addin'!$A1041)</f>
        <v>2024</v>
      </c>
    </row>
    <row r="1042" spans="1:11" x14ac:dyDescent="0.4">
      <c r="A1042" s="18">
        <v>45645</v>
      </c>
      <c r="B1042" s="9">
        <v>586.1</v>
      </c>
      <c r="C1042" s="11">
        <f t="shared" si="78"/>
        <v>591.04319999999996</v>
      </c>
      <c r="D1042" s="11">
        <f t="shared" si="82"/>
        <v>550.9097999999999</v>
      </c>
      <c r="E1042" s="9"/>
      <c r="F1042" s="9"/>
      <c r="G1042" s="9">
        <f t="shared" ca="1" si="79"/>
        <v>591.04319999999996</v>
      </c>
      <c r="H1042" s="9">
        <f t="shared" ca="1" si="80"/>
        <v>550.9097999999999</v>
      </c>
      <c r="I1042" s="12">
        <f ca="1">IF(AND('Data Analysis Addin'!$G1042&lt;='Data Analysis Addin'!$H1042,G1043&gt;H1043), 1, 0)</f>
        <v>0</v>
      </c>
      <c r="J1042" s="3">
        <f t="shared" ca="1" si="81"/>
        <v>0</v>
      </c>
      <c r="K1042" s="19">
        <f>YEAR('Data Analysis Addin'!$A1042)</f>
        <v>2024</v>
      </c>
    </row>
    <row r="1043" spans="1:11" x14ac:dyDescent="0.4">
      <c r="A1043" s="16">
        <v>45646</v>
      </c>
      <c r="B1043" s="8">
        <v>591.15</v>
      </c>
      <c r="C1043" s="11">
        <f t="shared" si="78"/>
        <v>591.34360000000004</v>
      </c>
      <c r="D1043" s="11">
        <f t="shared" si="82"/>
        <v>551.29149999999993</v>
      </c>
      <c r="E1043" s="8"/>
      <c r="F1043" s="8"/>
      <c r="G1043" s="8">
        <f t="shared" ca="1" si="79"/>
        <v>591.34360000000004</v>
      </c>
      <c r="H1043" s="8">
        <f t="shared" ca="1" si="80"/>
        <v>551.29149999999993</v>
      </c>
      <c r="I1043" s="12">
        <f ca="1">IF(AND('Data Analysis Addin'!$G1043&lt;='Data Analysis Addin'!$H1043,G1044&gt;H1044), 1, 0)</f>
        <v>0</v>
      </c>
      <c r="J1043" s="2">
        <f t="shared" ca="1" si="81"/>
        <v>0</v>
      </c>
      <c r="K1043" s="17">
        <f>YEAR('Data Analysis Addin'!$A1043)</f>
        <v>2024</v>
      </c>
    </row>
    <row r="1044" spans="1:11" x14ac:dyDescent="0.4">
      <c r="A1044" s="18">
        <v>45649</v>
      </c>
      <c r="B1044" s="9">
        <v>594.69000000000005</v>
      </c>
      <c r="C1044" s="11">
        <f t="shared" si="78"/>
        <v>591.64580000000001</v>
      </c>
      <c r="D1044" s="11">
        <f t="shared" si="82"/>
        <v>551.70634999999993</v>
      </c>
      <c r="E1044" s="9"/>
      <c r="F1044" s="9"/>
      <c r="G1044" s="9">
        <f t="shared" ca="1" si="79"/>
        <v>591.64580000000001</v>
      </c>
      <c r="H1044" s="9">
        <f t="shared" ca="1" si="80"/>
        <v>551.70634999999993</v>
      </c>
      <c r="I1044" s="12">
        <f ca="1">IF(AND('Data Analysis Addin'!$G1044&lt;='Data Analysis Addin'!$H1044,G1045&gt;H1045), 1, 0)</f>
        <v>0</v>
      </c>
      <c r="J1044" s="3">
        <f t="shared" ca="1" si="81"/>
        <v>0</v>
      </c>
      <c r="K1044" s="19">
        <f>YEAR('Data Analysis Addin'!$A1044)</f>
        <v>2024</v>
      </c>
    </row>
    <row r="1045" spans="1:11" x14ac:dyDescent="0.4">
      <c r="A1045" s="16">
        <v>45650</v>
      </c>
      <c r="B1045" s="8">
        <v>601.29999999999995</v>
      </c>
      <c r="C1045" s="11">
        <f t="shared" si="78"/>
        <v>591.98540000000003</v>
      </c>
      <c r="D1045" s="11">
        <f t="shared" si="82"/>
        <v>552.15644999999995</v>
      </c>
      <c r="E1045" s="8"/>
      <c r="F1045" s="8"/>
      <c r="G1045" s="8">
        <f t="shared" ca="1" si="79"/>
        <v>591.98540000000003</v>
      </c>
      <c r="H1045" s="8">
        <f t="shared" ca="1" si="80"/>
        <v>552.15644999999995</v>
      </c>
      <c r="I1045" s="12">
        <f ca="1">IF(AND('Data Analysis Addin'!$G1045&lt;='Data Analysis Addin'!$H1045,G1046&gt;H1046), 1, 0)</f>
        <v>0</v>
      </c>
      <c r="J1045" s="2">
        <f t="shared" ca="1" si="81"/>
        <v>0</v>
      </c>
      <c r="K1045" s="17">
        <f>YEAR('Data Analysis Addin'!$A1045)</f>
        <v>2024</v>
      </c>
    </row>
    <row r="1046" spans="1:11" x14ac:dyDescent="0.4">
      <c r="A1046" s="18">
        <v>45652</v>
      </c>
      <c r="B1046" s="9">
        <v>601.34</v>
      </c>
      <c r="C1046" s="11">
        <f t="shared" si="78"/>
        <v>592.41660000000002</v>
      </c>
      <c r="D1046" s="11">
        <f t="shared" si="82"/>
        <v>552.57924999999989</v>
      </c>
      <c r="E1046" s="9"/>
      <c r="F1046" s="9"/>
      <c r="G1046" s="9">
        <f t="shared" ca="1" si="79"/>
        <v>592.41660000000002</v>
      </c>
      <c r="H1046" s="9">
        <f t="shared" ca="1" si="80"/>
        <v>552.57924999999989</v>
      </c>
      <c r="I1046" s="12">
        <f ca="1">IF(AND('Data Analysis Addin'!$G1046&lt;='Data Analysis Addin'!$H1046,G1047&gt;H1047), 1, 0)</f>
        <v>0</v>
      </c>
      <c r="J1046" s="3">
        <f t="shared" ca="1" si="81"/>
        <v>0</v>
      </c>
      <c r="K1046" s="19">
        <f>YEAR('Data Analysis Addin'!$A1046)</f>
        <v>2024</v>
      </c>
    </row>
    <row r="1047" spans="1:11" x14ac:dyDescent="0.4">
      <c r="A1047" s="16">
        <v>45653</v>
      </c>
      <c r="B1047" s="8">
        <v>595.01</v>
      </c>
      <c r="C1047" s="11">
        <f t="shared" si="78"/>
        <v>592.67079999999999</v>
      </c>
      <c r="D1047" s="11">
        <f t="shared" si="82"/>
        <v>552.97444999999982</v>
      </c>
      <c r="E1047" s="8"/>
      <c r="F1047" s="8"/>
      <c r="G1047" s="8">
        <f t="shared" ca="1" si="79"/>
        <v>592.67079999999999</v>
      </c>
      <c r="H1047" s="8">
        <f t="shared" ca="1" si="80"/>
        <v>552.97444999999982</v>
      </c>
      <c r="I1047" s="12">
        <f ca="1">IF(AND('Data Analysis Addin'!$G1047&lt;='Data Analysis Addin'!$H1047,G1048&gt;H1048), 1, 0)</f>
        <v>0</v>
      </c>
      <c r="J1047" s="2">
        <f t="shared" ca="1" si="81"/>
        <v>0</v>
      </c>
      <c r="K1047" s="17">
        <f>YEAR('Data Analysis Addin'!$A1047)</f>
        <v>2024</v>
      </c>
    </row>
    <row r="1048" spans="1:11" x14ac:dyDescent="0.4">
      <c r="A1048" s="18">
        <v>45656</v>
      </c>
      <c r="B1048" s="9">
        <v>588.22</v>
      </c>
      <c r="C1048" s="11">
        <f t="shared" si="78"/>
        <v>592.78820000000007</v>
      </c>
      <c r="D1048" s="11">
        <f t="shared" si="82"/>
        <v>553.34079999999994</v>
      </c>
      <c r="E1048" s="9"/>
      <c r="F1048" s="9"/>
      <c r="G1048" s="9">
        <f t="shared" ca="1" si="79"/>
        <v>592.78820000000007</v>
      </c>
      <c r="H1048" s="9">
        <f t="shared" ca="1" si="80"/>
        <v>553.34079999999994</v>
      </c>
      <c r="I1048" s="12">
        <f ca="1">IF(AND('Data Analysis Addin'!$G1048&lt;='Data Analysis Addin'!$H1048,G1049&gt;H1049), 1, 0)</f>
        <v>0</v>
      </c>
      <c r="J1048" s="3">
        <f t="shared" ca="1" si="81"/>
        <v>0</v>
      </c>
      <c r="K1048" s="19">
        <f>YEAR('Data Analysis Addin'!$A1048)</f>
        <v>2024</v>
      </c>
    </row>
    <row r="1049" spans="1:11" x14ac:dyDescent="0.4">
      <c r="A1049" s="16">
        <v>45657</v>
      </c>
      <c r="B1049" s="8">
        <v>586.08000000000004</v>
      </c>
      <c r="C1049" s="11">
        <f t="shared" si="78"/>
        <v>592.81799999999998</v>
      </c>
      <c r="D1049" s="11">
        <f t="shared" si="82"/>
        <v>553.72204999999997</v>
      </c>
      <c r="E1049" s="8"/>
      <c r="F1049" s="8"/>
      <c r="G1049" s="8">
        <f t="shared" ca="1" si="79"/>
        <v>592.81799999999998</v>
      </c>
      <c r="H1049" s="8">
        <f t="shared" ca="1" si="80"/>
        <v>553.72204999999997</v>
      </c>
      <c r="I1049" s="12">
        <f ca="1">IF(AND('Data Analysis Addin'!$G1049&lt;='Data Analysis Addin'!$H1049,G1050&gt;H1050), 1, 0)</f>
        <v>0</v>
      </c>
      <c r="J1049" s="2">
        <f t="shared" ca="1" si="81"/>
        <v>0</v>
      </c>
      <c r="K1049" s="17">
        <f>YEAR('Data Analysis Addin'!$A1049)</f>
        <v>2024</v>
      </c>
    </row>
    <row r="1050" spans="1:11" x14ac:dyDescent="0.4">
      <c r="A1050" s="18">
        <v>45659</v>
      </c>
      <c r="B1050" s="9">
        <v>584.64</v>
      </c>
      <c r="C1050" s="11">
        <f t="shared" si="78"/>
        <v>592.83820000000003</v>
      </c>
      <c r="D1050" s="11">
        <f t="shared" si="82"/>
        <v>554.08095000000003</v>
      </c>
      <c r="E1050" s="9"/>
      <c r="F1050" s="9"/>
      <c r="G1050" s="9">
        <f t="shared" ca="1" si="79"/>
        <v>592.83820000000003</v>
      </c>
      <c r="H1050" s="9">
        <f t="shared" ca="1" si="80"/>
        <v>554.08095000000003</v>
      </c>
      <c r="I1050" s="12">
        <f ca="1">IF(AND('Data Analysis Addin'!$G1050&lt;='Data Analysis Addin'!$H1050,G1051&gt;H1051), 1, 0)</f>
        <v>0</v>
      </c>
      <c r="J1050" s="3">
        <f t="shared" ca="1" si="81"/>
        <v>0</v>
      </c>
      <c r="K1050" s="19">
        <f>YEAR('Data Analysis Addin'!$A1050)</f>
        <v>2025</v>
      </c>
    </row>
    <row r="1051" spans="1:11" x14ac:dyDescent="0.4">
      <c r="A1051" s="16">
        <v>45660</v>
      </c>
      <c r="B1051" s="8">
        <v>591.95000000000005</v>
      </c>
      <c r="C1051" s="11">
        <f t="shared" si="78"/>
        <v>593.0107999999999</v>
      </c>
      <c r="D1051" s="11">
        <f t="shared" si="82"/>
        <v>554.46214999999995</v>
      </c>
      <c r="E1051" s="8"/>
      <c r="F1051" s="8"/>
      <c r="G1051" s="8">
        <f t="shared" ca="1" si="79"/>
        <v>593.0107999999999</v>
      </c>
      <c r="H1051" s="8">
        <f t="shared" ca="1" si="80"/>
        <v>554.46214999999995</v>
      </c>
      <c r="I1051" s="12">
        <f ca="1">IF(AND('Data Analysis Addin'!$G1051&lt;='Data Analysis Addin'!$H1051,G1052&gt;H1052), 1, 0)</f>
        <v>0</v>
      </c>
      <c r="J1051" s="2">
        <f t="shared" ca="1" si="81"/>
        <v>0</v>
      </c>
      <c r="K1051" s="17">
        <f>YEAR('Data Analysis Addin'!$A1051)</f>
        <v>2025</v>
      </c>
    </row>
    <row r="1052" spans="1:11" x14ac:dyDescent="0.4">
      <c r="A1052" s="18">
        <v>45663</v>
      </c>
      <c r="B1052" s="9">
        <v>595.36</v>
      </c>
      <c r="C1052" s="11">
        <f t="shared" si="78"/>
        <v>593.35820000000001</v>
      </c>
      <c r="D1052" s="11">
        <f t="shared" si="82"/>
        <v>554.8365500000001</v>
      </c>
      <c r="E1052" s="9"/>
      <c r="F1052" s="9"/>
      <c r="G1052" s="9">
        <f t="shared" ca="1" si="79"/>
        <v>593.35820000000001</v>
      </c>
      <c r="H1052" s="9">
        <f t="shared" ca="1" si="80"/>
        <v>554.8365500000001</v>
      </c>
      <c r="I1052" s="12">
        <f ca="1">IF(AND('Data Analysis Addin'!$G1052&lt;='Data Analysis Addin'!$H1052,G1053&gt;H1053), 1, 0)</f>
        <v>0</v>
      </c>
      <c r="J1052" s="3">
        <f t="shared" ca="1" si="81"/>
        <v>0</v>
      </c>
      <c r="K1052" s="19">
        <f>YEAR('Data Analysis Addin'!$A1052)</f>
        <v>2025</v>
      </c>
    </row>
    <row r="1053" spans="1:11" x14ac:dyDescent="0.4">
      <c r="A1053" s="16">
        <v>45664</v>
      </c>
      <c r="B1053" s="8">
        <v>588.63</v>
      </c>
      <c r="C1053" s="11">
        <f t="shared" si="78"/>
        <v>593.54599999999994</v>
      </c>
      <c r="D1053" s="11">
        <f t="shared" si="82"/>
        <v>555.16870000000006</v>
      </c>
      <c r="E1053" s="8"/>
      <c r="F1053" s="8"/>
      <c r="G1053" s="8">
        <f t="shared" ca="1" si="79"/>
        <v>593.54599999999994</v>
      </c>
      <c r="H1053" s="8">
        <f t="shared" ca="1" si="80"/>
        <v>555.16870000000006</v>
      </c>
      <c r="I1053" s="12">
        <f ca="1">IF(AND('Data Analysis Addin'!$G1053&lt;='Data Analysis Addin'!$H1053,G1054&gt;H1054), 1, 0)</f>
        <v>0</v>
      </c>
      <c r="J1053" s="2">
        <f t="shared" ca="1" si="81"/>
        <v>0</v>
      </c>
      <c r="K1053" s="17">
        <f>YEAR('Data Analysis Addin'!$A1053)</f>
        <v>2025</v>
      </c>
    </row>
    <row r="1054" spans="1:11" x14ac:dyDescent="0.4">
      <c r="A1054" s="18">
        <v>45665</v>
      </c>
      <c r="B1054" s="9">
        <v>589.49</v>
      </c>
      <c r="C1054" s="11">
        <f t="shared" si="78"/>
        <v>593.75500000000011</v>
      </c>
      <c r="D1054" s="11">
        <f t="shared" si="82"/>
        <v>555.51009999999997</v>
      </c>
      <c r="E1054" s="9"/>
      <c r="F1054" s="9"/>
      <c r="G1054" s="9">
        <f t="shared" ca="1" si="79"/>
        <v>593.75500000000011</v>
      </c>
      <c r="H1054" s="9">
        <f t="shared" ca="1" si="80"/>
        <v>555.51009999999997</v>
      </c>
      <c r="I1054" s="12">
        <f ca="1">IF(AND('Data Analysis Addin'!$G1054&lt;='Data Analysis Addin'!$H1054,G1055&gt;H1055), 1, 0)</f>
        <v>0</v>
      </c>
      <c r="J1054" s="3">
        <f t="shared" ca="1" si="81"/>
        <v>0</v>
      </c>
      <c r="K1054" s="19">
        <f>YEAR('Data Analysis Addin'!$A1054)</f>
        <v>2025</v>
      </c>
    </row>
    <row r="1055" spans="1:11" x14ac:dyDescent="0.4">
      <c r="A1055" s="16">
        <v>45667</v>
      </c>
      <c r="B1055" s="8">
        <v>580.49</v>
      </c>
      <c r="C1055" s="11">
        <f t="shared" si="78"/>
        <v>593.74820000000011</v>
      </c>
      <c r="D1055" s="11">
        <f t="shared" si="82"/>
        <v>555.81370000000015</v>
      </c>
      <c r="E1055" s="8"/>
      <c r="F1055" s="8"/>
      <c r="G1055" s="8">
        <f t="shared" ca="1" si="79"/>
        <v>593.74820000000011</v>
      </c>
      <c r="H1055" s="8">
        <f t="shared" ca="1" si="80"/>
        <v>555.81370000000015</v>
      </c>
      <c r="I1055" s="12">
        <f ca="1">IF(AND('Data Analysis Addin'!$G1055&lt;='Data Analysis Addin'!$H1055,G1056&gt;H1056), 1, 0)</f>
        <v>0</v>
      </c>
      <c r="J1055" s="2">
        <f t="shared" ca="1" si="81"/>
        <v>0</v>
      </c>
      <c r="K1055" s="17">
        <f>YEAR('Data Analysis Addin'!$A1055)</f>
        <v>2025</v>
      </c>
    </row>
    <row r="1056" spans="1:11" x14ac:dyDescent="0.4">
      <c r="A1056" s="18">
        <v>45670</v>
      </c>
      <c r="B1056" s="9">
        <v>581.39</v>
      </c>
      <c r="C1056" s="11">
        <f t="shared" si="78"/>
        <v>593.74059999999997</v>
      </c>
      <c r="D1056" s="11">
        <f t="shared" si="82"/>
        <v>556.12660000000017</v>
      </c>
      <c r="E1056" s="9"/>
      <c r="F1056" s="9"/>
      <c r="G1056" s="9">
        <f t="shared" ca="1" si="79"/>
        <v>593.74059999999997</v>
      </c>
      <c r="H1056" s="9">
        <f t="shared" ca="1" si="80"/>
        <v>556.12660000000017</v>
      </c>
      <c r="I1056" s="12">
        <f ca="1">IF(AND('Data Analysis Addin'!$G1056&lt;='Data Analysis Addin'!$H1056,G1057&gt;H1057), 1, 0)</f>
        <v>0</v>
      </c>
      <c r="J1056" s="3">
        <f t="shared" ca="1" si="81"/>
        <v>0</v>
      </c>
      <c r="K1056" s="19">
        <f>YEAR('Data Analysis Addin'!$A1056)</f>
        <v>2025</v>
      </c>
    </row>
    <row r="1057" spans="1:11" x14ac:dyDescent="0.4">
      <c r="A1057" s="16">
        <v>45671</v>
      </c>
      <c r="B1057" s="8">
        <v>582.19000000000005</v>
      </c>
      <c r="C1057" s="11">
        <f t="shared" si="78"/>
        <v>593.78419999999994</v>
      </c>
      <c r="D1057" s="11">
        <f t="shared" si="82"/>
        <v>556.4217000000001</v>
      </c>
      <c r="E1057" s="8"/>
      <c r="F1057" s="8"/>
      <c r="G1057" s="8">
        <f t="shared" ca="1" si="79"/>
        <v>593.78419999999994</v>
      </c>
      <c r="H1057" s="8">
        <f t="shared" ca="1" si="80"/>
        <v>556.4217000000001</v>
      </c>
      <c r="I1057" s="12">
        <f ca="1">IF(AND('Data Analysis Addin'!$G1057&lt;='Data Analysis Addin'!$H1057,G1058&gt;H1058), 1, 0)</f>
        <v>0</v>
      </c>
      <c r="J1057" s="2">
        <f t="shared" ca="1" si="81"/>
        <v>0</v>
      </c>
      <c r="K1057" s="17">
        <f>YEAR('Data Analysis Addin'!$A1057)</f>
        <v>2025</v>
      </c>
    </row>
    <row r="1058" spans="1:11" x14ac:dyDescent="0.4">
      <c r="A1058" s="18">
        <v>45672</v>
      </c>
      <c r="B1058" s="9">
        <v>592.78</v>
      </c>
      <c r="C1058" s="11">
        <f t="shared" si="78"/>
        <v>594.26700000000005</v>
      </c>
      <c r="D1058" s="11">
        <f t="shared" si="82"/>
        <v>556.77025000000003</v>
      </c>
      <c r="E1058" s="9"/>
      <c r="F1058" s="9"/>
      <c r="G1058" s="9">
        <f t="shared" ca="1" si="79"/>
        <v>594.26700000000005</v>
      </c>
      <c r="H1058" s="9">
        <f t="shared" ca="1" si="80"/>
        <v>556.77025000000003</v>
      </c>
      <c r="I1058" s="12">
        <f ca="1">IF(AND('Data Analysis Addin'!$G1058&lt;='Data Analysis Addin'!$H1058,G1059&gt;H1059), 1, 0)</f>
        <v>0</v>
      </c>
      <c r="J1058" s="3">
        <f t="shared" ca="1" si="81"/>
        <v>0</v>
      </c>
      <c r="K1058" s="19">
        <f>YEAR('Data Analysis Addin'!$A1058)</f>
        <v>2025</v>
      </c>
    </row>
    <row r="1059" spans="1:11" x14ac:dyDescent="0.4">
      <c r="A1059" s="16">
        <v>45673</v>
      </c>
      <c r="B1059" s="8">
        <v>591.64</v>
      </c>
      <c r="C1059" s="11">
        <f t="shared" si="78"/>
        <v>594.67899999999997</v>
      </c>
      <c r="D1059" s="11">
        <f t="shared" si="82"/>
        <v>557.11765000000014</v>
      </c>
      <c r="E1059" s="8"/>
      <c r="F1059" s="8"/>
      <c r="G1059" s="8">
        <f t="shared" ca="1" si="79"/>
        <v>594.67899999999997</v>
      </c>
      <c r="H1059" s="8">
        <f t="shared" ca="1" si="80"/>
        <v>557.11765000000014</v>
      </c>
      <c r="I1059" s="12">
        <f ca="1">IF(AND('Data Analysis Addin'!$G1059&lt;='Data Analysis Addin'!$H1059,G1060&gt;H1060), 1, 0)</f>
        <v>0</v>
      </c>
      <c r="J1059" s="2">
        <f t="shared" ca="1" si="81"/>
        <v>0</v>
      </c>
      <c r="K1059" s="17">
        <f>YEAR('Data Analysis Addin'!$A1059)</f>
        <v>2025</v>
      </c>
    </row>
    <row r="1060" spans="1:11" x14ac:dyDescent="0.4">
      <c r="A1060" s="18">
        <v>45674</v>
      </c>
      <c r="B1060" s="9">
        <v>597.58000000000004</v>
      </c>
      <c r="C1060" s="11">
        <f t="shared" si="78"/>
        <v>595.23440000000005</v>
      </c>
      <c r="D1060" s="11">
        <f t="shared" si="82"/>
        <v>557.51135000000022</v>
      </c>
      <c r="E1060" s="9"/>
      <c r="F1060" s="9"/>
      <c r="G1060" s="9">
        <f t="shared" ca="1" si="79"/>
        <v>595.23440000000005</v>
      </c>
      <c r="H1060" s="9">
        <f t="shared" ca="1" si="80"/>
        <v>557.51135000000022</v>
      </c>
      <c r="I1060" s="12">
        <f ca="1">IF(AND('Data Analysis Addin'!$G1060&lt;='Data Analysis Addin'!$H1060,G1061&gt;H1061), 1, 0)</f>
        <v>0</v>
      </c>
      <c r="J1060" s="3">
        <f t="shared" ca="1" si="81"/>
        <v>0</v>
      </c>
      <c r="K1060" s="19">
        <f>YEAR('Data Analysis Addin'!$A1060)</f>
        <v>2025</v>
      </c>
    </row>
    <row r="1061" spans="1:11" x14ac:dyDescent="0.4">
      <c r="A1061" s="16">
        <v>45678</v>
      </c>
      <c r="B1061" s="8">
        <v>603.04999999999995</v>
      </c>
      <c r="C1061" s="11">
        <f t="shared" si="78"/>
        <v>595.76139999999998</v>
      </c>
      <c r="D1061" s="11">
        <f t="shared" si="82"/>
        <v>557.92955000000018</v>
      </c>
      <c r="E1061" s="8"/>
      <c r="F1061" s="8"/>
      <c r="G1061" s="8">
        <f t="shared" ca="1" si="79"/>
        <v>595.76139999999998</v>
      </c>
      <c r="H1061" s="8">
        <f t="shared" ca="1" si="80"/>
        <v>557.92955000000018</v>
      </c>
      <c r="I1061" s="12">
        <f ca="1">IF(AND('Data Analysis Addin'!$G1061&lt;='Data Analysis Addin'!$H1061,G1062&gt;H1062), 1, 0)</f>
        <v>0</v>
      </c>
      <c r="J1061" s="2">
        <f t="shared" ca="1" si="81"/>
        <v>0</v>
      </c>
      <c r="K1061" s="17">
        <f>YEAR('Data Analysis Addin'!$A1061)</f>
        <v>2025</v>
      </c>
    </row>
    <row r="1062" spans="1:11" x14ac:dyDescent="0.4">
      <c r="A1062" s="18">
        <v>45679</v>
      </c>
      <c r="B1062" s="9">
        <v>606.44000000000005</v>
      </c>
      <c r="C1062" s="11">
        <f t="shared" si="78"/>
        <v>596.06939999999997</v>
      </c>
      <c r="D1062" s="11">
        <f t="shared" si="82"/>
        <v>558.3964000000002</v>
      </c>
      <c r="E1062" s="9"/>
      <c r="F1062" s="9"/>
      <c r="G1062" s="9">
        <f t="shared" ca="1" si="79"/>
        <v>596.06939999999997</v>
      </c>
      <c r="H1062" s="9">
        <f t="shared" ca="1" si="80"/>
        <v>558.3964000000002</v>
      </c>
      <c r="I1062" s="12">
        <f ca="1">IF(AND('Data Analysis Addin'!$G1062&lt;='Data Analysis Addin'!$H1062,G1063&gt;H1063), 1, 0)</f>
        <v>0</v>
      </c>
      <c r="J1062" s="3">
        <f t="shared" ca="1" si="81"/>
        <v>0</v>
      </c>
      <c r="K1062" s="19">
        <f>YEAR('Data Analysis Addin'!$A1062)</f>
        <v>2025</v>
      </c>
    </row>
    <row r="1063" spans="1:11" x14ac:dyDescent="0.4">
      <c r="A1063" s="16">
        <v>45680</v>
      </c>
      <c r="B1063" s="8">
        <v>609.75</v>
      </c>
      <c r="C1063" s="11">
        <f t="shared" si="78"/>
        <v>596.35220000000004</v>
      </c>
      <c r="D1063" s="11">
        <f t="shared" si="82"/>
        <v>558.85300000000029</v>
      </c>
      <c r="E1063" s="8"/>
      <c r="F1063" s="8"/>
      <c r="G1063" s="8">
        <f t="shared" ca="1" si="79"/>
        <v>596.35220000000004</v>
      </c>
      <c r="H1063" s="8">
        <f t="shared" ca="1" si="80"/>
        <v>558.85300000000029</v>
      </c>
      <c r="I1063" s="12">
        <f ca="1">IF(AND('Data Analysis Addin'!$G1063&lt;='Data Analysis Addin'!$H1063,G1064&gt;H1064), 1, 0)</f>
        <v>0</v>
      </c>
      <c r="J1063" s="2">
        <f t="shared" ca="1" si="81"/>
        <v>0</v>
      </c>
      <c r="K1063" s="17">
        <f>YEAR('Data Analysis Addin'!$A1063)</f>
        <v>2025</v>
      </c>
    </row>
    <row r="1064" spans="1:11" x14ac:dyDescent="0.4">
      <c r="A1064" s="18">
        <v>45681</v>
      </c>
      <c r="B1064" s="9">
        <v>607.97</v>
      </c>
      <c r="C1064" s="11">
        <f t="shared" si="78"/>
        <v>596.54780000000005</v>
      </c>
      <c r="D1064" s="11">
        <f t="shared" si="82"/>
        <v>559.29925000000026</v>
      </c>
      <c r="E1064" s="9"/>
      <c r="F1064" s="9"/>
      <c r="G1064" s="9">
        <f t="shared" ca="1" si="79"/>
        <v>596.54780000000005</v>
      </c>
      <c r="H1064" s="9">
        <f t="shared" ca="1" si="80"/>
        <v>559.29925000000026</v>
      </c>
      <c r="I1064" s="12">
        <f ca="1">IF(AND('Data Analysis Addin'!$G1064&lt;='Data Analysis Addin'!$H1064,G1065&gt;H1065), 1, 0)</f>
        <v>0</v>
      </c>
      <c r="J1064" s="3">
        <f t="shared" ca="1" si="81"/>
        <v>0</v>
      </c>
      <c r="K1064" s="19">
        <f>YEAR('Data Analysis Addin'!$A1064)</f>
        <v>2025</v>
      </c>
    </row>
    <row r="1065" spans="1:11" x14ac:dyDescent="0.4">
      <c r="A1065" s="16">
        <v>45684</v>
      </c>
      <c r="B1065" s="8">
        <v>599.37</v>
      </c>
      <c r="C1065" s="11">
        <f t="shared" si="78"/>
        <v>596.56000000000006</v>
      </c>
      <c r="D1065" s="11">
        <f t="shared" si="82"/>
        <v>559.69950000000028</v>
      </c>
      <c r="E1065" s="8"/>
      <c r="F1065" s="8"/>
      <c r="G1065" s="8">
        <f t="shared" ca="1" si="79"/>
        <v>596.56000000000006</v>
      </c>
      <c r="H1065" s="8">
        <f t="shared" ca="1" si="80"/>
        <v>559.69950000000028</v>
      </c>
      <c r="I1065" s="12">
        <f ca="1">IF(AND('Data Analysis Addin'!$G1065&lt;='Data Analysis Addin'!$H1065,G1066&gt;H1066), 1, 0)</f>
        <v>0</v>
      </c>
      <c r="J1065" s="2">
        <f t="shared" ca="1" si="81"/>
        <v>0</v>
      </c>
      <c r="K1065" s="17">
        <f>YEAR('Data Analysis Addin'!$A1065)</f>
        <v>2025</v>
      </c>
    </row>
    <row r="1066" spans="1:11" x14ac:dyDescent="0.4">
      <c r="A1066" s="18">
        <v>45685</v>
      </c>
      <c r="B1066" s="9">
        <v>604.52</v>
      </c>
      <c r="C1066" s="11">
        <f t="shared" si="78"/>
        <v>596.71240000000012</v>
      </c>
      <c r="D1066" s="11">
        <f t="shared" si="82"/>
        <v>560.15150000000028</v>
      </c>
      <c r="E1066" s="9"/>
      <c r="F1066" s="9"/>
      <c r="G1066" s="9">
        <f t="shared" ca="1" si="79"/>
        <v>596.71240000000012</v>
      </c>
      <c r="H1066" s="9">
        <f t="shared" ca="1" si="80"/>
        <v>560.15150000000028</v>
      </c>
      <c r="I1066" s="12">
        <f ca="1">IF(AND('Data Analysis Addin'!$G1066&lt;='Data Analysis Addin'!$H1066,G1067&gt;H1067), 1, 0)</f>
        <v>0</v>
      </c>
      <c r="J1066" s="3">
        <f t="shared" ca="1" si="81"/>
        <v>0</v>
      </c>
      <c r="K1066" s="19">
        <f>YEAR('Data Analysis Addin'!$A1066)</f>
        <v>2025</v>
      </c>
    </row>
    <row r="1067" spans="1:11" x14ac:dyDescent="0.4">
      <c r="A1067" s="16">
        <v>45686</v>
      </c>
      <c r="B1067" s="8">
        <v>601.80999999999995</v>
      </c>
      <c r="C1067" s="11">
        <f t="shared" si="78"/>
        <v>596.80480000000011</v>
      </c>
      <c r="D1067" s="11">
        <f t="shared" si="82"/>
        <v>560.57055000000025</v>
      </c>
      <c r="E1067" s="8"/>
      <c r="F1067" s="8"/>
      <c r="G1067" s="8">
        <f t="shared" ca="1" si="79"/>
        <v>596.80480000000011</v>
      </c>
      <c r="H1067" s="8">
        <f t="shared" ca="1" si="80"/>
        <v>560.57055000000025</v>
      </c>
      <c r="I1067" s="12">
        <f ca="1">IF(AND('Data Analysis Addin'!$G1067&lt;='Data Analysis Addin'!$H1067,G1068&gt;H1068), 1, 0)</f>
        <v>0</v>
      </c>
      <c r="J1067" s="2">
        <f t="shared" ca="1" si="81"/>
        <v>0</v>
      </c>
      <c r="K1067" s="17">
        <f>YEAR('Data Analysis Addin'!$A1067)</f>
        <v>2025</v>
      </c>
    </row>
    <row r="1068" spans="1:11" x14ac:dyDescent="0.4">
      <c r="A1068" s="18">
        <v>45687</v>
      </c>
      <c r="B1068" s="9">
        <v>605.04</v>
      </c>
      <c r="C1068" s="11">
        <f t="shared" si="78"/>
        <v>597.0386000000002</v>
      </c>
      <c r="D1068" s="11">
        <f t="shared" si="82"/>
        <v>561.04150000000016</v>
      </c>
      <c r="E1068" s="9"/>
      <c r="F1068" s="9"/>
      <c r="G1068" s="9">
        <f t="shared" ca="1" si="79"/>
        <v>597.0386000000002</v>
      </c>
      <c r="H1068" s="9">
        <f t="shared" ca="1" si="80"/>
        <v>561.04150000000016</v>
      </c>
      <c r="I1068" s="12">
        <f ca="1">IF(AND('Data Analysis Addin'!$G1068&lt;='Data Analysis Addin'!$H1068,G1069&gt;H1069), 1, 0)</f>
        <v>0</v>
      </c>
      <c r="J1068" s="3">
        <f t="shared" ca="1" si="81"/>
        <v>0</v>
      </c>
      <c r="K1068" s="19">
        <f>YEAR('Data Analysis Addin'!$A1068)</f>
        <v>2025</v>
      </c>
    </row>
    <row r="1069" spans="1:11" x14ac:dyDescent="0.4">
      <c r="A1069" s="16">
        <v>45688</v>
      </c>
      <c r="B1069" s="8">
        <v>601.82000000000005</v>
      </c>
      <c r="C1069" s="11">
        <f t="shared" si="78"/>
        <v>597.36000000000013</v>
      </c>
      <c r="D1069" s="11">
        <f t="shared" si="82"/>
        <v>561.52835000000027</v>
      </c>
      <c r="E1069" s="8"/>
      <c r="F1069" s="8"/>
      <c r="G1069" s="8">
        <f t="shared" ca="1" si="79"/>
        <v>597.36000000000013</v>
      </c>
      <c r="H1069" s="8">
        <f t="shared" ca="1" si="80"/>
        <v>561.52835000000027</v>
      </c>
      <c r="I1069" s="12">
        <f ca="1">IF(AND('Data Analysis Addin'!$G1069&lt;='Data Analysis Addin'!$H1069,G1070&gt;H1070), 1, 0)</f>
        <v>0</v>
      </c>
      <c r="J1069" s="2">
        <f t="shared" ca="1" si="81"/>
        <v>0</v>
      </c>
      <c r="K1069" s="17">
        <f>YEAR('Data Analysis Addin'!$A1069)</f>
        <v>2025</v>
      </c>
    </row>
    <row r="1070" spans="1:11" x14ac:dyDescent="0.4">
      <c r="A1070" s="18">
        <v>45691</v>
      </c>
      <c r="B1070" s="9">
        <v>597.77</v>
      </c>
      <c r="C1070" s="11">
        <f t="shared" si="78"/>
        <v>597.55240000000015</v>
      </c>
      <c r="D1070" s="11">
        <f t="shared" si="82"/>
        <v>561.99955000000034</v>
      </c>
      <c r="E1070" s="9"/>
      <c r="F1070" s="9"/>
      <c r="G1070" s="9">
        <f t="shared" ca="1" si="79"/>
        <v>597.55240000000015</v>
      </c>
      <c r="H1070" s="9">
        <f t="shared" ca="1" si="80"/>
        <v>561.99955000000034</v>
      </c>
      <c r="I1070" s="12">
        <f ca="1">IF(AND('Data Analysis Addin'!$G1070&lt;='Data Analysis Addin'!$H1070,G1071&gt;H1071), 1, 0)</f>
        <v>0</v>
      </c>
      <c r="J1070" s="3">
        <f t="shared" ca="1" si="81"/>
        <v>0</v>
      </c>
      <c r="K1070" s="19">
        <f>YEAR('Data Analysis Addin'!$A1070)</f>
        <v>2025</v>
      </c>
    </row>
    <row r="1071" spans="1:11" x14ac:dyDescent="0.4">
      <c r="A1071" s="16">
        <v>45692</v>
      </c>
      <c r="B1071" s="8">
        <v>601.78</v>
      </c>
      <c r="C1071" s="11">
        <f t="shared" si="78"/>
        <v>597.78200000000015</v>
      </c>
      <c r="D1071" s="11">
        <f t="shared" si="82"/>
        <v>562.50570000000027</v>
      </c>
      <c r="E1071" s="8"/>
      <c r="F1071" s="8"/>
      <c r="G1071" s="8">
        <f t="shared" ca="1" si="79"/>
        <v>597.78200000000015</v>
      </c>
      <c r="H1071" s="8">
        <f t="shared" ca="1" si="80"/>
        <v>562.50570000000027</v>
      </c>
      <c r="I1071" s="12">
        <f ca="1">IF(AND('Data Analysis Addin'!$G1071&lt;='Data Analysis Addin'!$H1071,G1072&gt;H1072), 1, 0)</f>
        <v>0</v>
      </c>
      <c r="J1071" s="2">
        <f t="shared" ca="1" si="81"/>
        <v>0</v>
      </c>
      <c r="K1071" s="17">
        <f>YEAR('Data Analysis Addin'!$A1071)</f>
        <v>2025</v>
      </c>
    </row>
    <row r="1072" spans="1:11" x14ac:dyDescent="0.4">
      <c r="A1072" s="18">
        <v>45693</v>
      </c>
      <c r="B1072" s="9">
        <v>604.22</v>
      </c>
      <c r="C1072" s="11">
        <f t="shared" si="78"/>
        <v>598.05640000000017</v>
      </c>
      <c r="D1072" s="11">
        <f t="shared" si="82"/>
        <v>563.02920000000029</v>
      </c>
      <c r="E1072" s="9"/>
      <c r="F1072" s="9"/>
      <c r="G1072" s="9">
        <f t="shared" ca="1" si="79"/>
        <v>598.05640000000017</v>
      </c>
      <c r="H1072" s="9">
        <f t="shared" ca="1" si="80"/>
        <v>563.02920000000029</v>
      </c>
      <c r="I1072" s="12">
        <f ca="1">IF(AND('Data Analysis Addin'!$G1072&lt;='Data Analysis Addin'!$H1072,G1073&gt;H1073), 1, 0)</f>
        <v>0</v>
      </c>
      <c r="J1072" s="3">
        <f t="shared" ca="1" si="81"/>
        <v>0</v>
      </c>
      <c r="K1072" s="19">
        <f>YEAR('Data Analysis Addin'!$A1072)</f>
        <v>2025</v>
      </c>
    </row>
    <row r="1073" spans="1:11" x14ac:dyDescent="0.4">
      <c r="A1073" s="16">
        <v>45694</v>
      </c>
      <c r="B1073" s="8">
        <v>606.32000000000005</v>
      </c>
      <c r="C1073" s="11">
        <f t="shared" si="78"/>
        <v>598.3094000000001</v>
      </c>
      <c r="D1073" s="11">
        <f t="shared" si="82"/>
        <v>563.58500000000026</v>
      </c>
      <c r="E1073" s="8"/>
      <c r="F1073" s="8"/>
      <c r="G1073" s="8">
        <f t="shared" ca="1" si="79"/>
        <v>598.3094000000001</v>
      </c>
      <c r="H1073" s="8">
        <f t="shared" ca="1" si="80"/>
        <v>563.58500000000026</v>
      </c>
      <c r="I1073" s="12">
        <f ca="1">IF(AND('Data Analysis Addin'!$G1073&lt;='Data Analysis Addin'!$H1073,G1074&gt;H1074), 1, 0)</f>
        <v>0</v>
      </c>
      <c r="J1073" s="2">
        <f t="shared" ca="1" si="81"/>
        <v>0</v>
      </c>
      <c r="K1073" s="17">
        <f>YEAR('Data Analysis Addin'!$A1073)</f>
        <v>2025</v>
      </c>
    </row>
    <row r="1074" spans="1:11" x14ac:dyDescent="0.4">
      <c r="A1074" s="18">
        <v>45695</v>
      </c>
      <c r="B1074" s="9">
        <v>600.77</v>
      </c>
      <c r="C1074" s="11">
        <f t="shared" si="78"/>
        <v>598.41460000000006</v>
      </c>
      <c r="D1074" s="11">
        <f t="shared" si="82"/>
        <v>564.09025000000031</v>
      </c>
      <c r="E1074" s="9"/>
      <c r="F1074" s="9"/>
      <c r="G1074" s="9">
        <f t="shared" ca="1" si="79"/>
        <v>598.41460000000006</v>
      </c>
      <c r="H1074" s="9">
        <f t="shared" ca="1" si="80"/>
        <v>564.09025000000031</v>
      </c>
      <c r="I1074" s="12">
        <f ca="1">IF(AND('Data Analysis Addin'!$G1074&lt;='Data Analysis Addin'!$H1074,G1075&gt;H1075), 1, 0)</f>
        <v>0</v>
      </c>
      <c r="J1074" s="3">
        <f t="shared" ca="1" si="81"/>
        <v>0</v>
      </c>
      <c r="K1074" s="19">
        <f>YEAR('Data Analysis Addin'!$A1074)</f>
        <v>2025</v>
      </c>
    </row>
    <row r="1075" spans="1:11" x14ac:dyDescent="0.4">
      <c r="A1075" s="16">
        <v>45698</v>
      </c>
      <c r="B1075" s="8">
        <v>604.85</v>
      </c>
      <c r="C1075" s="11">
        <f t="shared" si="78"/>
        <v>598.56100000000004</v>
      </c>
      <c r="D1075" s="11">
        <f t="shared" si="82"/>
        <v>564.5862500000004</v>
      </c>
      <c r="E1075" s="8"/>
      <c r="F1075" s="8"/>
      <c r="G1075" s="8">
        <f t="shared" ca="1" si="79"/>
        <v>598.56100000000004</v>
      </c>
      <c r="H1075" s="8">
        <f t="shared" ca="1" si="80"/>
        <v>564.5862500000004</v>
      </c>
      <c r="I1075" s="12">
        <f ca="1">IF(AND('Data Analysis Addin'!$G1075&lt;='Data Analysis Addin'!$H1075,G1076&gt;H1076), 1, 0)</f>
        <v>0</v>
      </c>
      <c r="J1075" s="2">
        <f t="shared" ca="1" si="81"/>
        <v>0</v>
      </c>
      <c r="K1075" s="17">
        <f>YEAR('Data Analysis Addin'!$A1075)</f>
        <v>2025</v>
      </c>
    </row>
    <row r="1076" spans="1:11" x14ac:dyDescent="0.4">
      <c r="A1076" s="18">
        <v>45699</v>
      </c>
      <c r="B1076" s="9">
        <v>605.30999999999995</v>
      </c>
      <c r="C1076" s="11">
        <f t="shared" ref="C1076:C1139" si="83">AVERAGE(B1027:B1076)</f>
        <v>598.65420000000006</v>
      </c>
      <c r="D1076" s="11">
        <f t="shared" si="82"/>
        <v>565.0857500000003</v>
      </c>
      <c r="E1076" s="9"/>
      <c r="F1076" s="9"/>
      <c r="G1076" s="9">
        <f t="shared" ca="1" si="79"/>
        <v>598.65420000000006</v>
      </c>
      <c r="H1076" s="9">
        <f t="shared" ca="1" si="80"/>
        <v>565.0857500000003</v>
      </c>
      <c r="I1076" s="12">
        <f ca="1">IF(AND('Data Analysis Addin'!$G1076&lt;='Data Analysis Addin'!$H1076,G1077&gt;H1077), 1, 0)</f>
        <v>0</v>
      </c>
      <c r="J1076" s="3">
        <f t="shared" ca="1" si="81"/>
        <v>0</v>
      </c>
      <c r="K1076" s="19">
        <f>YEAR('Data Analysis Addin'!$A1076)</f>
        <v>2025</v>
      </c>
    </row>
    <row r="1077" spans="1:11" x14ac:dyDescent="0.4">
      <c r="A1077" s="16">
        <v>45700</v>
      </c>
      <c r="B1077" s="8">
        <v>603.36</v>
      </c>
      <c r="C1077" s="11">
        <f t="shared" si="83"/>
        <v>598.74479999999994</v>
      </c>
      <c r="D1077" s="11">
        <f t="shared" si="82"/>
        <v>565.58510000000024</v>
      </c>
      <c r="E1077" s="8"/>
      <c r="F1077" s="8"/>
      <c r="G1077" s="8">
        <f t="shared" ca="1" si="79"/>
        <v>598.74479999999994</v>
      </c>
      <c r="H1077" s="8">
        <f t="shared" ca="1" si="80"/>
        <v>565.58510000000024</v>
      </c>
      <c r="I1077" s="12">
        <f ca="1">IF(AND('Data Analysis Addin'!$G1077&lt;='Data Analysis Addin'!$H1077,G1078&gt;H1078), 1, 0)</f>
        <v>0</v>
      </c>
      <c r="J1077" s="2">
        <f t="shared" ca="1" si="81"/>
        <v>0</v>
      </c>
      <c r="K1077" s="17">
        <f>YEAR('Data Analysis Addin'!$A1077)</f>
        <v>2025</v>
      </c>
    </row>
    <row r="1078" spans="1:11" x14ac:dyDescent="0.4">
      <c r="A1078" s="18">
        <v>45701</v>
      </c>
      <c r="B1078" s="9">
        <v>609.73</v>
      </c>
      <c r="C1078" s="11">
        <f t="shared" si="83"/>
        <v>598.88839999999993</v>
      </c>
      <c r="D1078" s="11">
        <f t="shared" si="82"/>
        <v>566.09245000000021</v>
      </c>
      <c r="E1078" s="9"/>
      <c r="F1078" s="9"/>
      <c r="G1078" s="9">
        <f t="shared" ca="1" si="79"/>
        <v>598.88839999999993</v>
      </c>
      <c r="H1078" s="9">
        <f t="shared" ca="1" si="80"/>
        <v>566.09245000000021</v>
      </c>
      <c r="I1078" s="12">
        <f ca="1">IF(AND('Data Analysis Addin'!$G1078&lt;='Data Analysis Addin'!$H1078,G1079&gt;H1079), 1, 0)</f>
        <v>0</v>
      </c>
      <c r="J1078" s="3">
        <f t="shared" ca="1" si="81"/>
        <v>0</v>
      </c>
      <c r="K1078" s="19">
        <f>YEAR('Data Analysis Addin'!$A1078)</f>
        <v>2025</v>
      </c>
    </row>
    <row r="1079" spans="1:11" x14ac:dyDescent="0.4">
      <c r="A1079" s="16">
        <v>45702</v>
      </c>
      <c r="B1079" s="8">
        <v>609.70000000000005</v>
      </c>
      <c r="C1079" s="11">
        <f t="shared" si="83"/>
        <v>599.00979999999993</v>
      </c>
      <c r="D1079" s="11">
        <f t="shared" si="82"/>
        <v>566.59065000000021</v>
      </c>
      <c r="E1079" s="8"/>
      <c r="F1079" s="8"/>
      <c r="G1079" s="8">
        <f t="shared" ca="1" si="79"/>
        <v>599.00979999999993</v>
      </c>
      <c r="H1079" s="8">
        <f t="shared" ca="1" si="80"/>
        <v>566.59065000000021</v>
      </c>
      <c r="I1079" s="12">
        <f ca="1">IF(AND('Data Analysis Addin'!$G1079&lt;='Data Analysis Addin'!$H1079,G1080&gt;H1080), 1, 0)</f>
        <v>0</v>
      </c>
      <c r="J1079" s="2">
        <f t="shared" ca="1" si="81"/>
        <v>0</v>
      </c>
      <c r="K1079" s="17">
        <f>YEAR('Data Analysis Addin'!$A1079)</f>
        <v>2025</v>
      </c>
    </row>
    <row r="1080" spans="1:11" x14ac:dyDescent="0.4">
      <c r="A1080" s="18">
        <v>45706</v>
      </c>
      <c r="B1080" s="9">
        <v>611.49</v>
      </c>
      <c r="C1080" s="11">
        <f t="shared" si="83"/>
        <v>599.16140000000007</v>
      </c>
      <c r="D1080" s="11">
        <f t="shared" si="82"/>
        <v>567.1382000000001</v>
      </c>
      <c r="E1080" s="9"/>
      <c r="F1080" s="9"/>
      <c r="G1080" s="9">
        <f t="shared" ca="1" si="79"/>
        <v>599.16140000000007</v>
      </c>
      <c r="H1080" s="9">
        <f t="shared" ca="1" si="80"/>
        <v>567.1382000000001</v>
      </c>
      <c r="I1080" s="12">
        <f ca="1">IF(AND('Data Analysis Addin'!$G1080&lt;='Data Analysis Addin'!$H1080,G1081&gt;H1081), 1, 0)</f>
        <v>0</v>
      </c>
      <c r="J1080" s="3">
        <f t="shared" ca="1" si="81"/>
        <v>0</v>
      </c>
      <c r="K1080" s="19">
        <f>YEAR('Data Analysis Addin'!$A1080)</f>
        <v>2025</v>
      </c>
    </row>
    <row r="1081" spans="1:11" x14ac:dyDescent="0.4">
      <c r="A1081" s="16">
        <v>45707</v>
      </c>
      <c r="B1081" s="8">
        <v>612.92999999999995</v>
      </c>
      <c r="C1081" s="11">
        <f t="shared" si="83"/>
        <v>599.2668000000001</v>
      </c>
      <c r="D1081" s="11">
        <f t="shared" si="82"/>
        <v>567.70110000000011</v>
      </c>
      <c r="E1081" s="8"/>
      <c r="F1081" s="8"/>
      <c r="G1081" s="8">
        <f t="shared" ca="1" si="79"/>
        <v>599.2668000000001</v>
      </c>
      <c r="H1081" s="8">
        <f t="shared" ca="1" si="80"/>
        <v>567.70110000000011</v>
      </c>
      <c r="I1081" s="12">
        <f ca="1">IF(AND('Data Analysis Addin'!$G1081&lt;='Data Analysis Addin'!$H1081,G1082&gt;H1082), 1, 0)</f>
        <v>0</v>
      </c>
      <c r="J1081" s="2">
        <f t="shared" ca="1" si="81"/>
        <v>0</v>
      </c>
      <c r="K1081" s="17">
        <f>YEAR('Data Analysis Addin'!$A1081)</f>
        <v>2025</v>
      </c>
    </row>
    <row r="1082" spans="1:11" x14ac:dyDescent="0.4">
      <c r="A1082" s="18">
        <v>45708</v>
      </c>
      <c r="B1082" s="9">
        <v>610.38</v>
      </c>
      <c r="C1082" s="11">
        <f t="shared" si="83"/>
        <v>599.34120000000007</v>
      </c>
      <c r="D1082" s="11">
        <f t="shared" si="82"/>
        <v>568.2278500000001</v>
      </c>
      <c r="E1082" s="9"/>
      <c r="F1082" s="9"/>
      <c r="G1082" s="9">
        <f t="shared" ca="1" si="79"/>
        <v>599.34120000000007</v>
      </c>
      <c r="H1082" s="9">
        <f t="shared" ca="1" si="80"/>
        <v>568.2278500000001</v>
      </c>
      <c r="I1082" s="12">
        <f ca="1">IF(AND('Data Analysis Addin'!$G1082&lt;='Data Analysis Addin'!$H1082,G1083&gt;H1083), 1, 0)</f>
        <v>0</v>
      </c>
      <c r="J1082" s="3">
        <f t="shared" ca="1" si="81"/>
        <v>0</v>
      </c>
      <c r="K1082" s="19">
        <f>YEAR('Data Analysis Addin'!$A1082)</f>
        <v>2025</v>
      </c>
    </row>
    <row r="1083" spans="1:11" x14ac:dyDescent="0.4">
      <c r="A1083" s="16">
        <v>45709</v>
      </c>
      <c r="B1083" s="8">
        <v>599.94000000000005</v>
      </c>
      <c r="C1083" s="11">
        <f t="shared" si="83"/>
        <v>599.18380000000002</v>
      </c>
      <c r="D1083" s="11">
        <f t="shared" si="82"/>
        <v>568.67110000000002</v>
      </c>
      <c r="E1083" s="8"/>
      <c r="F1083" s="8"/>
      <c r="G1083" s="8">
        <f t="shared" ca="1" si="79"/>
        <v>599.18380000000002</v>
      </c>
      <c r="H1083" s="8">
        <f t="shared" ca="1" si="80"/>
        <v>568.67110000000002</v>
      </c>
      <c r="I1083" s="12">
        <f ca="1">IF(AND('Data Analysis Addin'!$G1083&lt;='Data Analysis Addin'!$H1083,G1084&gt;H1084), 1, 0)</f>
        <v>0</v>
      </c>
      <c r="J1083" s="2">
        <f t="shared" ca="1" si="81"/>
        <v>0</v>
      </c>
      <c r="K1083" s="17">
        <f>YEAR('Data Analysis Addin'!$A1083)</f>
        <v>2025</v>
      </c>
    </row>
    <row r="1084" spans="1:11" x14ac:dyDescent="0.4">
      <c r="A1084" s="18">
        <v>45712</v>
      </c>
      <c r="B1084" s="9">
        <v>597.21</v>
      </c>
      <c r="C1084" s="11">
        <f t="shared" si="83"/>
        <v>599.03440000000012</v>
      </c>
      <c r="D1084" s="11">
        <f t="shared" si="82"/>
        <v>569.07430000000011</v>
      </c>
      <c r="E1084" s="9"/>
      <c r="F1084" s="9"/>
      <c r="G1084" s="9">
        <f t="shared" ca="1" si="79"/>
        <v>599.03440000000012</v>
      </c>
      <c r="H1084" s="9">
        <f t="shared" ca="1" si="80"/>
        <v>569.07430000000011</v>
      </c>
      <c r="I1084" s="12">
        <f ca="1">IF(AND('Data Analysis Addin'!$G1084&lt;='Data Analysis Addin'!$H1084,G1085&gt;H1085), 1, 0)</f>
        <v>0</v>
      </c>
      <c r="J1084" s="3">
        <f t="shared" ca="1" si="81"/>
        <v>0</v>
      </c>
      <c r="K1084" s="19">
        <f>YEAR('Data Analysis Addin'!$A1084)</f>
        <v>2025</v>
      </c>
    </row>
    <row r="1085" spans="1:11" x14ac:dyDescent="0.4">
      <c r="A1085" s="16">
        <v>45713</v>
      </c>
      <c r="B1085" s="8">
        <v>594.24</v>
      </c>
      <c r="C1085" s="11">
        <f t="shared" si="83"/>
        <v>598.86320000000012</v>
      </c>
      <c r="D1085" s="11">
        <f t="shared" si="82"/>
        <v>569.45980000000009</v>
      </c>
      <c r="E1085" s="8"/>
      <c r="F1085" s="8"/>
      <c r="G1085" s="8">
        <f t="shared" ca="1" si="79"/>
        <v>598.86320000000012</v>
      </c>
      <c r="H1085" s="8">
        <f t="shared" ca="1" si="80"/>
        <v>569.45980000000009</v>
      </c>
      <c r="I1085" s="12">
        <f ca="1">IF(AND('Data Analysis Addin'!$G1085&lt;='Data Analysis Addin'!$H1085,G1086&gt;H1086), 1, 0)</f>
        <v>0</v>
      </c>
      <c r="J1085" s="2">
        <f t="shared" ca="1" si="81"/>
        <v>0</v>
      </c>
      <c r="K1085" s="17">
        <f>YEAR('Data Analysis Addin'!$A1085)</f>
        <v>2025</v>
      </c>
    </row>
    <row r="1086" spans="1:11" x14ac:dyDescent="0.4">
      <c r="A1086" s="18">
        <v>45714</v>
      </c>
      <c r="B1086" s="9">
        <v>594.54</v>
      </c>
      <c r="C1086" s="11">
        <f t="shared" si="83"/>
        <v>598.60480000000007</v>
      </c>
      <c r="D1086" s="11">
        <f t="shared" si="82"/>
        <v>569.84655000000009</v>
      </c>
      <c r="E1086" s="9"/>
      <c r="F1086" s="9"/>
      <c r="G1086" s="9">
        <f t="shared" ca="1" si="79"/>
        <v>598.60480000000007</v>
      </c>
      <c r="H1086" s="9">
        <f t="shared" ca="1" si="80"/>
        <v>569.84655000000009</v>
      </c>
      <c r="I1086" s="12">
        <f ca="1">IF(AND('Data Analysis Addin'!$G1086&lt;='Data Analysis Addin'!$H1086,G1087&gt;H1087), 1, 0)</f>
        <v>0</v>
      </c>
      <c r="J1086" s="3">
        <f t="shared" ca="1" si="81"/>
        <v>0</v>
      </c>
      <c r="K1086" s="19">
        <f>YEAR('Data Analysis Addin'!$A1086)</f>
        <v>2025</v>
      </c>
    </row>
    <row r="1087" spans="1:11" x14ac:dyDescent="0.4">
      <c r="A1087" s="16">
        <v>45715</v>
      </c>
      <c r="B1087" s="8">
        <v>585.04999999999995</v>
      </c>
      <c r="C1087" s="11">
        <f t="shared" si="83"/>
        <v>598.21920000000011</v>
      </c>
      <c r="D1087" s="11">
        <f t="shared" si="82"/>
        <v>570.17095000000006</v>
      </c>
      <c r="E1087" s="8"/>
      <c r="F1087" s="8"/>
      <c r="G1087" s="8">
        <f t="shared" ca="1" si="79"/>
        <v>598.21920000000011</v>
      </c>
      <c r="H1087" s="8">
        <f t="shared" ca="1" si="80"/>
        <v>570.17095000000006</v>
      </c>
      <c r="I1087" s="12">
        <f ca="1">IF(AND('Data Analysis Addin'!$G1087&lt;='Data Analysis Addin'!$H1087,G1088&gt;H1088), 1, 0)</f>
        <v>0</v>
      </c>
      <c r="J1087" s="2">
        <f t="shared" ca="1" si="81"/>
        <v>0</v>
      </c>
      <c r="K1087" s="17">
        <f>YEAR('Data Analysis Addin'!$A1087)</f>
        <v>2025</v>
      </c>
    </row>
    <row r="1088" spans="1:11" x14ac:dyDescent="0.4">
      <c r="A1088" s="18">
        <v>45716</v>
      </c>
      <c r="B1088" s="9">
        <v>594.17999999999995</v>
      </c>
      <c r="C1088" s="11">
        <f t="shared" si="83"/>
        <v>598.01860000000011</v>
      </c>
      <c r="D1088" s="11">
        <f t="shared" si="82"/>
        <v>570.5376500000001</v>
      </c>
      <c r="E1088" s="9"/>
      <c r="F1088" s="9"/>
      <c r="G1088" s="9">
        <f t="shared" ca="1" si="79"/>
        <v>598.01860000000011</v>
      </c>
      <c r="H1088" s="9">
        <f t="shared" ca="1" si="80"/>
        <v>570.5376500000001</v>
      </c>
      <c r="I1088" s="12">
        <f ca="1">IF(AND('Data Analysis Addin'!$G1088&lt;='Data Analysis Addin'!$H1088,G1089&gt;H1089), 1, 0)</f>
        <v>0</v>
      </c>
      <c r="J1088" s="3">
        <f t="shared" ca="1" si="81"/>
        <v>0</v>
      </c>
      <c r="K1088" s="19">
        <f>YEAR('Data Analysis Addin'!$A1088)</f>
        <v>2025</v>
      </c>
    </row>
    <row r="1089" spans="1:11" x14ac:dyDescent="0.4">
      <c r="A1089" s="16">
        <v>45719</v>
      </c>
      <c r="B1089" s="8">
        <v>583.77</v>
      </c>
      <c r="C1089" s="11">
        <f t="shared" si="83"/>
        <v>597.55820000000017</v>
      </c>
      <c r="D1089" s="11">
        <f t="shared" si="82"/>
        <v>570.8519500000001</v>
      </c>
      <c r="E1089" s="8"/>
      <c r="F1089" s="8"/>
      <c r="G1089" s="8">
        <f t="shared" ca="1" si="79"/>
        <v>597.55820000000017</v>
      </c>
      <c r="H1089" s="8">
        <f t="shared" ca="1" si="80"/>
        <v>570.8519500000001</v>
      </c>
      <c r="I1089" s="12">
        <f ca="1">IF(AND('Data Analysis Addin'!$G1089&lt;='Data Analysis Addin'!$H1089,G1090&gt;H1090), 1, 0)</f>
        <v>0</v>
      </c>
      <c r="J1089" s="2">
        <f t="shared" ca="1" si="81"/>
        <v>0</v>
      </c>
      <c r="K1089" s="17">
        <f>YEAR('Data Analysis Addin'!$A1089)</f>
        <v>2025</v>
      </c>
    </row>
    <row r="1090" spans="1:11" x14ac:dyDescent="0.4">
      <c r="A1090" s="18">
        <v>45720</v>
      </c>
      <c r="B1090" s="9">
        <v>576.86</v>
      </c>
      <c r="C1090" s="11">
        <f t="shared" si="83"/>
        <v>597.00960000000009</v>
      </c>
      <c r="D1090" s="11">
        <f t="shared" si="82"/>
        <v>571.11975000000018</v>
      </c>
      <c r="E1090" s="9"/>
      <c r="F1090" s="9"/>
      <c r="G1090" s="9">
        <f t="shared" ca="1" si="79"/>
        <v>597.00960000000009</v>
      </c>
      <c r="H1090" s="9">
        <f t="shared" ca="1" si="80"/>
        <v>571.11975000000018</v>
      </c>
      <c r="I1090" s="12">
        <f ca="1">IF(AND('Data Analysis Addin'!$G1090&lt;='Data Analysis Addin'!$H1090,G1091&gt;H1091), 1, 0)</f>
        <v>0</v>
      </c>
      <c r="J1090" s="3">
        <f t="shared" ca="1" si="81"/>
        <v>0</v>
      </c>
      <c r="K1090" s="19">
        <f>YEAR('Data Analysis Addin'!$A1090)</f>
        <v>2025</v>
      </c>
    </row>
    <row r="1091" spans="1:11" x14ac:dyDescent="0.4">
      <c r="A1091" s="16">
        <v>45721</v>
      </c>
      <c r="B1091" s="8">
        <v>583.05999999999995</v>
      </c>
      <c r="C1091" s="11">
        <f t="shared" si="83"/>
        <v>596.94520000000011</v>
      </c>
      <c r="D1091" s="11">
        <f t="shared" si="82"/>
        <v>571.38615000000016</v>
      </c>
      <c r="E1091" s="8"/>
      <c r="F1091" s="8"/>
      <c r="G1091" s="8">
        <f t="shared" ref="G1091:G1154" ca="1" si="84">AVERAGE(OFFSET($B1091,0,0,-(MIN(ROW()-ROW($B$3)+1,n_50)),1))</f>
        <v>596.94520000000011</v>
      </c>
      <c r="H1091" s="8">
        <f t="shared" ref="H1091:H1154" ca="1" si="85">AVERAGE(OFFSET($B1091,0,0,-(MIN(ROW()-ROW($B$3)+1,n_200)),1))</f>
        <v>571.38615000000016</v>
      </c>
      <c r="I1091" s="12">
        <f ca="1">IF(AND('Data Analysis Addin'!$G1091&lt;='Data Analysis Addin'!$H1091,G1092&gt;H1092), 1, 0)</f>
        <v>0</v>
      </c>
      <c r="J1091" s="2">
        <f t="shared" ref="J1091:J1154" ca="1" si="86">IF($G1091&lt;$H1091,1,0)</f>
        <v>0</v>
      </c>
      <c r="K1091" s="17">
        <f>YEAR('Data Analysis Addin'!$A1091)</f>
        <v>2025</v>
      </c>
    </row>
    <row r="1092" spans="1:11" x14ac:dyDescent="0.4">
      <c r="A1092" s="18">
        <v>45722</v>
      </c>
      <c r="B1092" s="9">
        <v>572.71</v>
      </c>
      <c r="C1092" s="11">
        <f t="shared" si="83"/>
        <v>596.67740000000015</v>
      </c>
      <c r="D1092" s="11">
        <f t="shared" si="82"/>
        <v>571.60625000000027</v>
      </c>
      <c r="E1092" s="9"/>
      <c r="F1092" s="9"/>
      <c r="G1092" s="9">
        <f t="shared" ca="1" si="84"/>
        <v>596.67740000000015</v>
      </c>
      <c r="H1092" s="9">
        <f t="shared" ca="1" si="85"/>
        <v>571.60625000000027</v>
      </c>
      <c r="I1092" s="12">
        <f ca="1">IF(AND('Data Analysis Addin'!$G1092&lt;='Data Analysis Addin'!$H1092,G1093&gt;H1093), 1, 0)</f>
        <v>0</v>
      </c>
      <c r="J1092" s="3">
        <f t="shared" ca="1" si="86"/>
        <v>0</v>
      </c>
      <c r="K1092" s="19">
        <f>YEAR('Data Analysis Addin'!$A1092)</f>
        <v>2025</v>
      </c>
    </row>
    <row r="1093" spans="1:11" x14ac:dyDescent="0.4">
      <c r="A1093" s="16">
        <v>45723</v>
      </c>
      <c r="B1093" s="8">
        <v>575.91999999999996</v>
      </c>
      <c r="C1093" s="11">
        <f t="shared" si="83"/>
        <v>596.3728000000001</v>
      </c>
      <c r="D1093" s="11">
        <f t="shared" si="82"/>
        <v>571.83860000000027</v>
      </c>
      <c r="E1093" s="8"/>
      <c r="F1093" s="8"/>
      <c r="G1093" s="8">
        <f t="shared" ca="1" si="84"/>
        <v>596.3728000000001</v>
      </c>
      <c r="H1093" s="8">
        <f t="shared" ca="1" si="85"/>
        <v>571.83860000000027</v>
      </c>
      <c r="I1093" s="12">
        <f ca="1">IF(AND('Data Analysis Addin'!$G1093&lt;='Data Analysis Addin'!$H1093,G1094&gt;H1094), 1, 0)</f>
        <v>0</v>
      </c>
      <c r="J1093" s="2">
        <f t="shared" ca="1" si="86"/>
        <v>0</v>
      </c>
      <c r="K1093" s="17">
        <f>YEAR('Data Analysis Addin'!$A1093)</f>
        <v>2025</v>
      </c>
    </row>
    <row r="1094" spans="1:11" x14ac:dyDescent="0.4">
      <c r="A1094" s="18">
        <v>45726</v>
      </c>
      <c r="B1094" s="9">
        <v>560.58000000000004</v>
      </c>
      <c r="C1094" s="11">
        <f t="shared" si="83"/>
        <v>595.69060000000013</v>
      </c>
      <c r="D1094" s="11">
        <f t="shared" si="82"/>
        <v>571.99120000000028</v>
      </c>
      <c r="E1094" s="9"/>
      <c r="F1094" s="9"/>
      <c r="G1094" s="9">
        <f t="shared" ca="1" si="84"/>
        <v>595.69060000000013</v>
      </c>
      <c r="H1094" s="9">
        <f t="shared" ca="1" si="85"/>
        <v>571.99120000000028</v>
      </c>
      <c r="I1094" s="12">
        <f ca="1">IF(AND('Data Analysis Addin'!$G1094&lt;='Data Analysis Addin'!$H1094,G1095&gt;H1095), 1, 0)</f>
        <v>0</v>
      </c>
      <c r="J1094" s="3">
        <f t="shared" ca="1" si="86"/>
        <v>0</v>
      </c>
      <c r="K1094" s="19">
        <f>YEAR('Data Analysis Addin'!$A1094)</f>
        <v>2025</v>
      </c>
    </row>
    <row r="1095" spans="1:11" x14ac:dyDescent="0.4">
      <c r="A1095" s="16">
        <v>45727</v>
      </c>
      <c r="B1095" s="8">
        <v>555.91999999999996</v>
      </c>
      <c r="C1095" s="11">
        <f t="shared" si="83"/>
        <v>594.78300000000002</v>
      </c>
      <c r="D1095" s="11">
        <f t="shared" si="82"/>
        <v>572.11400000000026</v>
      </c>
      <c r="E1095" s="8"/>
      <c r="F1095" s="8"/>
      <c r="G1095" s="8">
        <f t="shared" ca="1" si="84"/>
        <v>594.78300000000002</v>
      </c>
      <c r="H1095" s="8">
        <f t="shared" ca="1" si="85"/>
        <v>572.11400000000026</v>
      </c>
      <c r="I1095" s="12">
        <f ca="1">IF(AND('Data Analysis Addin'!$G1095&lt;='Data Analysis Addin'!$H1095,G1096&gt;H1096), 1, 0)</f>
        <v>0</v>
      </c>
      <c r="J1095" s="2">
        <f t="shared" ca="1" si="86"/>
        <v>0</v>
      </c>
      <c r="K1095" s="17">
        <f>YEAR('Data Analysis Addin'!$A1095)</f>
        <v>2025</v>
      </c>
    </row>
    <row r="1096" spans="1:11" x14ac:dyDescent="0.4">
      <c r="A1096" s="18">
        <v>45728</v>
      </c>
      <c r="B1096" s="9">
        <v>558.87</v>
      </c>
      <c r="C1096" s="11">
        <f t="shared" si="83"/>
        <v>593.93359999999996</v>
      </c>
      <c r="D1096" s="11">
        <f t="shared" si="82"/>
        <v>572.25920000000019</v>
      </c>
      <c r="E1096" s="9"/>
      <c r="F1096" s="9"/>
      <c r="G1096" s="9">
        <f t="shared" ca="1" si="84"/>
        <v>593.93359999999996</v>
      </c>
      <c r="H1096" s="9">
        <f t="shared" ca="1" si="85"/>
        <v>572.25920000000019</v>
      </c>
      <c r="I1096" s="12">
        <f ca="1">IF(AND('Data Analysis Addin'!$G1096&lt;='Data Analysis Addin'!$H1096,G1097&gt;H1097), 1, 0)</f>
        <v>0</v>
      </c>
      <c r="J1096" s="3">
        <f t="shared" ca="1" si="86"/>
        <v>0</v>
      </c>
      <c r="K1096" s="19">
        <f>YEAR('Data Analysis Addin'!$A1096)</f>
        <v>2025</v>
      </c>
    </row>
    <row r="1097" spans="1:11" x14ac:dyDescent="0.4">
      <c r="A1097" s="16">
        <v>45729</v>
      </c>
      <c r="B1097" s="8">
        <v>551.41999999999996</v>
      </c>
      <c r="C1097" s="11">
        <f t="shared" si="83"/>
        <v>593.06179999999995</v>
      </c>
      <c r="D1097" s="11">
        <f t="shared" si="82"/>
        <v>572.38650000000018</v>
      </c>
      <c r="E1097" s="8"/>
      <c r="F1097" s="8"/>
      <c r="G1097" s="8">
        <f t="shared" ca="1" si="84"/>
        <v>593.06179999999995</v>
      </c>
      <c r="H1097" s="8">
        <f t="shared" ca="1" si="85"/>
        <v>572.38650000000018</v>
      </c>
      <c r="I1097" s="12">
        <f ca="1">IF(AND('Data Analysis Addin'!$G1097&lt;='Data Analysis Addin'!$H1097,G1098&gt;H1098), 1, 0)</f>
        <v>0</v>
      </c>
      <c r="J1097" s="2">
        <f t="shared" ca="1" si="86"/>
        <v>0</v>
      </c>
      <c r="K1097" s="17">
        <f>YEAR('Data Analysis Addin'!$A1097)</f>
        <v>2025</v>
      </c>
    </row>
    <row r="1098" spans="1:11" x14ac:dyDescent="0.4">
      <c r="A1098" s="18">
        <v>45730</v>
      </c>
      <c r="B1098" s="9">
        <v>562.80999999999995</v>
      </c>
      <c r="C1098" s="11">
        <f t="shared" si="83"/>
        <v>592.55360000000007</v>
      </c>
      <c r="D1098" s="11">
        <f t="shared" ref="D1098:D1161" si="87">AVERAGE(B899:B1098)</f>
        <v>572.55335000000025</v>
      </c>
      <c r="E1098" s="9"/>
      <c r="F1098" s="9"/>
      <c r="G1098" s="9">
        <f t="shared" ca="1" si="84"/>
        <v>592.55360000000007</v>
      </c>
      <c r="H1098" s="9">
        <f t="shared" ca="1" si="85"/>
        <v>572.55335000000025</v>
      </c>
      <c r="I1098" s="12">
        <f ca="1">IF(AND('Data Analysis Addin'!$G1098&lt;='Data Analysis Addin'!$H1098,G1099&gt;H1099), 1, 0)</f>
        <v>0</v>
      </c>
      <c r="J1098" s="3">
        <f t="shared" ca="1" si="86"/>
        <v>0</v>
      </c>
      <c r="K1098" s="19">
        <f>YEAR('Data Analysis Addin'!$A1098)</f>
        <v>2025</v>
      </c>
    </row>
    <row r="1099" spans="1:11" x14ac:dyDescent="0.4">
      <c r="A1099" s="16">
        <v>45733</v>
      </c>
      <c r="B1099" s="8">
        <v>567.15</v>
      </c>
      <c r="C1099" s="11">
        <f t="shared" si="83"/>
        <v>592.17500000000007</v>
      </c>
      <c r="D1099" s="11">
        <f t="shared" si="87"/>
        <v>572.74005000000022</v>
      </c>
      <c r="E1099" s="8"/>
      <c r="F1099" s="8"/>
      <c r="G1099" s="8">
        <f t="shared" ca="1" si="84"/>
        <v>592.17500000000007</v>
      </c>
      <c r="H1099" s="8">
        <f t="shared" ca="1" si="85"/>
        <v>572.74005000000022</v>
      </c>
      <c r="I1099" s="12">
        <f ca="1">IF(AND('Data Analysis Addin'!$G1099&lt;='Data Analysis Addin'!$H1099,G1100&gt;H1100), 1, 0)</f>
        <v>0</v>
      </c>
      <c r="J1099" s="2">
        <f t="shared" ca="1" si="86"/>
        <v>0</v>
      </c>
      <c r="K1099" s="17">
        <f>YEAR('Data Analysis Addin'!$A1099)</f>
        <v>2025</v>
      </c>
    </row>
    <row r="1100" spans="1:11" x14ac:dyDescent="0.4">
      <c r="A1100" s="18">
        <v>45734</v>
      </c>
      <c r="B1100" s="9">
        <v>561.02</v>
      </c>
      <c r="C1100" s="11">
        <f t="shared" si="83"/>
        <v>591.70260000000007</v>
      </c>
      <c r="D1100" s="11">
        <f t="shared" si="87"/>
        <v>572.91465000000028</v>
      </c>
      <c r="E1100" s="9"/>
      <c r="F1100" s="9"/>
      <c r="G1100" s="9">
        <f t="shared" ca="1" si="84"/>
        <v>591.70260000000007</v>
      </c>
      <c r="H1100" s="9">
        <f t="shared" ca="1" si="85"/>
        <v>572.91465000000028</v>
      </c>
      <c r="I1100" s="12">
        <f ca="1">IF(AND('Data Analysis Addin'!$G1100&lt;='Data Analysis Addin'!$H1100,G1101&gt;H1101), 1, 0)</f>
        <v>0</v>
      </c>
      <c r="J1100" s="3">
        <f t="shared" ca="1" si="86"/>
        <v>0</v>
      </c>
      <c r="K1100" s="19">
        <f>YEAR('Data Analysis Addin'!$A1100)</f>
        <v>2025</v>
      </c>
    </row>
    <row r="1101" spans="1:11" x14ac:dyDescent="0.4">
      <c r="A1101" s="16">
        <v>45735</v>
      </c>
      <c r="B1101" s="8">
        <v>567.13</v>
      </c>
      <c r="C1101" s="11">
        <f t="shared" si="83"/>
        <v>591.20620000000008</v>
      </c>
      <c r="D1101" s="11">
        <f t="shared" si="87"/>
        <v>573.13725000000022</v>
      </c>
      <c r="E1101" s="8"/>
      <c r="F1101" s="8"/>
      <c r="G1101" s="8">
        <f t="shared" ca="1" si="84"/>
        <v>591.20620000000008</v>
      </c>
      <c r="H1101" s="8">
        <f t="shared" ca="1" si="85"/>
        <v>573.13725000000022</v>
      </c>
      <c r="I1101" s="12">
        <f ca="1">IF(AND('Data Analysis Addin'!$G1101&lt;='Data Analysis Addin'!$H1101,G1102&gt;H1102), 1, 0)</f>
        <v>0</v>
      </c>
      <c r="J1101" s="2">
        <f t="shared" ca="1" si="86"/>
        <v>0</v>
      </c>
      <c r="K1101" s="17">
        <f>YEAR('Data Analysis Addin'!$A1101)</f>
        <v>2025</v>
      </c>
    </row>
    <row r="1102" spans="1:11" x14ac:dyDescent="0.4">
      <c r="A1102" s="18">
        <v>45736</v>
      </c>
      <c r="B1102" s="9">
        <v>565.49</v>
      </c>
      <c r="C1102" s="11">
        <f t="shared" si="83"/>
        <v>590.60880000000009</v>
      </c>
      <c r="D1102" s="11">
        <f t="shared" si="87"/>
        <v>573.32785000000035</v>
      </c>
      <c r="E1102" s="9"/>
      <c r="F1102" s="9"/>
      <c r="G1102" s="9">
        <f t="shared" ca="1" si="84"/>
        <v>590.60880000000009</v>
      </c>
      <c r="H1102" s="9">
        <f t="shared" ca="1" si="85"/>
        <v>573.32785000000035</v>
      </c>
      <c r="I1102" s="12">
        <f ca="1">IF(AND('Data Analysis Addin'!$G1102&lt;='Data Analysis Addin'!$H1102,G1103&gt;H1103), 1, 0)</f>
        <v>0</v>
      </c>
      <c r="J1102" s="3">
        <f t="shared" ca="1" si="86"/>
        <v>0</v>
      </c>
      <c r="K1102" s="19">
        <f>YEAR('Data Analysis Addin'!$A1102)</f>
        <v>2025</v>
      </c>
    </row>
    <row r="1103" spans="1:11" x14ac:dyDescent="0.4">
      <c r="A1103" s="16">
        <v>45737</v>
      </c>
      <c r="B1103" s="8">
        <v>563.98</v>
      </c>
      <c r="C1103" s="11">
        <f t="shared" si="83"/>
        <v>590.11580000000004</v>
      </c>
      <c r="D1103" s="11">
        <f t="shared" si="87"/>
        <v>573.5087500000003</v>
      </c>
      <c r="E1103" s="8"/>
      <c r="F1103" s="8"/>
      <c r="G1103" s="8">
        <f t="shared" ca="1" si="84"/>
        <v>590.11580000000004</v>
      </c>
      <c r="H1103" s="8">
        <f t="shared" ca="1" si="85"/>
        <v>573.5087500000003</v>
      </c>
      <c r="I1103" s="12">
        <f ca="1">IF(AND('Data Analysis Addin'!$G1103&lt;='Data Analysis Addin'!$H1103,G1104&gt;H1104), 1, 0)</f>
        <v>0</v>
      </c>
      <c r="J1103" s="2">
        <f t="shared" ca="1" si="86"/>
        <v>0</v>
      </c>
      <c r="K1103" s="17">
        <f>YEAR('Data Analysis Addin'!$A1103)</f>
        <v>2025</v>
      </c>
    </row>
    <row r="1104" spans="1:11" x14ac:dyDescent="0.4">
      <c r="A1104" s="18">
        <v>45740</v>
      </c>
      <c r="B1104" s="9">
        <v>574.08000000000004</v>
      </c>
      <c r="C1104" s="11">
        <f t="shared" si="83"/>
        <v>589.80760000000009</v>
      </c>
      <c r="D1104" s="11">
        <f t="shared" si="87"/>
        <v>573.73720000000037</v>
      </c>
      <c r="E1104" s="9"/>
      <c r="F1104" s="9"/>
      <c r="G1104" s="9">
        <f t="shared" ca="1" si="84"/>
        <v>589.80760000000009</v>
      </c>
      <c r="H1104" s="9">
        <f t="shared" ca="1" si="85"/>
        <v>573.73720000000037</v>
      </c>
      <c r="I1104" s="12">
        <f ca="1">IF(AND('Data Analysis Addin'!$G1104&lt;='Data Analysis Addin'!$H1104,G1105&gt;H1105), 1, 0)</f>
        <v>0</v>
      </c>
      <c r="J1104" s="3">
        <f t="shared" ca="1" si="86"/>
        <v>0</v>
      </c>
      <c r="K1104" s="19">
        <f>YEAR('Data Analysis Addin'!$A1104)</f>
        <v>2025</v>
      </c>
    </row>
    <row r="1105" spans="1:11" x14ac:dyDescent="0.4">
      <c r="A1105" s="16">
        <v>45741</v>
      </c>
      <c r="B1105" s="8">
        <v>575.46</v>
      </c>
      <c r="C1105" s="11">
        <f t="shared" si="83"/>
        <v>589.70700000000011</v>
      </c>
      <c r="D1105" s="11">
        <f t="shared" si="87"/>
        <v>573.94115000000033</v>
      </c>
      <c r="E1105" s="8"/>
      <c r="F1105" s="8"/>
      <c r="G1105" s="8">
        <f t="shared" ca="1" si="84"/>
        <v>589.70700000000011</v>
      </c>
      <c r="H1105" s="8">
        <f t="shared" ca="1" si="85"/>
        <v>573.94115000000033</v>
      </c>
      <c r="I1105" s="12">
        <f ca="1">IF(AND('Data Analysis Addin'!$G1105&lt;='Data Analysis Addin'!$H1105,G1106&gt;H1106), 1, 0)</f>
        <v>0</v>
      </c>
      <c r="J1105" s="2">
        <f t="shared" ca="1" si="86"/>
        <v>0</v>
      </c>
      <c r="K1105" s="17">
        <f>YEAR('Data Analysis Addin'!$A1105)</f>
        <v>2025</v>
      </c>
    </row>
    <row r="1106" spans="1:11" x14ac:dyDescent="0.4">
      <c r="A1106" s="18">
        <v>45742</v>
      </c>
      <c r="B1106" s="9">
        <v>568.59</v>
      </c>
      <c r="C1106" s="11">
        <f t="shared" si="83"/>
        <v>589.45100000000014</v>
      </c>
      <c r="D1106" s="11">
        <f t="shared" si="87"/>
        <v>574.11080000000027</v>
      </c>
      <c r="E1106" s="9"/>
      <c r="F1106" s="9"/>
      <c r="G1106" s="9">
        <f t="shared" ca="1" si="84"/>
        <v>589.45100000000014</v>
      </c>
      <c r="H1106" s="9">
        <f t="shared" ca="1" si="85"/>
        <v>574.11080000000027</v>
      </c>
      <c r="I1106" s="12">
        <f ca="1">IF(AND('Data Analysis Addin'!$G1106&lt;='Data Analysis Addin'!$H1106,G1107&gt;H1107), 1, 0)</f>
        <v>0</v>
      </c>
      <c r="J1106" s="3">
        <f t="shared" ca="1" si="86"/>
        <v>0</v>
      </c>
      <c r="K1106" s="19">
        <f>YEAR('Data Analysis Addin'!$A1106)</f>
        <v>2025</v>
      </c>
    </row>
    <row r="1107" spans="1:11" x14ac:dyDescent="0.4">
      <c r="A1107" s="16">
        <v>45743</v>
      </c>
      <c r="B1107" s="8">
        <v>567.08000000000004</v>
      </c>
      <c r="C1107" s="11">
        <f t="shared" si="83"/>
        <v>589.14880000000016</v>
      </c>
      <c r="D1107" s="11">
        <f t="shared" si="87"/>
        <v>574.27615000000037</v>
      </c>
      <c r="E1107" s="8"/>
      <c r="F1107" s="8"/>
      <c r="G1107" s="8">
        <f t="shared" ca="1" si="84"/>
        <v>589.14880000000016</v>
      </c>
      <c r="H1107" s="8">
        <f t="shared" ca="1" si="85"/>
        <v>574.27615000000037</v>
      </c>
      <c r="I1107" s="12">
        <f ca="1">IF(AND('Data Analysis Addin'!$G1107&lt;='Data Analysis Addin'!$H1107,G1108&gt;H1108), 1, 0)</f>
        <v>0</v>
      </c>
      <c r="J1107" s="2">
        <f t="shared" ca="1" si="86"/>
        <v>0</v>
      </c>
      <c r="K1107" s="17">
        <f>YEAR('Data Analysis Addin'!$A1107)</f>
        <v>2025</v>
      </c>
    </row>
    <row r="1108" spans="1:11" x14ac:dyDescent="0.4">
      <c r="A1108" s="18">
        <v>45744</v>
      </c>
      <c r="B1108" s="9">
        <v>555.66</v>
      </c>
      <c r="C1108" s="11">
        <f t="shared" si="83"/>
        <v>588.40640000000008</v>
      </c>
      <c r="D1108" s="11">
        <f t="shared" si="87"/>
        <v>574.37615000000039</v>
      </c>
      <c r="E1108" s="9"/>
      <c r="F1108" s="9"/>
      <c r="G1108" s="9">
        <f t="shared" ca="1" si="84"/>
        <v>588.40640000000008</v>
      </c>
      <c r="H1108" s="9">
        <f t="shared" ca="1" si="85"/>
        <v>574.37615000000039</v>
      </c>
      <c r="I1108" s="12">
        <f ca="1">IF(AND('Data Analysis Addin'!$G1108&lt;='Data Analysis Addin'!$H1108,G1109&gt;H1109), 1, 0)</f>
        <v>0</v>
      </c>
      <c r="J1108" s="3">
        <f t="shared" ca="1" si="86"/>
        <v>0</v>
      </c>
      <c r="K1108" s="19">
        <f>YEAR('Data Analysis Addin'!$A1108)</f>
        <v>2025</v>
      </c>
    </row>
    <row r="1109" spans="1:11" x14ac:dyDescent="0.4">
      <c r="A1109" s="16">
        <v>45747</v>
      </c>
      <c r="B1109" s="8">
        <v>559.39</v>
      </c>
      <c r="C1109" s="11">
        <f t="shared" si="83"/>
        <v>587.76140000000009</v>
      </c>
      <c r="D1109" s="11">
        <f t="shared" si="87"/>
        <v>574.48835000000042</v>
      </c>
      <c r="E1109" s="8"/>
      <c r="F1109" s="8"/>
      <c r="G1109" s="8">
        <f t="shared" ca="1" si="84"/>
        <v>587.76140000000009</v>
      </c>
      <c r="H1109" s="8">
        <f t="shared" ca="1" si="85"/>
        <v>574.48835000000042</v>
      </c>
      <c r="I1109" s="12">
        <f ca="1">IF(AND('Data Analysis Addin'!$G1109&lt;='Data Analysis Addin'!$H1109,G1110&gt;H1110), 1, 0)</f>
        <v>0</v>
      </c>
      <c r="J1109" s="2">
        <f t="shared" ca="1" si="86"/>
        <v>0</v>
      </c>
      <c r="K1109" s="17">
        <f>YEAR('Data Analysis Addin'!$A1109)</f>
        <v>2025</v>
      </c>
    </row>
    <row r="1110" spans="1:11" x14ac:dyDescent="0.4">
      <c r="A1110" s="18">
        <v>45748</v>
      </c>
      <c r="B1110" s="9">
        <v>560.97</v>
      </c>
      <c r="C1110" s="11">
        <f t="shared" si="83"/>
        <v>587.02920000000006</v>
      </c>
      <c r="D1110" s="11">
        <f t="shared" si="87"/>
        <v>574.58640000000048</v>
      </c>
      <c r="E1110" s="9"/>
      <c r="F1110" s="9"/>
      <c r="G1110" s="9">
        <f t="shared" ca="1" si="84"/>
        <v>587.02920000000006</v>
      </c>
      <c r="H1110" s="9">
        <f t="shared" ca="1" si="85"/>
        <v>574.58640000000048</v>
      </c>
      <c r="I1110" s="12">
        <f ca="1">IF(AND('Data Analysis Addin'!$G1110&lt;='Data Analysis Addin'!$H1110,G1111&gt;H1111), 1, 0)</f>
        <v>0</v>
      </c>
      <c r="J1110" s="3">
        <f t="shared" ca="1" si="86"/>
        <v>0</v>
      </c>
      <c r="K1110" s="19">
        <f>YEAR('Data Analysis Addin'!$A1110)</f>
        <v>2025</v>
      </c>
    </row>
    <row r="1111" spans="1:11" x14ac:dyDescent="0.4">
      <c r="A1111" s="16">
        <v>45749</v>
      </c>
      <c r="B1111" s="8">
        <v>564.52</v>
      </c>
      <c r="C1111" s="11">
        <f t="shared" si="83"/>
        <v>586.25860000000011</v>
      </c>
      <c r="D1111" s="11">
        <f t="shared" si="87"/>
        <v>574.69675000000052</v>
      </c>
      <c r="E1111" s="8"/>
      <c r="F1111" s="8"/>
      <c r="G1111" s="8">
        <f t="shared" ca="1" si="84"/>
        <v>586.25860000000011</v>
      </c>
      <c r="H1111" s="8">
        <f t="shared" ca="1" si="85"/>
        <v>574.69675000000052</v>
      </c>
      <c r="I1111" s="12">
        <f ca="1">IF(AND('Data Analysis Addin'!$G1111&lt;='Data Analysis Addin'!$H1111,G1112&gt;H1112), 1, 0)</f>
        <v>0</v>
      </c>
      <c r="J1111" s="2">
        <f t="shared" ca="1" si="86"/>
        <v>0</v>
      </c>
      <c r="K1111" s="17">
        <f>YEAR('Data Analysis Addin'!$A1111)</f>
        <v>2025</v>
      </c>
    </row>
    <row r="1112" spans="1:11" x14ac:dyDescent="0.4">
      <c r="A1112" s="18">
        <v>45750</v>
      </c>
      <c r="B1112" s="9">
        <v>536.70000000000005</v>
      </c>
      <c r="C1112" s="11">
        <f t="shared" si="83"/>
        <v>584.86380000000008</v>
      </c>
      <c r="D1112" s="11">
        <f t="shared" si="87"/>
        <v>574.66635000000042</v>
      </c>
      <c r="E1112" s="9"/>
      <c r="F1112" s="9"/>
      <c r="G1112" s="9">
        <f t="shared" ca="1" si="84"/>
        <v>584.86380000000008</v>
      </c>
      <c r="H1112" s="9">
        <f t="shared" ca="1" si="85"/>
        <v>574.66635000000042</v>
      </c>
      <c r="I1112" s="12">
        <f ca="1">IF(AND('Data Analysis Addin'!$G1112&lt;='Data Analysis Addin'!$H1112,G1113&gt;H1113), 1, 0)</f>
        <v>0</v>
      </c>
      <c r="J1112" s="3">
        <f t="shared" ca="1" si="86"/>
        <v>0</v>
      </c>
      <c r="K1112" s="19">
        <f>YEAR('Data Analysis Addin'!$A1112)</f>
        <v>2025</v>
      </c>
    </row>
    <row r="1113" spans="1:11" x14ac:dyDescent="0.4">
      <c r="A1113" s="16">
        <v>45751</v>
      </c>
      <c r="B1113" s="8">
        <v>505.28</v>
      </c>
      <c r="C1113" s="11">
        <f t="shared" si="83"/>
        <v>582.77440000000013</v>
      </c>
      <c r="D1113" s="11">
        <f t="shared" si="87"/>
        <v>574.45725000000039</v>
      </c>
      <c r="E1113" s="8"/>
      <c r="F1113" s="8"/>
      <c r="G1113" s="8">
        <f t="shared" ca="1" si="84"/>
        <v>582.77440000000013</v>
      </c>
      <c r="H1113" s="8">
        <f t="shared" ca="1" si="85"/>
        <v>574.45725000000039</v>
      </c>
      <c r="I1113" s="12">
        <f ca="1">IF(AND('Data Analysis Addin'!$G1113&lt;='Data Analysis Addin'!$H1113,G1114&gt;H1114), 1, 0)</f>
        <v>0</v>
      </c>
      <c r="J1113" s="2">
        <f t="shared" ca="1" si="86"/>
        <v>0</v>
      </c>
      <c r="K1113" s="17">
        <f>YEAR('Data Analysis Addin'!$A1113)</f>
        <v>2025</v>
      </c>
    </row>
    <row r="1114" spans="1:11" x14ac:dyDescent="0.4">
      <c r="A1114" s="18">
        <v>45754</v>
      </c>
      <c r="B1114" s="9">
        <v>504.38</v>
      </c>
      <c r="C1114" s="11">
        <f t="shared" si="83"/>
        <v>580.70260000000007</v>
      </c>
      <c r="D1114" s="11">
        <f t="shared" si="87"/>
        <v>574.23670000000038</v>
      </c>
      <c r="E1114" s="9"/>
      <c r="F1114" s="9"/>
      <c r="G1114" s="9">
        <f t="shared" ca="1" si="84"/>
        <v>580.70260000000007</v>
      </c>
      <c r="H1114" s="9">
        <f t="shared" ca="1" si="85"/>
        <v>574.23670000000038</v>
      </c>
      <c r="I1114" s="12">
        <f ca="1">IF(AND('Data Analysis Addin'!$G1114&lt;='Data Analysis Addin'!$H1114,G1115&gt;H1115), 1, 0)</f>
        <v>0</v>
      </c>
      <c r="J1114" s="3">
        <f t="shared" ca="1" si="86"/>
        <v>0</v>
      </c>
      <c r="K1114" s="19">
        <f>YEAR('Data Analysis Addin'!$A1114)</f>
        <v>2025</v>
      </c>
    </row>
    <row r="1115" spans="1:11" x14ac:dyDescent="0.4">
      <c r="A1115" s="16">
        <v>45755</v>
      </c>
      <c r="B1115" s="8">
        <v>496.48</v>
      </c>
      <c r="C1115" s="11">
        <f t="shared" si="83"/>
        <v>578.64480000000015</v>
      </c>
      <c r="D1115" s="11">
        <f t="shared" si="87"/>
        <v>573.98410000000035</v>
      </c>
      <c r="E1115" s="8"/>
      <c r="F1115" s="8"/>
      <c r="G1115" s="8">
        <f t="shared" ca="1" si="84"/>
        <v>578.64480000000015</v>
      </c>
      <c r="H1115" s="8">
        <f t="shared" ca="1" si="85"/>
        <v>573.98410000000035</v>
      </c>
      <c r="I1115" s="12">
        <f ca="1">IF(AND('Data Analysis Addin'!$G1115&lt;='Data Analysis Addin'!$H1115,G1116&gt;H1116), 1, 0)</f>
        <v>0</v>
      </c>
      <c r="J1115" s="2">
        <f t="shared" ca="1" si="86"/>
        <v>0</v>
      </c>
      <c r="K1115" s="17">
        <f>YEAR('Data Analysis Addin'!$A1115)</f>
        <v>2025</v>
      </c>
    </row>
    <row r="1116" spans="1:11" x14ac:dyDescent="0.4">
      <c r="A1116" s="18">
        <v>45756</v>
      </c>
      <c r="B1116" s="9">
        <v>548.62</v>
      </c>
      <c r="C1116" s="11">
        <f t="shared" si="83"/>
        <v>577.52680000000009</v>
      </c>
      <c r="D1116" s="11">
        <f t="shared" si="87"/>
        <v>574.00465000000042</v>
      </c>
      <c r="E1116" s="9"/>
      <c r="F1116" s="9"/>
      <c r="G1116" s="9">
        <f t="shared" ca="1" si="84"/>
        <v>577.52680000000009</v>
      </c>
      <c r="H1116" s="9">
        <f t="shared" ca="1" si="85"/>
        <v>574.00465000000042</v>
      </c>
      <c r="I1116" s="12">
        <f ca="1">IF(AND('Data Analysis Addin'!$G1116&lt;='Data Analysis Addin'!$H1116,G1117&gt;H1117), 1, 0)</f>
        <v>0</v>
      </c>
      <c r="J1116" s="3">
        <f t="shared" ca="1" si="86"/>
        <v>0</v>
      </c>
      <c r="K1116" s="19">
        <f>YEAR('Data Analysis Addin'!$A1116)</f>
        <v>2025</v>
      </c>
    </row>
    <row r="1117" spans="1:11" x14ac:dyDescent="0.4">
      <c r="A1117" s="16">
        <v>45757</v>
      </c>
      <c r="B1117" s="8">
        <v>524.58000000000004</v>
      </c>
      <c r="C1117" s="11">
        <f t="shared" si="83"/>
        <v>575.98220000000003</v>
      </c>
      <c r="D1117" s="11">
        <f t="shared" si="87"/>
        <v>573.91385000000037</v>
      </c>
      <c r="E1117" s="8"/>
      <c r="F1117" s="8"/>
      <c r="G1117" s="8">
        <f t="shared" ca="1" si="84"/>
        <v>575.98220000000003</v>
      </c>
      <c r="H1117" s="8">
        <f t="shared" ca="1" si="85"/>
        <v>573.91385000000037</v>
      </c>
      <c r="I1117" s="12">
        <f ca="1">IF(AND('Data Analysis Addin'!$G1117&lt;='Data Analysis Addin'!$H1117,G1118&gt;H1118), 1, 0)</f>
        <v>0</v>
      </c>
      <c r="J1117" s="2">
        <f t="shared" ca="1" si="86"/>
        <v>0</v>
      </c>
      <c r="K1117" s="17">
        <f>YEAR('Data Analysis Addin'!$A1117)</f>
        <v>2025</v>
      </c>
    </row>
    <row r="1118" spans="1:11" x14ac:dyDescent="0.4">
      <c r="A1118" s="18">
        <v>45758</v>
      </c>
      <c r="B1118" s="9">
        <v>533.94000000000005</v>
      </c>
      <c r="C1118" s="11">
        <f t="shared" si="83"/>
        <v>574.56020000000024</v>
      </c>
      <c r="D1118" s="11">
        <f t="shared" si="87"/>
        <v>573.85940000000039</v>
      </c>
      <c r="E1118" s="9"/>
      <c r="F1118" s="9"/>
      <c r="G1118" s="9">
        <f t="shared" ca="1" si="84"/>
        <v>574.56020000000024</v>
      </c>
      <c r="H1118" s="9">
        <f t="shared" ca="1" si="85"/>
        <v>573.85940000000039</v>
      </c>
      <c r="I1118" s="12">
        <f ca="1">IF(AND('Data Analysis Addin'!$G1118&lt;='Data Analysis Addin'!$H1118,G1119&gt;H1119), 1, 0)</f>
        <v>0</v>
      </c>
      <c r="J1118" s="3">
        <f t="shared" ca="1" si="86"/>
        <v>0</v>
      </c>
      <c r="K1118" s="19">
        <f>YEAR('Data Analysis Addin'!$A1118)</f>
        <v>2025</v>
      </c>
    </row>
    <row r="1119" spans="1:11" x14ac:dyDescent="0.4">
      <c r="A1119" s="16">
        <v>45761</v>
      </c>
      <c r="B1119" s="8">
        <v>539.12</v>
      </c>
      <c r="C1119" s="11">
        <f t="shared" si="83"/>
        <v>573.30620000000022</v>
      </c>
      <c r="D1119" s="11">
        <f t="shared" si="87"/>
        <v>573.82745000000034</v>
      </c>
      <c r="E1119" s="8"/>
      <c r="F1119" s="8"/>
      <c r="G1119" s="8">
        <f t="shared" ca="1" si="84"/>
        <v>573.30620000000022</v>
      </c>
      <c r="H1119" s="8">
        <f t="shared" ca="1" si="85"/>
        <v>573.82745000000034</v>
      </c>
      <c r="I1119" s="12">
        <f ca="1">IF(AND('Data Analysis Addin'!$G1119&lt;='Data Analysis Addin'!$H1119,G1120&gt;H1120), 1, 0)</f>
        <v>0</v>
      </c>
      <c r="J1119" s="2">
        <f t="shared" ca="1" si="86"/>
        <v>1</v>
      </c>
      <c r="K1119" s="17">
        <f>YEAR('Data Analysis Addin'!$A1119)</f>
        <v>2025</v>
      </c>
    </row>
    <row r="1120" spans="1:11" x14ac:dyDescent="0.4">
      <c r="A1120" s="18">
        <v>45762</v>
      </c>
      <c r="B1120" s="9">
        <v>537.61</v>
      </c>
      <c r="C1120" s="11">
        <f t="shared" si="83"/>
        <v>572.10300000000018</v>
      </c>
      <c r="D1120" s="11">
        <f t="shared" si="87"/>
        <v>573.78365000000031</v>
      </c>
      <c r="E1120" s="9"/>
      <c r="F1120" s="9"/>
      <c r="G1120" s="9">
        <f t="shared" ca="1" si="84"/>
        <v>572.10300000000018</v>
      </c>
      <c r="H1120" s="9">
        <f t="shared" ca="1" si="85"/>
        <v>573.78365000000031</v>
      </c>
      <c r="I1120" s="12">
        <f ca="1">IF(AND('Data Analysis Addin'!$G1120&lt;='Data Analysis Addin'!$H1120,G1121&gt;H1121), 1, 0)</f>
        <v>0</v>
      </c>
      <c r="J1120" s="3">
        <f t="shared" ca="1" si="86"/>
        <v>1</v>
      </c>
      <c r="K1120" s="19">
        <f>YEAR('Data Analysis Addin'!$A1120)</f>
        <v>2025</v>
      </c>
    </row>
    <row r="1121" spans="1:11" x14ac:dyDescent="0.4">
      <c r="A1121" s="16">
        <v>45763</v>
      </c>
      <c r="B1121" s="8">
        <v>525.66</v>
      </c>
      <c r="C1121" s="11">
        <f t="shared" si="83"/>
        <v>570.58060000000023</v>
      </c>
      <c r="D1121" s="11">
        <f t="shared" si="87"/>
        <v>573.69085000000041</v>
      </c>
      <c r="E1121" s="8"/>
      <c r="F1121" s="8"/>
      <c r="G1121" s="8">
        <f t="shared" ca="1" si="84"/>
        <v>570.58060000000023</v>
      </c>
      <c r="H1121" s="8">
        <f t="shared" ca="1" si="85"/>
        <v>573.69085000000041</v>
      </c>
      <c r="I1121" s="12">
        <f ca="1">IF(AND('Data Analysis Addin'!$G1121&lt;='Data Analysis Addin'!$H1121,G1122&gt;H1122), 1, 0)</f>
        <v>0</v>
      </c>
      <c r="J1121" s="2">
        <f t="shared" ca="1" si="86"/>
        <v>1</v>
      </c>
      <c r="K1121" s="17">
        <f>YEAR('Data Analysis Addin'!$A1121)</f>
        <v>2025</v>
      </c>
    </row>
    <row r="1122" spans="1:11" x14ac:dyDescent="0.4">
      <c r="A1122" s="18">
        <v>45764</v>
      </c>
      <c r="B1122" s="9">
        <v>526.41</v>
      </c>
      <c r="C1122" s="11">
        <f t="shared" si="83"/>
        <v>569.02440000000013</v>
      </c>
      <c r="D1122" s="11">
        <f t="shared" si="87"/>
        <v>573.59620000000029</v>
      </c>
      <c r="E1122" s="9"/>
      <c r="F1122" s="9"/>
      <c r="G1122" s="9">
        <f t="shared" ca="1" si="84"/>
        <v>569.02440000000013</v>
      </c>
      <c r="H1122" s="9">
        <f t="shared" ca="1" si="85"/>
        <v>573.59620000000029</v>
      </c>
      <c r="I1122" s="12">
        <f ca="1">IF(AND('Data Analysis Addin'!$G1122&lt;='Data Analysis Addin'!$H1122,G1123&gt;H1123), 1, 0)</f>
        <v>0</v>
      </c>
      <c r="J1122" s="3">
        <f t="shared" ca="1" si="86"/>
        <v>1</v>
      </c>
      <c r="K1122" s="19">
        <f>YEAR('Data Analysis Addin'!$A1122)</f>
        <v>2025</v>
      </c>
    </row>
    <row r="1123" spans="1:11" x14ac:dyDescent="0.4">
      <c r="A1123" s="16">
        <v>45768</v>
      </c>
      <c r="B1123" s="8">
        <v>513.88</v>
      </c>
      <c r="C1123" s="11">
        <f t="shared" si="83"/>
        <v>567.17560000000014</v>
      </c>
      <c r="D1123" s="11">
        <f t="shared" si="87"/>
        <v>573.42055000000039</v>
      </c>
      <c r="E1123" s="8"/>
      <c r="F1123" s="8"/>
      <c r="G1123" s="8">
        <f t="shared" ca="1" si="84"/>
        <v>567.17560000000014</v>
      </c>
      <c r="H1123" s="8">
        <f t="shared" ca="1" si="85"/>
        <v>573.42055000000039</v>
      </c>
      <c r="I1123" s="12">
        <f ca="1">IF(AND('Data Analysis Addin'!$G1123&lt;='Data Analysis Addin'!$H1123,G1124&gt;H1124), 1, 0)</f>
        <v>0</v>
      </c>
      <c r="J1123" s="2">
        <f t="shared" ca="1" si="86"/>
        <v>1</v>
      </c>
      <c r="K1123" s="17">
        <f>YEAR('Data Analysis Addin'!$A1123)</f>
        <v>2025</v>
      </c>
    </row>
    <row r="1124" spans="1:11" x14ac:dyDescent="0.4">
      <c r="A1124" s="18">
        <v>45769</v>
      </c>
      <c r="B1124" s="9">
        <v>527.25</v>
      </c>
      <c r="C1124" s="11">
        <f t="shared" si="83"/>
        <v>565.7052000000001</v>
      </c>
      <c r="D1124" s="11">
        <f t="shared" si="87"/>
        <v>573.29950000000042</v>
      </c>
      <c r="E1124" s="9"/>
      <c r="F1124" s="9"/>
      <c r="G1124" s="9">
        <f t="shared" ca="1" si="84"/>
        <v>565.7052000000001</v>
      </c>
      <c r="H1124" s="9">
        <f t="shared" ca="1" si="85"/>
        <v>573.29950000000042</v>
      </c>
      <c r="I1124" s="12">
        <f ca="1">IF(AND('Data Analysis Addin'!$G1124&lt;='Data Analysis Addin'!$H1124,G1125&gt;H1125), 1, 0)</f>
        <v>0</v>
      </c>
      <c r="J1124" s="3">
        <f t="shared" ca="1" si="86"/>
        <v>1</v>
      </c>
      <c r="K1124" s="19">
        <f>YEAR('Data Analysis Addin'!$A1124)</f>
        <v>2025</v>
      </c>
    </row>
    <row r="1125" spans="1:11" x14ac:dyDescent="0.4">
      <c r="A1125" s="16">
        <v>45770</v>
      </c>
      <c r="B1125" s="8">
        <v>535.41999999999996</v>
      </c>
      <c r="C1125" s="11">
        <f t="shared" si="83"/>
        <v>564.31659999999999</v>
      </c>
      <c r="D1125" s="11">
        <f t="shared" si="87"/>
        <v>573.20340000000033</v>
      </c>
      <c r="E1125" s="8"/>
      <c r="F1125" s="8"/>
      <c r="G1125" s="8">
        <f t="shared" ca="1" si="84"/>
        <v>564.31659999999999</v>
      </c>
      <c r="H1125" s="8">
        <f t="shared" ca="1" si="85"/>
        <v>573.20340000000033</v>
      </c>
      <c r="I1125" s="12">
        <f ca="1">IF(AND('Data Analysis Addin'!$G1125&lt;='Data Analysis Addin'!$H1125,G1126&gt;H1126), 1, 0)</f>
        <v>0</v>
      </c>
      <c r="J1125" s="2">
        <f t="shared" ca="1" si="86"/>
        <v>1</v>
      </c>
      <c r="K1125" s="17">
        <f>YEAR('Data Analysis Addin'!$A1125)</f>
        <v>2025</v>
      </c>
    </row>
    <row r="1126" spans="1:11" x14ac:dyDescent="0.4">
      <c r="A1126" s="18">
        <v>45771</v>
      </c>
      <c r="B1126" s="9">
        <v>546.69000000000005</v>
      </c>
      <c r="C1126" s="11">
        <f t="shared" si="83"/>
        <v>563.14419999999996</v>
      </c>
      <c r="D1126" s="11">
        <f t="shared" si="87"/>
        <v>573.16045000000031</v>
      </c>
      <c r="E1126" s="9"/>
      <c r="F1126" s="9"/>
      <c r="G1126" s="9">
        <f t="shared" ca="1" si="84"/>
        <v>563.14419999999996</v>
      </c>
      <c r="H1126" s="9">
        <f t="shared" ca="1" si="85"/>
        <v>573.16045000000031</v>
      </c>
      <c r="I1126" s="12">
        <f ca="1">IF(AND('Data Analysis Addin'!$G1126&lt;='Data Analysis Addin'!$H1126,G1127&gt;H1127), 1, 0)</f>
        <v>0</v>
      </c>
      <c r="J1126" s="3">
        <f t="shared" ca="1" si="86"/>
        <v>1</v>
      </c>
      <c r="K1126" s="19">
        <f>YEAR('Data Analysis Addin'!$A1126)</f>
        <v>2025</v>
      </c>
    </row>
    <row r="1127" spans="1:11" x14ac:dyDescent="0.4">
      <c r="A1127" s="16">
        <v>45772</v>
      </c>
      <c r="B1127" s="8">
        <v>550.64</v>
      </c>
      <c r="C1127" s="11">
        <f t="shared" si="83"/>
        <v>562.08979999999997</v>
      </c>
      <c r="D1127" s="11">
        <f t="shared" si="87"/>
        <v>573.13455000000033</v>
      </c>
      <c r="E1127" s="8"/>
      <c r="F1127" s="8"/>
      <c r="G1127" s="8">
        <f t="shared" ca="1" si="84"/>
        <v>562.08979999999997</v>
      </c>
      <c r="H1127" s="8">
        <f t="shared" ca="1" si="85"/>
        <v>573.13455000000033</v>
      </c>
      <c r="I1127" s="12">
        <f ca="1">IF(AND('Data Analysis Addin'!$G1127&lt;='Data Analysis Addin'!$H1127,G1128&gt;H1128), 1, 0)</f>
        <v>0</v>
      </c>
      <c r="J1127" s="2">
        <f t="shared" ca="1" si="86"/>
        <v>1</v>
      </c>
      <c r="K1127" s="17">
        <f>YEAR('Data Analysis Addin'!$A1127)</f>
        <v>2025</v>
      </c>
    </row>
    <row r="1128" spans="1:11" x14ac:dyDescent="0.4">
      <c r="A1128" s="18">
        <v>45775</v>
      </c>
      <c r="B1128" s="9">
        <v>550.85</v>
      </c>
      <c r="C1128" s="11">
        <f t="shared" si="83"/>
        <v>560.91219999999998</v>
      </c>
      <c r="D1128" s="11">
        <f t="shared" si="87"/>
        <v>573.0822000000004</v>
      </c>
      <c r="E1128" s="9"/>
      <c r="F1128" s="9"/>
      <c r="G1128" s="9">
        <f t="shared" ca="1" si="84"/>
        <v>560.91219999999998</v>
      </c>
      <c r="H1128" s="9">
        <f t="shared" ca="1" si="85"/>
        <v>573.0822000000004</v>
      </c>
      <c r="I1128" s="12">
        <f ca="1">IF(AND('Data Analysis Addin'!$G1128&lt;='Data Analysis Addin'!$H1128,G1129&gt;H1129), 1, 0)</f>
        <v>0</v>
      </c>
      <c r="J1128" s="3">
        <f t="shared" ca="1" si="86"/>
        <v>1</v>
      </c>
      <c r="K1128" s="19">
        <f>YEAR('Data Analysis Addin'!$A1128)</f>
        <v>2025</v>
      </c>
    </row>
    <row r="1129" spans="1:11" x14ac:dyDescent="0.4">
      <c r="A1129" s="16">
        <v>45776</v>
      </c>
      <c r="B1129" s="8">
        <v>554.32000000000005</v>
      </c>
      <c r="C1129" s="11">
        <f t="shared" si="83"/>
        <v>559.80459999999994</v>
      </c>
      <c r="D1129" s="11">
        <f t="shared" si="87"/>
        <v>573.07140000000038</v>
      </c>
      <c r="E1129" s="8"/>
      <c r="F1129" s="8"/>
      <c r="G1129" s="8">
        <f t="shared" ca="1" si="84"/>
        <v>559.80459999999994</v>
      </c>
      <c r="H1129" s="8">
        <f t="shared" ca="1" si="85"/>
        <v>573.07140000000038</v>
      </c>
      <c r="I1129" s="12">
        <f ca="1">IF(AND('Data Analysis Addin'!$G1129&lt;='Data Analysis Addin'!$H1129,G1130&gt;H1130), 1, 0)</f>
        <v>0</v>
      </c>
      <c r="J1129" s="2">
        <f t="shared" ca="1" si="86"/>
        <v>1</v>
      </c>
      <c r="K1129" s="17">
        <f>YEAR('Data Analysis Addin'!$A1129)</f>
        <v>2025</v>
      </c>
    </row>
    <row r="1130" spans="1:11" x14ac:dyDescent="0.4">
      <c r="A1130" s="18">
        <v>45777</v>
      </c>
      <c r="B1130" s="9">
        <v>554.54</v>
      </c>
      <c r="C1130" s="11">
        <f t="shared" si="83"/>
        <v>558.66559999999993</v>
      </c>
      <c r="D1130" s="11">
        <f t="shared" si="87"/>
        <v>573.04415000000029</v>
      </c>
      <c r="E1130" s="9"/>
      <c r="F1130" s="9"/>
      <c r="G1130" s="9">
        <f t="shared" ca="1" si="84"/>
        <v>558.66559999999993</v>
      </c>
      <c r="H1130" s="9">
        <f t="shared" ca="1" si="85"/>
        <v>573.04415000000029</v>
      </c>
      <c r="I1130" s="12">
        <f ca="1">IF(AND('Data Analysis Addin'!$G1130&lt;='Data Analysis Addin'!$H1130,G1131&gt;H1131), 1, 0)</f>
        <v>0</v>
      </c>
      <c r="J1130" s="3">
        <f t="shared" ca="1" si="86"/>
        <v>1</v>
      </c>
      <c r="K1130" s="19">
        <f>YEAR('Data Analysis Addin'!$A1130)</f>
        <v>2025</v>
      </c>
    </row>
    <row r="1131" spans="1:11" x14ac:dyDescent="0.4">
      <c r="A1131" s="16">
        <v>45778</v>
      </c>
      <c r="B1131" s="8">
        <v>558.47</v>
      </c>
      <c r="C1131" s="11">
        <f t="shared" si="83"/>
        <v>557.57639999999992</v>
      </c>
      <c r="D1131" s="11">
        <f t="shared" si="87"/>
        <v>573.02885000000038</v>
      </c>
      <c r="E1131" s="8"/>
      <c r="F1131" s="8"/>
      <c r="G1131" s="8">
        <f t="shared" ca="1" si="84"/>
        <v>557.57639999999992</v>
      </c>
      <c r="H1131" s="8">
        <f t="shared" ca="1" si="85"/>
        <v>573.02885000000038</v>
      </c>
      <c r="I1131" s="12">
        <f ca="1">IF(AND('Data Analysis Addin'!$G1131&lt;='Data Analysis Addin'!$H1131,G1132&gt;H1132), 1, 0)</f>
        <v>0</v>
      </c>
      <c r="J1131" s="2">
        <f t="shared" ca="1" si="86"/>
        <v>1</v>
      </c>
      <c r="K1131" s="17">
        <f>YEAR('Data Analysis Addin'!$A1131)</f>
        <v>2025</v>
      </c>
    </row>
    <row r="1132" spans="1:11" x14ac:dyDescent="0.4">
      <c r="A1132" s="18">
        <v>45779</v>
      </c>
      <c r="B1132" s="9">
        <v>566.76</v>
      </c>
      <c r="C1132" s="11">
        <f t="shared" si="83"/>
        <v>556.70399999999984</v>
      </c>
      <c r="D1132" s="11">
        <f t="shared" si="87"/>
        <v>573.03835000000038</v>
      </c>
      <c r="E1132" s="9"/>
      <c r="F1132" s="9"/>
      <c r="G1132" s="9">
        <f t="shared" ca="1" si="84"/>
        <v>556.70399999999984</v>
      </c>
      <c r="H1132" s="9">
        <f t="shared" ca="1" si="85"/>
        <v>573.03835000000038</v>
      </c>
      <c r="I1132" s="12">
        <f ca="1">IF(AND('Data Analysis Addin'!$G1132&lt;='Data Analysis Addin'!$H1132,G1133&gt;H1133), 1, 0)</f>
        <v>0</v>
      </c>
      <c r="J1132" s="3">
        <f t="shared" ca="1" si="86"/>
        <v>1</v>
      </c>
      <c r="K1132" s="19">
        <f>YEAR('Data Analysis Addin'!$A1132)</f>
        <v>2025</v>
      </c>
    </row>
    <row r="1133" spans="1:11" x14ac:dyDescent="0.4">
      <c r="A1133" s="16">
        <v>45782</v>
      </c>
      <c r="B1133" s="8">
        <v>563.51</v>
      </c>
      <c r="C1133" s="11">
        <f t="shared" si="83"/>
        <v>555.97539999999981</v>
      </c>
      <c r="D1133" s="11">
        <f t="shared" si="87"/>
        <v>573.07120000000032</v>
      </c>
      <c r="E1133" s="8"/>
      <c r="F1133" s="8"/>
      <c r="G1133" s="8">
        <f t="shared" ca="1" si="84"/>
        <v>555.97539999999981</v>
      </c>
      <c r="H1133" s="8">
        <f t="shared" ca="1" si="85"/>
        <v>573.07120000000032</v>
      </c>
      <c r="I1133" s="12">
        <f ca="1">IF(AND('Data Analysis Addin'!$G1133&lt;='Data Analysis Addin'!$H1133,G1134&gt;H1134), 1, 0)</f>
        <v>0</v>
      </c>
      <c r="J1133" s="2">
        <f t="shared" ca="1" si="86"/>
        <v>1</v>
      </c>
      <c r="K1133" s="17">
        <f>YEAR('Data Analysis Addin'!$A1133)</f>
        <v>2025</v>
      </c>
    </row>
    <row r="1134" spans="1:11" x14ac:dyDescent="0.4">
      <c r="A1134" s="18">
        <v>45783</v>
      </c>
      <c r="B1134" s="9">
        <v>558.79999999999995</v>
      </c>
      <c r="C1134" s="11">
        <f t="shared" si="83"/>
        <v>555.20719999999983</v>
      </c>
      <c r="D1134" s="11">
        <f t="shared" si="87"/>
        <v>573.10190000000034</v>
      </c>
      <c r="E1134" s="9"/>
      <c r="F1134" s="9"/>
      <c r="G1134" s="9">
        <f t="shared" ca="1" si="84"/>
        <v>555.20719999999983</v>
      </c>
      <c r="H1134" s="9">
        <f t="shared" ca="1" si="85"/>
        <v>573.10190000000034</v>
      </c>
      <c r="I1134" s="12">
        <f ca="1">IF(AND('Data Analysis Addin'!$G1134&lt;='Data Analysis Addin'!$H1134,G1135&gt;H1135), 1, 0)</f>
        <v>0</v>
      </c>
      <c r="J1134" s="3">
        <f t="shared" ca="1" si="86"/>
        <v>1</v>
      </c>
      <c r="K1134" s="19">
        <f>YEAR('Data Analysis Addin'!$A1134)</f>
        <v>2025</v>
      </c>
    </row>
    <row r="1135" spans="1:11" x14ac:dyDescent="0.4">
      <c r="A1135" s="16">
        <v>45784</v>
      </c>
      <c r="B1135" s="8">
        <v>561.15</v>
      </c>
      <c r="C1135" s="11">
        <f t="shared" si="83"/>
        <v>554.54539999999986</v>
      </c>
      <c r="D1135" s="11">
        <f t="shared" si="87"/>
        <v>573.16270000000031</v>
      </c>
      <c r="E1135" s="8"/>
      <c r="F1135" s="8"/>
      <c r="G1135" s="8">
        <f t="shared" ca="1" si="84"/>
        <v>554.54539999999986</v>
      </c>
      <c r="H1135" s="8">
        <f t="shared" ca="1" si="85"/>
        <v>573.16270000000031</v>
      </c>
      <c r="I1135" s="12">
        <f ca="1">IF(AND('Data Analysis Addin'!$G1135&lt;='Data Analysis Addin'!$H1135,G1136&gt;H1136), 1, 0)</f>
        <v>0</v>
      </c>
      <c r="J1135" s="2">
        <f t="shared" ca="1" si="86"/>
        <v>1</v>
      </c>
      <c r="K1135" s="17">
        <f>YEAR('Data Analysis Addin'!$A1135)</f>
        <v>2025</v>
      </c>
    </row>
    <row r="1136" spans="1:11" x14ac:dyDescent="0.4">
      <c r="A1136" s="18">
        <v>45785</v>
      </c>
      <c r="B1136" s="9">
        <v>565.05999999999995</v>
      </c>
      <c r="C1136" s="11">
        <f t="shared" si="83"/>
        <v>553.95579999999984</v>
      </c>
      <c r="D1136" s="11">
        <f t="shared" si="87"/>
        <v>573.21475000000032</v>
      </c>
      <c r="E1136" s="9"/>
      <c r="F1136" s="9"/>
      <c r="G1136" s="9">
        <f t="shared" ca="1" si="84"/>
        <v>553.95579999999984</v>
      </c>
      <c r="H1136" s="9">
        <f t="shared" ca="1" si="85"/>
        <v>573.21475000000032</v>
      </c>
      <c r="I1136" s="12">
        <f ca="1">IF(AND('Data Analysis Addin'!$G1136&lt;='Data Analysis Addin'!$H1136,G1137&gt;H1137), 1, 0)</f>
        <v>0</v>
      </c>
      <c r="J1136" s="3">
        <f t="shared" ca="1" si="86"/>
        <v>1</v>
      </c>
      <c r="K1136" s="19">
        <f>YEAR('Data Analysis Addin'!$A1136)</f>
        <v>2025</v>
      </c>
    </row>
    <row r="1137" spans="1:11" x14ac:dyDescent="0.4">
      <c r="A1137" s="16">
        <v>45786</v>
      </c>
      <c r="B1137" s="8">
        <v>564.34</v>
      </c>
      <c r="C1137" s="11">
        <f t="shared" si="83"/>
        <v>553.5415999999999</v>
      </c>
      <c r="D1137" s="11">
        <f t="shared" si="87"/>
        <v>573.26755000000026</v>
      </c>
      <c r="E1137" s="8"/>
      <c r="F1137" s="8"/>
      <c r="G1137" s="8">
        <f t="shared" ca="1" si="84"/>
        <v>553.5415999999999</v>
      </c>
      <c r="H1137" s="8">
        <f t="shared" ca="1" si="85"/>
        <v>573.26755000000026</v>
      </c>
      <c r="I1137" s="12">
        <f ca="1">IF(AND('Data Analysis Addin'!$G1137&lt;='Data Analysis Addin'!$H1137,G1138&gt;H1138), 1, 0)</f>
        <v>0</v>
      </c>
      <c r="J1137" s="2">
        <f t="shared" ca="1" si="86"/>
        <v>1</v>
      </c>
      <c r="K1137" s="17">
        <f>YEAR('Data Analysis Addin'!$A1137)</f>
        <v>2025</v>
      </c>
    </row>
    <row r="1138" spans="1:11" x14ac:dyDescent="0.4">
      <c r="A1138" s="18">
        <v>45789</v>
      </c>
      <c r="B1138" s="9">
        <v>582.99</v>
      </c>
      <c r="C1138" s="11">
        <f t="shared" si="83"/>
        <v>553.31779999999992</v>
      </c>
      <c r="D1138" s="11">
        <f t="shared" si="87"/>
        <v>573.47635000000037</v>
      </c>
      <c r="E1138" s="9"/>
      <c r="F1138" s="9"/>
      <c r="G1138" s="9">
        <f t="shared" ca="1" si="84"/>
        <v>553.31779999999992</v>
      </c>
      <c r="H1138" s="9">
        <f t="shared" ca="1" si="85"/>
        <v>573.47635000000037</v>
      </c>
      <c r="I1138" s="12">
        <f ca="1">IF(AND('Data Analysis Addin'!$G1138&lt;='Data Analysis Addin'!$H1138,G1139&gt;H1139), 1, 0)</f>
        <v>0</v>
      </c>
      <c r="J1138" s="3">
        <f t="shared" ca="1" si="86"/>
        <v>1</v>
      </c>
      <c r="K1138" s="19">
        <f>YEAR('Data Analysis Addin'!$A1138)</f>
        <v>2025</v>
      </c>
    </row>
    <row r="1139" spans="1:11" x14ac:dyDescent="0.4">
      <c r="A1139" s="16">
        <v>45790</v>
      </c>
      <c r="B1139" s="8">
        <v>586.84</v>
      </c>
      <c r="C1139" s="11">
        <f t="shared" si="83"/>
        <v>553.37919999999997</v>
      </c>
      <c r="D1139" s="11">
        <f t="shared" si="87"/>
        <v>573.71850000000029</v>
      </c>
      <c r="E1139" s="8"/>
      <c r="F1139" s="8"/>
      <c r="G1139" s="8">
        <f t="shared" ca="1" si="84"/>
        <v>553.37919999999997</v>
      </c>
      <c r="H1139" s="8">
        <f t="shared" ca="1" si="85"/>
        <v>573.71850000000029</v>
      </c>
      <c r="I1139" s="12">
        <f ca="1">IF(AND('Data Analysis Addin'!$G1139&lt;='Data Analysis Addin'!$H1139,G1140&gt;H1140), 1, 0)</f>
        <v>0</v>
      </c>
      <c r="J1139" s="2">
        <f t="shared" ca="1" si="86"/>
        <v>1</v>
      </c>
      <c r="K1139" s="17">
        <f>YEAR('Data Analysis Addin'!$A1139)</f>
        <v>2025</v>
      </c>
    </row>
    <row r="1140" spans="1:11" x14ac:dyDescent="0.4">
      <c r="A1140" s="18">
        <v>45791</v>
      </c>
      <c r="B1140" s="9">
        <v>587.59</v>
      </c>
      <c r="C1140" s="11">
        <f t="shared" ref="C1140:C1203" si="88">AVERAGE(B1091:B1140)</f>
        <v>553.59379999999999</v>
      </c>
      <c r="D1140" s="11">
        <f t="shared" si="87"/>
        <v>573.93425000000025</v>
      </c>
      <c r="E1140" s="9"/>
      <c r="F1140" s="9"/>
      <c r="G1140" s="9">
        <f t="shared" ca="1" si="84"/>
        <v>553.59379999999999</v>
      </c>
      <c r="H1140" s="9">
        <f t="shared" ca="1" si="85"/>
        <v>573.93425000000025</v>
      </c>
      <c r="I1140" s="12">
        <f ca="1">IF(AND('Data Analysis Addin'!$G1140&lt;='Data Analysis Addin'!$H1140,G1141&gt;H1141), 1, 0)</f>
        <v>0</v>
      </c>
      <c r="J1140" s="3">
        <f t="shared" ca="1" si="86"/>
        <v>1</v>
      </c>
      <c r="K1140" s="19">
        <f>YEAR('Data Analysis Addin'!$A1140)</f>
        <v>2025</v>
      </c>
    </row>
    <row r="1141" spans="1:11" x14ac:dyDescent="0.4">
      <c r="A1141" s="16">
        <v>45792</v>
      </c>
      <c r="B1141" s="8">
        <v>590.46</v>
      </c>
      <c r="C1141" s="11">
        <f t="shared" si="88"/>
        <v>553.74180000000001</v>
      </c>
      <c r="D1141" s="11">
        <f t="shared" si="87"/>
        <v>574.16275000000019</v>
      </c>
      <c r="E1141" s="8"/>
      <c r="F1141" s="8"/>
      <c r="G1141" s="8">
        <f t="shared" ca="1" si="84"/>
        <v>553.74180000000001</v>
      </c>
      <c r="H1141" s="8">
        <f t="shared" ca="1" si="85"/>
        <v>574.16275000000019</v>
      </c>
      <c r="I1141" s="12">
        <f ca="1">IF(AND('Data Analysis Addin'!$G1141&lt;='Data Analysis Addin'!$H1141,G1142&gt;H1142), 1, 0)</f>
        <v>0</v>
      </c>
      <c r="J1141" s="2">
        <f t="shared" ca="1" si="86"/>
        <v>1</v>
      </c>
      <c r="K1141" s="17">
        <f>YEAR('Data Analysis Addin'!$A1141)</f>
        <v>2025</v>
      </c>
    </row>
    <row r="1142" spans="1:11" x14ac:dyDescent="0.4">
      <c r="A1142" s="18">
        <v>45793</v>
      </c>
      <c r="B1142" s="9">
        <v>594.20000000000005</v>
      </c>
      <c r="C1142" s="11">
        <f t="shared" si="88"/>
        <v>554.17160000000001</v>
      </c>
      <c r="D1142" s="11">
        <f t="shared" si="87"/>
        <v>574.42375000000027</v>
      </c>
      <c r="E1142" s="9"/>
      <c r="F1142" s="9"/>
      <c r="G1142" s="9">
        <f t="shared" ca="1" si="84"/>
        <v>554.17160000000001</v>
      </c>
      <c r="H1142" s="9">
        <f t="shared" ca="1" si="85"/>
        <v>574.42375000000027</v>
      </c>
      <c r="I1142" s="12">
        <f ca="1">IF(AND('Data Analysis Addin'!$G1142&lt;='Data Analysis Addin'!$H1142,G1143&gt;H1143), 1, 0)</f>
        <v>0</v>
      </c>
      <c r="J1142" s="3">
        <f t="shared" ca="1" si="86"/>
        <v>1</v>
      </c>
      <c r="K1142" s="19">
        <f>YEAR('Data Analysis Addin'!$A1142)</f>
        <v>2025</v>
      </c>
    </row>
    <row r="1143" spans="1:11" x14ac:dyDescent="0.4">
      <c r="A1143" s="16">
        <v>45796</v>
      </c>
      <c r="B1143" s="8">
        <v>594.85</v>
      </c>
      <c r="C1143" s="11">
        <f t="shared" si="88"/>
        <v>554.55020000000002</v>
      </c>
      <c r="D1143" s="11">
        <f t="shared" si="87"/>
        <v>574.64395000000025</v>
      </c>
      <c r="E1143" s="8"/>
      <c r="F1143" s="8"/>
      <c r="G1143" s="8">
        <f t="shared" ca="1" si="84"/>
        <v>554.55020000000002</v>
      </c>
      <c r="H1143" s="8">
        <f t="shared" ca="1" si="85"/>
        <v>574.64395000000025</v>
      </c>
      <c r="I1143" s="12">
        <f ca="1">IF(AND('Data Analysis Addin'!$G1143&lt;='Data Analysis Addin'!$H1143,G1144&gt;H1144), 1, 0)</f>
        <v>0</v>
      </c>
      <c r="J1143" s="2">
        <f t="shared" ca="1" si="86"/>
        <v>1</v>
      </c>
      <c r="K1143" s="17">
        <f>YEAR('Data Analysis Addin'!$A1143)</f>
        <v>2025</v>
      </c>
    </row>
    <row r="1144" spans="1:11" x14ac:dyDescent="0.4">
      <c r="A1144" s="18">
        <v>45797</v>
      </c>
      <c r="B1144" s="9">
        <v>592.85</v>
      </c>
      <c r="C1144" s="11">
        <f t="shared" si="88"/>
        <v>555.19560000000001</v>
      </c>
      <c r="D1144" s="11">
        <f t="shared" si="87"/>
        <v>574.89315000000033</v>
      </c>
      <c r="E1144" s="9"/>
      <c r="F1144" s="9"/>
      <c r="G1144" s="9">
        <f t="shared" ca="1" si="84"/>
        <v>555.19560000000001</v>
      </c>
      <c r="H1144" s="9">
        <f t="shared" ca="1" si="85"/>
        <v>574.89315000000033</v>
      </c>
      <c r="I1144" s="12">
        <f ca="1">IF(AND('Data Analysis Addin'!$G1144&lt;='Data Analysis Addin'!$H1144,G1145&gt;H1145), 1, 0)</f>
        <v>0</v>
      </c>
      <c r="J1144" s="3">
        <f t="shared" ca="1" si="86"/>
        <v>1</v>
      </c>
      <c r="K1144" s="19">
        <f>YEAR('Data Analysis Addin'!$A1144)</f>
        <v>2025</v>
      </c>
    </row>
    <row r="1145" spans="1:11" x14ac:dyDescent="0.4">
      <c r="A1145" s="16">
        <v>45798</v>
      </c>
      <c r="B1145" s="8">
        <v>582.86</v>
      </c>
      <c r="C1145" s="11">
        <f t="shared" si="88"/>
        <v>555.73440000000005</v>
      </c>
      <c r="D1145" s="11">
        <f t="shared" si="87"/>
        <v>575.14295000000038</v>
      </c>
      <c r="E1145" s="8"/>
      <c r="F1145" s="8"/>
      <c r="G1145" s="8">
        <f t="shared" ca="1" si="84"/>
        <v>555.73440000000005</v>
      </c>
      <c r="H1145" s="8">
        <f t="shared" ca="1" si="85"/>
        <v>575.14295000000038</v>
      </c>
      <c r="I1145" s="12">
        <f ca="1">IF(AND('Data Analysis Addin'!$G1145&lt;='Data Analysis Addin'!$H1145,G1146&gt;H1146), 1, 0)</f>
        <v>0</v>
      </c>
      <c r="J1145" s="2">
        <f t="shared" ca="1" si="86"/>
        <v>1</v>
      </c>
      <c r="K1145" s="17">
        <f>YEAR('Data Analysis Addin'!$A1145)</f>
        <v>2025</v>
      </c>
    </row>
    <row r="1146" spans="1:11" x14ac:dyDescent="0.4">
      <c r="A1146" s="18">
        <v>45799</v>
      </c>
      <c r="B1146" s="9">
        <v>583.09</v>
      </c>
      <c r="C1146" s="11">
        <f t="shared" si="88"/>
        <v>556.2188000000001</v>
      </c>
      <c r="D1146" s="11">
        <f t="shared" si="87"/>
        <v>575.47150000000033</v>
      </c>
      <c r="E1146" s="9"/>
      <c r="F1146" s="9"/>
      <c r="G1146" s="9">
        <f t="shared" ca="1" si="84"/>
        <v>556.2188000000001</v>
      </c>
      <c r="H1146" s="9">
        <f t="shared" ca="1" si="85"/>
        <v>575.47150000000033</v>
      </c>
      <c r="I1146" s="12">
        <f ca="1">IF(AND('Data Analysis Addin'!$G1146&lt;='Data Analysis Addin'!$H1146,G1147&gt;H1147), 1, 0)</f>
        <v>0</v>
      </c>
      <c r="J1146" s="3">
        <f t="shared" ca="1" si="86"/>
        <v>1</v>
      </c>
      <c r="K1146" s="19">
        <f>YEAR('Data Analysis Addin'!$A1146)</f>
        <v>2025</v>
      </c>
    </row>
    <row r="1147" spans="1:11" x14ac:dyDescent="0.4">
      <c r="A1147" s="16">
        <v>45800</v>
      </c>
      <c r="B1147" s="8">
        <v>579.11</v>
      </c>
      <c r="C1147" s="11">
        <f t="shared" si="88"/>
        <v>556.77260000000012</v>
      </c>
      <c r="D1147" s="11">
        <f t="shared" si="87"/>
        <v>575.75630000000035</v>
      </c>
      <c r="E1147" s="8"/>
      <c r="F1147" s="8"/>
      <c r="G1147" s="8">
        <f t="shared" ca="1" si="84"/>
        <v>556.77260000000012</v>
      </c>
      <c r="H1147" s="8">
        <f t="shared" ca="1" si="85"/>
        <v>575.75630000000035</v>
      </c>
      <c r="I1147" s="12">
        <f ca="1">IF(AND('Data Analysis Addin'!$G1147&lt;='Data Analysis Addin'!$H1147,G1148&gt;H1148), 1, 0)</f>
        <v>0</v>
      </c>
      <c r="J1147" s="2">
        <f t="shared" ca="1" si="86"/>
        <v>1</v>
      </c>
      <c r="K1147" s="17">
        <f>YEAR('Data Analysis Addin'!$A1147)</f>
        <v>2025</v>
      </c>
    </row>
    <row r="1148" spans="1:11" x14ac:dyDescent="0.4">
      <c r="A1148" s="18">
        <v>45804</v>
      </c>
      <c r="B1148" s="9">
        <v>591.15</v>
      </c>
      <c r="C1148" s="11">
        <f t="shared" si="88"/>
        <v>557.33940000000007</v>
      </c>
      <c r="D1148" s="11">
        <f t="shared" si="87"/>
        <v>576.11875000000032</v>
      </c>
      <c r="E1148" s="9"/>
      <c r="F1148" s="9"/>
      <c r="G1148" s="9">
        <f t="shared" ca="1" si="84"/>
        <v>557.33940000000007</v>
      </c>
      <c r="H1148" s="9">
        <f t="shared" ca="1" si="85"/>
        <v>576.11875000000032</v>
      </c>
      <c r="I1148" s="12">
        <f ca="1">IF(AND('Data Analysis Addin'!$G1148&lt;='Data Analysis Addin'!$H1148,G1149&gt;H1149), 1, 0)</f>
        <v>0</v>
      </c>
      <c r="J1148" s="3">
        <f t="shared" ca="1" si="86"/>
        <v>1</v>
      </c>
      <c r="K1148" s="19">
        <f>YEAR('Data Analysis Addin'!$A1148)</f>
        <v>2025</v>
      </c>
    </row>
    <row r="1149" spans="1:11" x14ac:dyDescent="0.4">
      <c r="A1149" s="16">
        <v>45805</v>
      </c>
      <c r="B1149" s="8">
        <v>587.73</v>
      </c>
      <c r="C1149" s="11">
        <f t="shared" si="88"/>
        <v>557.75100000000009</v>
      </c>
      <c r="D1149" s="11">
        <f t="shared" si="87"/>
        <v>576.4041500000003</v>
      </c>
      <c r="E1149" s="8"/>
      <c r="F1149" s="8"/>
      <c r="G1149" s="8">
        <f t="shared" ca="1" si="84"/>
        <v>557.75100000000009</v>
      </c>
      <c r="H1149" s="8">
        <f t="shared" ca="1" si="85"/>
        <v>576.4041500000003</v>
      </c>
      <c r="I1149" s="12">
        <f ca="1">IF(AND('Data Analysis Addin'!$G1149&lt;='Data Analysis Addin'!$H1149,G1150&gt;H1150), 1, 0)</f>
        <v>0</v>
      </c>
      <c r="J1149" s="2">
        <f t="shared" ca="1" si="86"/>
        <v>1</v>
      </c>
      <c r="K1149" s="17">
        <f>YEAR('Data Analysis Addin'!$A1149)</f>
        <v>2025</v>
      </c>
    </row>
    <row r="1150" spans="1:11" x14ac:dyDescent="0.4">
      <c r="A1150" s="18">
        <v>45806</v>
      </c>
      <c r="B1150" s="9">
        <v>590.04999999999995</v>
      </c>
      <c r="C1150" s="11">
        <f t="shared" si="88"/>
        <v>558.33159999999998</v>
      </c>
      <c r="D1150" s="11">
        <f t="shared" si="87"/>
        <v>576.68945000000031</v>
      </c>
      <c r="E1150" s="9"/>
      <c r="F1150" s="9"/>
      <c r="G1150" s="9">
        <f t="shared" ca="1" si="84"/>
        <v>558.33159999999998</v>
      </c>
      <c r="H1150" s="9">
        <f t="shared" ca="1" si="85"/>
        <v>576.68945000000031</v>
      </c>
      <c r="I1150" s="12">
        <f ca="1">IF(AND('Data Analysis Addin'!$G1150&lt;='Data Analysis Addin'!$H1150,G1151&gt;H1151), 1, 0)</f>
        <v>0</v>
      </c>
      <c r="J1150" s="3">
        <f t="shared" ca="1" si="86"/>
        <v>1</v>
      </c>
      <c r="K1150" s="19">
        <f>YEAR('Data Analysis Addin'!$A1150)</f>
        <v>2025</v>
      </c>
    </row>
    <row r="1151" spans="1:11" x14ac:dyDescent="0.4">
      <c r="A1151" s="16">
        <v>45807</v>
      </c>
      <c r="B1151" s="8">
        <v>589.39</v>
      </c>
      <c r="C1151" s="11">
        <f t="shared" si="88"/>
        <v>558.77680000000009</v>
      </c>
      <c r="D1151" s="11">
        <f t="shared" si="87"/>
        <v>576.97005000000024</v>
      </c>
      <c r="E1151" s="8"/>
      <c r="F1151" s="8"/>
      <c r="G1151" s="8">
        <f t="shared" ca="1" si="84"/>
        <v>558.77680000000009</v>
      </c>
      <c r="H1151" s="8">
        <f t="shared" ca="1" si="85"/>
        <v>576.97005000000024</v>
      </c>
      <c r="I1151" s="12">
        <f ca="1">IF(AND('Data Analysis Addin'!$G1151&lt;='Data Analysis Addin'!$H1151,G1152&gt;H1152), 1, 0)</f>
        <v>0</v>
      </c>
      <c r="J1151" s="2">
        <f t="shared" ca="1" si="86"/>
        <v>1</v>
      </c>
      <c r="K1151" s="17">
        <f>YEAR('Data Analysis Addin'!$A1151)</f>
        <v>2025</v>
      </c>
    </row>
    <row r="1152" spans="1:11" x14ac:dyDescent="0.4">
      <c r="A1152" s="18">
        <v>45810</v>
      </c>
      <c r="B1152" s="9">
        <v>592.71</v>
      </c>
      <c r="C1152" s="11">
        <f t="shared" si="88"/>
        <v>559.32119999999998</v>
      </c>
      <c r="D1152" s="11">
        <f t="shared" si="87"/>
        <v>577.22340000000031</v>
      </c>
      <c r="E1152" s="9"/>
      <c r="F1152" s="9"/>
      <c r="G1152" s="9">
        <f t="shared" ca="1" si="84"/>
        <v>559.32119999999998</v>
      </c>
      <c r="H1152" s="9">
        <f t="shared" ca="1" si="85"/>
        <v>577.22340000000031</v>
      </c>
      <c r="I1152" s="12">
        <f ca="1">IF(AND('Data Analysis Addin'!$G1152&lt;='Data Analysis Addin'!$H1152,G1153&gt;H1153), 1, 0)</f>
        <v>0</v>
      </c>
      <c r="J1152" s="3">
        <f t="shared" ca="1" si="86"/>
        <v>1</v>
      </c>
      <c r="K1152" s="19">
        <f>YEAR('Data Analysis Addin'!$A1152)</f>
        <v>2025</v>
      </c>
    </row>
    <row r="1153" spans="1:11" x14ac:dyDescent="0.4">
      <c r="A1153" s="16">
        <v>45811</v>
      </c>
      <c r="B1153" s="8">
        <v>596.09</v>
      </c>
      <c r="C1153" s="11">
        <f t="shared" si="88"/>
        <v>559.96340000000009</v>
      </c>
      <c r="D1153" s="11">
        <f t="shared" si="87"/>
        <v>577.48510000000033</v>
      </c>
      <c r="E1153" s="8"/>
      <c r="F1153" s="8"/>
      <c r="G1153" s="8">
        <f t="shared" ca="1" si="84"/>
        <v>559.96340000000009</v>
      </c>
      <c r="H1153" s="8">
        <f t="shared" ca="1" si="85"/>
        <v>577.48510000000033</v>
      </c>
      <c r="I1153" s="12">
        <f ca="1">IF(AND('Data Analysis Addin'!$G1153&lt;='Data Analysis Addin'!$H1153,G1154&gt;H1154), 1, 0)</f>
        <v>0</v>
      </c>
      <c r="J1153" s="2">
        <f t="shared" ca="1" si="86"/>
        <v>1</v>
      </c>
      <c r="K1153" s="17">
        <f>YEAR('Data Analysis Addin'!$A1153)</f>
        <v>2025</v>
      </c>
    </row>
    <row r="1154" spans="1:11" x14ac:dyDescent="0.4">
      <c r="A1154" s="18">
        <v>45812</v>
      </c>
      <c r="B1154" s="9">
        <v>595.92999999999995</v>
      </c>
      <c r="C1154" s="11">
        <f t="shared" si="88"/>
        <v>560.40039999999999</v>
      </c>
      <c r="D1154" s="11">
        <f t="shared" si="87"/>
        <v>577.69940000000031</v>
      </c>
      <c r="E1154" s="9"/>
      <c r="F1154" s="9"/>
      <c r="G1154" s="9">
        <f t="shared" ca="1" si="84"/>
        <v>560.40039999999999</v>
      </c>
      <c r="H1154" s="9">
        <f t="shared" ca="1" si="85"/>
        <v>577.69940000000031</v>
      </c>
      <c r="I1154" s="12">
        <f ca="1">IF(AND('Data Analysis Addin'!$G1154&lt;='Data Analysis Addin'!$H1154,G1155&gt;H1155), 1, 0)</f>
        <v>0</v>
      </c>
      <c r="J1154" s="3">
        <f t="shared" ca="1" si="86"/>
        <v>1</v>
      </c>
      <c r="K1154" s="19">
        <f>YEAR('Data Analysis Addin'!$A1154)</f>
        <v>2025</v>
      </c>
    </row>
    <row r="1155" spans="1:11" x14ac:dyDescent="0.4">
      <c r="A1155" s="16">
        <v>45813</v>
      </c>
      <c r="B1155" s="8">
        <v>593.04999999999995</v>
      </c>
      <c r="C1155" s="11">
        <f t="shared" si="88"/>
        <v>560.7521999999999</v>
      </c>
      <c r="D1155" s="11">
        <f t="shared" si="87"/>
        <v>577.89310000000035</v>
      </c>
      <c r="E1155" s="8"/>
      <c r="F1155" s="8"/>
      <c r="G1155" s="8">
        <f t="shared" ref="G1155:G1218" ca="1" si="89">AVERAGE(OFFSET($B1155,0,0,-(MIN(ROW()-ROW($B$3)+1,n_50)),1))</f>
        <v>560.7521999999999</v>
      </c>
      <c r="H1155" s="8">
        <f t="shared" ref="H1155:H1218" ca="1" si="90">AVERAGE(OFFSET($B1155,0,0,-(MIN(ROW()-ROW($B$3)+1,n_200)),1))</f>
        <v>577.89310000000035</v>
      </c>
      <c r="I1155" s="12">
        <f ca="1">IF(AND('Data Analysis Addin'!$G1155&lt;='Data Analysis Addin'!$H1155,G1156&gt;H1156), 1, 0)</f>
        <v>0</v>
      </c>
      <c r="J1155" s="2">
        <f t="shared" ref="J1155:J1218" ca="1" si="91">IF($G1155&lt;$H1155,1,0)</f>
        <v>1</v>
      </c>
      <c r="K1155" s="17">
        <f>YEAR('Data Analysis Addin'!$A1155)</f>
        <v>2025</v>
      </c>
    </row>
    <row r="1156" spans="1:11" x14ac:dyDescent="0.4">
      <c r="A1156" s="18">
        <v>45814</v>
      </c>
      <c r="B1156" s="9">
        <v>599.14</v>
      </c>
      <c r="C1156" s="11">
        <f t="shared" si="88"/>
        <v>561.36319999999989</v>
      </c>
      <c r="D1156" s="11">
        <f t="shared" si="87"/>
        <v>578.0907500000003</v>
      </c>
      <c r="E1156" s="9"/>
      <c r="F1156" s="9"/>
      <c r="G1156" s="9">
        <f t="shared" ca="1" si="89"/>
        <v>561.36319999999989</v>
      </c>
      <c r="H1156" s="9">
        <f t="shared" ca="1" si="90"/>
        <v>578.0907500000003</v>
      </c>
      <c r="I1156" s="12">
        <f ca="1">IF(AND('Data Analysis Addin'!$G1156&lt;='Data Analysis Addin'!$H1156,G1157&gt;H1157), 1, 0)</f>
        <v>0</v>
      </c>
      <c r="J1156" s="3">
        <f t="shared" ca="1" si="91"/>
        <v>1</v>
      </c>
      <c r="K1156" s="19">
        <f>YEAR('Data Analysis Addin'!$A1156)</f>
        <v>2025</v>
      </c>
    </row>
    <row r="1157" spans="1:11" x14ac:dyDescent="0.4">
      <c r="A1157" s="16">
        <v>45817</v>
      </c>
      <c r="B1157" s="8">
        <v>599.67999999999995</v>
      </c>
      <c r="C1157" s="11">
        <f t="shared" si="88"/>
        <v>562.01519999999982</v>
      </c>
      <c r="D1157" s="11">
        <f t="shared" si="87"/>
        <v>578.29565000000025</v>
      </c>
      <c r="E1157" s="8"/>
      <c r="F1157" s="8"/>
      <c r="G1157" s="8">
        <f t="shared" ca="1" si="89"/>
        <v>562.01519999999982</v>
      </c>
      <c r="H1157" s="8">
        <f t="shared" ca="1" si="90"/>
        <v>578.29565000000025</v>
      </c>
      <c r="I1157" s="12">
        <f ca="1">IF(AND('Data Analysis Addin'!$G1157&lt;='Data Analysis Addin'!$H1157,G1158&gt;H1158), 1, 0)</f>
        <v>0</v>
      </c>
      <c r="J1157" s="2">
        <f t="shared" ca="1" si="91"/>
        <v>1</v>
      </c>
      <c r="K1157" s="17">
        <f>YEAR('Data Analysis Addin'!$A1157)</f>
        <v>2025</v>
      </c>
    </row>
    <row r="1158" spans="1:11" x14ac:dyDescent="0.4">
      <c r="A1158" s="18">
        <v>45818</v>
      </c>
      <c r="B1158" s="9">
        <v>603.08000000000004</v>
      </c>
      <c r="C1158" s="11">
        <f t="shared" si="88"/>
        <v>562.96359999999993</v>
      </c>
      <c r="D1158" s="11">
        <f t="shared" si="87"/>
        <v>578.50795000000016</v>
      </c>
      <c r="E1158" s="9"/>
      <c r="F1158" s="9"/>
      <c r="G1158" s="9">
        <f t="shared" ca="1" si="89"/>
        <v>562.96359999999993</v>
      </c>
      <c r="H1158" s="9">
        <f t="shared" ca="1" si="90"/>
        <v>578.50795000000016</v>
      </c>
      <c r="I1158" s="12">
        <f ca="1">IF(AND('Data Analysis Addin'!$G1158&lt;='Data Analysis Addin'!$H1158,G1159&gt;H1159), 1, 0)</f>
        <v>0</v>
      </c>
      <c r="J1158" s="3">
        <f t="shared" ca="1" si="91"/>
        <v>1</v>
      </c>
      <c r="K1158" s="19">
        <f>YEAR('Data Analysis Addin'!$A1158)</f>
        <v>2025</v>
      </c>
    </row>
    <row r="1159" spans="1:11" x14ac:dyDescent="0.4">
      <c r="A1159" s="16">
        <v>45819</v>
      </c>
      <c r="B1159" s="8">
        <v>601.36</v>
      </c>
      <c r="C1159" s="11">
        <f t="shared" si="88"/>
        <v>563.803</v>
      </c>
      <c r="D1159" s="11">
        <f t="shared" si="87"/>
        <v>578.73365000000024</v>
      </c>
      <c r="E1159" s="8"/>
      <c r="F1159" s="8"/>
      <c r="G1159" s="8">
        <f t="shared" ca="1" si="89"/>
        <v>563.803</v>
      </c>
      <c r="H1159" s="8">
        <f t="shared" ca="1" si="90"/>
        <v>578.73365000000024</v>
      </c>
      <c r="I1159" s="12">
        <f ca="1">IF(AND('Data Analysis Addin'!$G1159&lt;='Data Analysis Addin'!$H1159,G1160&gt;H1160), 1, 0)</f>
        <v>0</v>
      </c>
      <c r="J1159" s="2">
        <f t="shared" ca="1" si="91"/>
        <v>1</v>
      </c>
      <c r="K1159" s="17">
        <f>YEAR('Data Analysis Addin'!$A1159)</f>
        <v>2025</v>
      </c>
    </row>
    <row r="1160" spans="1:11" x14ac:dyDescent="0.4">
      <c r="A1160" s="18">
        <v>45820</v>
      </c>
      <c r="B1160" s="9">
        <v>603.75</v>
      </c>
      <c r="C1160" s="11">
        <f t="shared" si="88"/>
        <v>564.65859999999998</v>
      </c>
      <c r="D1160" s="11">
        <f t="shared" si="87"/>
        <v>578.94175000000018</v>
      </c>
      <c r="E1160" s="9"/>
      <c r="F1160" s="9"/>
      <c r="G1160" s="9">
        <f t="shared" ca="1" si="89"/>
        <v>564.65859999999998</v>
      </c>
      <c r="H1160" s="9">
        <f t="shared" ca="1" si="90"/>
        <v>578.94175000000018</v>
      </c>
      <c r="I1160" s="12">
        <f ca="1">IF(AND('Data Analysis Addin'!$G1160&lt;='Data Analysis Addin'!$H1160,G1161&gt;H1161), 1, 0)</f>
        <v>0</v>
      </c>
      <c r="J1160" s="3">
        <f t="shared" ca="1" si="91"/>
        <v>1</v>
      </c>
      <c r="K1160" s="19">
        <f>YEAR('Data Analysis Addin'!$A1160)</f>
        <v>2025</v>
      </c>
    </row>
    <row r="1161" spans="1:11" x14ac:dyDescent="0.4">
      <c r="A1161" s="16">
        <v>45821</v>
      </c>
      <c r="B1161" s="8">
        <v>597</v>
      </c>
      <c r="C1161" s="11">
        <f t="shared" si="88"/>
        <v>565.30819999999994</v>
      </c>
      <c r="D1161" s="11">
        <f t="shared" si="87"/>
        <v>579.1228000000001</v>
      </c>
      <c r="E1161" s="8"/>
      <c r="F1161" s="8"/>
      <c r="G1161" s="8">
        <f t="shared" ca="1" si="89"/>
        <v>565.30819999999994</v>
      </c>
      <c r="H1161" s="8">
        <f t="shared" ca="1" si="90"/>
        <v>579.1228000000001</v>
      </c>
      <c r="I1161" s="12">
        <f ca="1">IF(AND('Data Analysis Addin'!$G1161&lt;='Data Analysis Addin'!$H1161,G1162&gt;H1162), 1, 0)</f>
        <v>0</v>
      </c>
      <c r="J1161" s="2">
        <f t="shared" ca="1" si="91"/>
        <v>1</v>
      </c>
      <c r="K1161" s="17">
        <f>YEAR('Data Analysis Addin'!$A1161)</f>
        <v>2025</v>
      </c>
    </row>
    <row r="1162" spans="1:11" x14ac:dyDescent="0.4">
      <c r="A1162" s="18">
        <v>45824</v>
      </c>
      <c r="B1162" s="9">
        <v>602.67999999999995</v>
      </c>
      <c r="C1162" s="11">
        <f t="shared" si="88"/>
        <v>566.62779999999987</v>
      </c>
      <c r="D1162" s="11">
        <f t="shared" ref="D1162:D1225" si="92">AVERAGE(B963:B1162)</f>
        <v>579.32839999999999</v>
      </c>
      <c r="E1162" s="9"/>
      <c r="F1162" s="9"/>
      <c r="G1162" s="9">
        <f t="shared" ca="1" si="89"/>
        <v>566.62779999999987</v>
      </c>
      <c r="H1162" s="9">
        <f t="shared" ca="1" si="90"/>
        <v>579.32839999999999</v>
      </c>
      <c r="I1162" s="12">
        <f ca="1">IF(AND('Data Analysis Addin'!$G1162&lt;='Data Analysis Addin'!$H1162,G1163&gt;H1163), 1, 0)</f>
        <v>0</v>
      </c>
      <c r="J1162" s="3">
        <f t="shared" ca="1" si="91"/>
        <v>1</v>
      </c>
      <c r="K1162" s="19">
        <f>YEAR('Data Analysis Addin'!$A1162)</f>
        <v>2025</v>
      </c>
    </row>
    <row r="1163" spans="1:11" x14ac:dyDescent="0.4">
      <c r="A1163" s="16">
        <v>45825</v>
      </c>
      <c r="B1163" s="8">
        <v>597.53</v>
      </c>
      <c r="C1163" s="11">
        <f t="shared" si="88"/>
        <v>568.47280000000001</v>
      </c>
      <c r="D1163" s="11">
        <f t="shared" si="92"/>
        <v>579.52455000000009</v>
      </c>
      <c r="E1163" s="8"/>
      <c r="F1163" s="8"/>
      <c r="G1163" s="8">
        <f t="shared" ca="1" si="89"/>
        <v>568.47280000000001</v>
      </c>
      <c r="H1163" s="8">
        <f t="shared" ca="1" si="90"/>
        <v>579.52455000000009</v>
      </c>
      <c r="I1163" s="12">
        <f ca="1">IF(AND('Data Analysis Addin'!$G1163&lt;='Data Analysis Addin'!$H1163,G1164&gt;H1164), 1, 0)</f>
        <v>0</v>
      </c>
      <c r="J1163" s="2">
        <f t="shared" ca="1" si="91"/>
        <v>1</v>
      </c>
      <c r="K1163" s="17">
        <f>YEAR('Data Analysis Addin'!$A1163)</f>
        <v>2025</v>
      </c>
    </row>
    <row r="1164" spans="1:11" x14ac:dyDescent="0.4">
      <c r="A1164" s="18">
        <v>45826</v>
      </c>
      <c r="B1164" s="9">
        <v>597.44000000000005</v>
      </c>
      <c r="C1164" s="11">
        <f t="shared" si="88"/>
        <v>570.33400000000006</v>
      </c>
      <c r="D1164" s="11">
        <f t="shared" si="92"/>
        <v>579.72</v>
      </c>
      <c r="E1164" s="9"/>
      <c r="F1164" s="9"/>
      <c r="G1164" s="9">
        <f t="shared" ca="1" si="89"/>
        <v>570.33400000000006</v>
      </c>
      <c r="H1164" s="9">
        <f t="shared" ca="1" si="90"/>
        <v>579.72</v>
      </c>
      <c r="I1164" s="12">
        <f ca="1">IF(AND('Data Analysis Addin'!$G1164&lt;='Data Analysis Addin'!$H1164,G1165&gt;H1165), 1, 0)</f>
        <v>0</v>
      </c>
      <c r="J1164" s="3">
        <f t="shared" ca="1" si="91"/>
        <v>1</v>
      </c>
      <c r="K1164" s="19">
        <f>YEAR('Data Analysis Addin'!$A1164)</f>
        <v>2025</v>
      </c>
    </row>
    <row r="1165" spans="1:11" x14ac:dyDescent="0.4">
      <c r="A1165" s="16">
        <v>45828</v>
      </c>
      <c r="B1165" s="8">
        <v>594.28</v>
      </c>
      <c r="C1165" s="11">
        <f t="shared" si="88"/>
        <v>572.29</v>
      </c>
      <c r="D1165" s="11">
        <f t="shared" si="92"/>
        <v>579.87300000000005</v>
      </c>
      <c r="E1165" s="8"/>
      <c r="F1165" s="8"/>
      <c r="G1165" s="8">
        <f t="shared" ca="1" si="89"/>
        <v>572.29</v>
      </c>
      <c r="H1165" s="8">
        <f t="shared" ca="1" si="90"/>
        <v>579.87300000000005</v>
      </c>
      <c r="I1165" s="12">
        <f ca="1">IF(AND('Data Analysis Addin'!$G1165&lt;='Data Analysis Addin'!$H1165,G1166&gt;H1166), 1, 0)</f>
        <v>0</v>
      </c>
      <c r="J1165" s="2">
        <f t="shared" ca="1" si="91"/>
        <v>1</v>
      </c>
      <c r="K1165" s="17">
        <f>YEAR('Data Analysis Addin'!$A1165)</f>
        <v>2025</v>
      </c>
    </row>
    <row r="1166" spans="1:11" x14ac:dyDescent="0.4">
      <c r="A1166" s="18">
        <v>45831</v>
      </c>
      <c r="B1166" s="9">
        <v>600.15</v>
      </c>
      <c r="C1166" s="11">
        <f t="shared" si="88"/>
        <v>573.32060000000001</v>
      </c>
      <c r="D1166" s="11">
        <f t="shared" si="92"/>
        <v>580.11334999999997</v>
      </c>
      <c r="E1166" s="9"/>
      <c r="F1166" s="9"/>
      <c r="G1166" s="9">
        <f t="shared" ca="1" si="89"/>
        <v>573.32060000000001</v>
      </c>
      <c r="H1166" s="9">
        <f t="shared" ca="1" si="90"/>
        <v>580.11334999999997</v>
      </c>
      <c r="I1166" s="12">
        <f ca="1">IF(AND('Data Analysis Addin'!$G1166&lt;='Data Analysis Addin'!$H1166,G1167&gt;H1167), 1, 0)</f>
        <v>0</v>
      </c>
      <c r="J1166" s="3">
        <f t="shared" ca="1" si="91"/>
        <v>1</v>
      </c>
      <c r="K1166" s="19">
        <f>YEAR('Data Analysis Addin'!$A1166)</f>
        <v>2025</v>
      </c>
    </row>
    <row r="1167" spans="1:11" x14ac:dyDescent="0.4">
      <c r="A1167" s="16">
        <v>45832</v>
      </c>
      <c r="B1167" s="8">
        <v>606.78</v>
      </c>
      <c r="C1167" s="11">
        <f t="shared" si="88"/>
        <v>574.96460000000002</v>
      </c>
      <c r="D1167" s="11">
        <f t="shared" si="92"/>
        <v>580.39250000000004</v>
      </c>
      <c r="E1167" s="8"/>
      <c r="F1167" s="8"/>
      <c r="G1167" s="8">
        <f t="shared" ca="1" si="89"/>
        <v>574.96460000000002</v>
      </c>
      <c r="H1167" s="8">
        <f t="shared" ca="1" si="90"/>
        <v>580.39250000000004</v>
      </c>
      <c r="I1167" s="12">
        <f ca="1">IF(AND('Data Analysis Addin'!$G1167&lt;='Data Analysis Addin'!$H1167,G1168&gt;H1168), 1, 0)</f>
        <v>0</v>
      </c>
      <c r="J1167" s="2">
        <f t="shared" ca="1" si="91"/>
        <v>1</v>
      </c>
      <c r="K1167" s="17">
        <f>YEAR('Data Analysis Addin'!$A1167)</f>
        <v>2025</v>
      </c>
    </row>
    <row r="1168" spans="1:11" x14ac:dyDescent="0.4">
      <c r="A1168" s="18">
        <v>45833</v>
      </c>
      <c r="B1168" s="9">
        <v>607.12</v>
      </c>
      <c r="C1168" s="11">
        <f t="shared" si="88"/>
        <v>576.42819999999995</v>
      </c>
      <c r="D1168" s="11">
        <f t="shared" si="92"/>
        <v>580.68004999999994</v>
      </c>
      <c r="E1168" s="9"/>
      <c r="F1168" s="9"/>
      <c r="G1168" s="9">
        <f t="shared" ca="1" si="89"/>
        <v>576.42819999999995</v>
      </c>
      <c r="H1168" s="9">
        <f t="shared" ca="1" si="90"/>
        <v>580.68004999999994</v>
      </c>
      <c r="I1168" s="12">
        <f ca="1">IF(AND('Data Analysis Addin'!$G1168&lt;='Data Analysis Addin'!$H1168,G1169&gt;H1169), 1, 0)</f>
        <v>0</v>
      </c>
      <c r="J1168" s="3">
        <f t="shared" ca="1" si="91"/>
        <v>1</v>
      </c>
      <c r="K1168" s="19">
        <f>YEAR('Data Analysis Addin'!$A1168)</f>
        <v>2025</v>
      </c>
    </row>
    <row r="1169" spans="1:11" x14ac:dyDescent="0.4">
      <c r="A1169" s="16">
        <v>45834</v>
      </c>
      <c r="B1169" s="8">
        <v>611.87</v>
      </c>
      <c r="C1169" s="11">
        <f t="shared" si="88"/>
        <v>577.88319999999999</v>
      </c>
      <c r="D1169" s="11">
        <f t="shared" si="92"/>
        <v>581.0376</v>
      </c>
      <c r="E1169" s="8"/>
      <c r="F1169" s="8"/>
      <c r="G1169" s="8">
        <f t="shared" ca="1" si="89"/>
        <v>577.88319999999999</v>
      </c>
      <c r="H1169" s="8">
        <f t="shared" ca="1" si="90"/>
        <v>581.0376</v>
      </c>
      <c r="I1169" s="12">
        <f ca="1">IF(AND('Data Analysis Addin'!$G1169&lt;='Data Analysis Addin'!$H1169,G1170&gt;H1170), 1, 0)</f>
        <v>0</v>
      </c>
      <c r="J1169" s="2">
        <f t="shared" ca="1" si="91"/>
        <v>1</v>
      </c>
      <c r="K1169" s="17">
        <f>YEAR('Data Analysis Addin'!$A1169)</f>
        <v>2025</v>
      </c>
    </row>
    <row r="1170" spans="1:11" x14ac:dyDescent="0.4">
      <c r="A1170" s="18">
        <v>45835</v>
      </c>
      <c r="B1170" s="9">
        <v>614.91</v>
      </c>
      <c r="C1170" s="11">
        <f t="shared" si="88"/>
        <v>579.42920000000004</v>
      </c>
      <c r="D1170" s="11">
        <f t="shared" si="92"/>
        <v>581.38009999999997</v>
      </c>
      <c r="E1170" s="9"/>
      <c r="F1170" s="9"/>
      <c r="G1170" s="9">
        <f t="shared" ca="1" si="89"/>
        <v>579.42920000000004</v>
      </c>
      <c r="H1170" s="9">
        <f t="shared" ca="1" si="90"/>
        <v>581.38009999999997</v>
      </c>
      <c r="I1170" s="12">
        <f ca="1">IF(AND('Data Analysis Addin'!$G1170&lt;='Data Analysis Addin'!$H1170,G1171&gt;H1171), 1, 0)</f>
        <v>0</v>
      </c>
      <c r="J1170" s="3">
        <f t="shared" ca="1" si="91"/>
        <v>1</v>
      </c>
      <c r="K1170" s="19">
        <f>YEAR('Data Analysis Addin'!$A1170)</f>
        <v>2025</v>
      </c>
    </row>
    <row r="1171" spans="1:11" x14ac:dyDescent="0.4">
      <c r="A1171" s="16">
        <v>45838</v>
      </c>
      <c r="B1171" s="8">
        <v>617.85</v>
      </c>
      <c r="C1171" s="11">
        <f t="shared" si="88"/>
        <v>581.27299999999991</v>
      </c>
      <c r="D1171" s="11">
        <f t="shared" si="92"/>
        <v>581.72539999999992</v>
      </c>
      <c r="E1171" s="8"/>
      <c r="F1171" s="8"/>
      <c r="G1171" s="8">
        <f t="shared" ca="1" si="89"/>
        <v>581.27299999999991</v>
      </c>
      <c r="H1171" s="8">
        <f t="shared" ca="1" si="90"/>
        <v>581.72539999999992</v>
      </c>
      <c r="I1171" s="12">
        <f ca="1">IF(AND('Data Analysis Addin'!$G1171&lt;='Data Analysis Addin'!$H1171,G1172&gt;H1172), 1, 0)</f>
        <v>1</v>
      </c>
      <c r="J1171" s="2">
        <f t="shared" ca="1" si="91"/>
        <v>1</v>
      </c>
      <c r="K1171" s="17">
        <f>YEAR('Data Analysis Addin'!$A1171)</f>
        <v>2025</v>
      </c>
    </row>
    <row r="1172" spans="1:11" x14ac:dyDescent="0.4">
      <c r="A1172" s="18">
        <v>45839</v>
      </c>
      <c r="B1172" s="9">
        <v>617.65</v>
      </c>
      <c r="C1172" s="11">
        <f t="shared" si="88"/>
        <v>583.09780000000001</v>
      </c>
      <c r="D1172" s="11">
        <f t="shared" si="92"/>
        <v>582.04154999999992</v>
      </c>
      <c r="E1172" s="9"/>
      <c r="F1172" s="9"/>
      <c r="G1172" s="9">
        <f t="shared" ca="1" si="89"/>
        <v>583.09780000000001</v>
      </c>
      <c r="H1172" s="9">
        <f t="shared" ca="1" si="90"/>
        <v>582.04154999999992</v>
      </c>
      <c r="I1172" s="12">
        <f ca="1">IF(AND('Data Analysis Addin'!$G1172&lt;='Data Analysis Addin'!$H1172,G1173&gt;H1173), 1, 0)</f>
        <v>0</v>
      </c>
      <c r="J1172" s="3">
        <f t="shared" ca="1" si="91"/>
        <v>0</v>
      </c>
      <c r="K1172" s="19">
        <f>YEAR('Data Analysis Addin'!$A1172)</f>
        <v>2025</v>
      </c>
    </row>
    <row r="1173" spans="1:11" x14ac:dyDescent="0.4">
      <c r="A1173" s="16">
        <v>45840</v>
      </c>
      <c r="B1173" s="8">
        <v>620.45000000000005</v>
      </c>
      <c r="C1173" s="11">
        <f t="shared" si="88"/>
        <v>585.22919999999999</v>
      </c>
      <c r="D1173" s="11">
        <f t="shared" si="92"/>
        <v>582.34834999999987</v>
      </c>
      <c r="E1173" s="8"/>
      <c r="F1173" s="8"/>
      <c r="G1173" s="8">
        <f t="shared" ca="1" si="89"/>
        <v>585.22919999999999</v>
      </c>
      <c r="H1173" s="8">
        <f t="shared" ca="1" si="90"/>
        <v>582.34834999999987</v>
      </c>
      <c r="I1173" s="12">
        <f ca="1">IF(AND('Data Analysis Addin'!$G1173&lt;='Data Analysis Addin'!$H1173,G1174&gt;H1174), 1, 0)</f>
        <v>0</v>
      </c>
      <c r="J1173" s="2">
        <f t="shared" ca="1" si="91"/>
        <v>0</v>
      </c>
      <c r="K1173" s="17">
        <f>YEAR('Data Analysis Addin'!$A1173)</f>
        <v>2025</v>
      </c>
    </row>
    <row r="1174" spans="1:11" x14ac:dyDescent="0.4">
      <c r="A1174" s="18">
        <v>45841</v>
      </c>
      <c r="B1174" s="9">
        <v>625.34</v>
      </c>
      <c r="C1174" s="11">
        <f t="shared" si="88"/>
        <v>587.19100000000003</v>
      </c>
      <c r="D1174" s="11">
        <f t="shared" si="92"/>
        <v>582.66499999999985</v>
      </c>
      <c r="E1174" s="9"/>
      <c r="F1174" s="9"/>
      <c r="G1174" s="9">
        <f t="shared" ca="1" si="89"/>
        <v>587.19100000000003</v>
      </c>
      <c r="H1174" s="9">
        <f t="shared" ca="1" si="90"/>
        <v>582.66499999999985</v>
      </c>
      <c r="I1174" s="12">
        <f ca="1">IF(AND('Data Analysis Addin'!$G1174&lt;='Data Analysis Addin'!$H1174,G1175&gt;H1175), 1, 0)</f>
        <v>0</v>
      </c>
      <c r="J1174" s="3">
        <f t="shared" ca="1" si="91"/>
        <v>0</v>
      </c>
      <c r="K1174" s="19">
        <f>YEAR('Data Analysis Addin'!$A1174)</f>
        <v>2025</v>
      </c>
    </row>
    <row r="1175" spans="1:11" x14ac:dyDescent="0.4">
      <c r="A1175" s="16">
        <v>45845</v>
      </c>
      <c r="B1175" s="8">
        <v>620.67999999999995</v>
      </c>
      <c r="C1175" s="11">
        <f t="shared" si="88"/>
        <v>588.89620000000002</v>
      </c>
      <c r="D1175" s="11">
        <f t="shared" si="92"/>
        <v>582.95419999999979</v>
      </c>
      <c r="E1175" s="8"/>
      <c r="F1175" s="8"/>
      <c r="G1175" s="8">
        <f t="shared" ca="1" si="89"/>
        <v>588.89620000000002</v>
      </c>
      <c r="H1175" s="8">
        <f t="shared" ca="1" si="90"/>
        <v>582.95419999999979</v>
      </c>
      <c r="I1175" s="12">
        <f ca="1">IF(AND('Data Analysis Addin'!$G1175&lt;='Data Analysis Addin'!$H1175,G1176&gt;H1176), 1, 0)</f>
        <v>0</v>
      </c>
      <c r="J1175" s="2">
        <f t="shared" ca="1" si="91"/>
        <v>0</v>
      </c>
      <c r="K1175" s="17">
        <f>YEAR('Data Analysis Addin'!$A1175)</f>
        <v>2025</v>
      </c>
    </row>
    <row r="1176" spans="1:11" x14ac:dyDescent="0.4">
      <c r="A1176" s="18">
        <v>45846</v>
      </c>
      <c r="B1176" s="9">
        <v>620.34</v>
      </c>
      <c r="C1176" s="11">
        <f t="shared" si="88"/>
        <v>590.36919999999998</v>
      </c>
      <c r="D1176" s="11">
        <f t="shared" si="92"/>
        <v>583.24054999999976</v>
      </c>
      <c r="E1176" s="9"/>
      <c r="F1176" s="9"/>
      <c r="G1176" s="9">
        <f t="shared" ca="1" si="89"/>
        <v>590.36919999999998</v>
      </c>
      <c r="H1176" s="9">
        <f t="shared" ca="1" si="90"/>
        <v>583.24054999999976</v>
      </c>
      <c r="I1176" s="12">
        <f ca="1">IF(AND('Data Analysis Addin'!$G1176&lt;='Data Analysis Addin'!$H1176,G1177&gt;H1177), 1, 0)</f>
        <v>0</v>
      </c>
      <c r="J1176" s="3">
        <f t="shared" ca="1" si="91"/>
        <v>0</v>
      </c>
      <c r="K1176" s="19">
        <f>YEAR('Data Analysis Addin'!$A1176)</f>
        <v>2025</v>
      </c>
    </row>
    <row r="1177" spans="1:11" x14ac:dyDescent="0.4">
      <c r="A1177" s="16">
        <v>45847</v>
      </c>
      <c r="B1177" s="8">
        <v>624.05999999999995</v>
      </c>
      <c r="C1177" s="11">
        <f t="shared" si="88"/>
        <v>591.83760000000007</v>
      </c>
      <c r="D1177" s="11">
        <f t="shared" si="92"/>
        <v>583.55384999999978</v>
      </c>
      <c r="E1177" s="8"/>
      <c r="F1177" s="8"/>
      <c r="G1177" s="8">
        <f t="shared" ca="1" si="89"/>
        <v>591.83760000000007</v>
      </c>
      <c r="H1177" s="8">
        <f t="shared" ca="1" si="90"/>
        <v>583.55384999999978</v>
      </c>
      <c r="I1177" s="12">
        <f ca="1">IF(AND('Data Analysis Addin'!$G1177&lt;='Data Analysis Addin'!$H1177,G1178&gt;H1178), 1, 0)</f>
        <v>0</v>
      </c>
      <c r="J1177" s="2">
        <f t="shared" ca="1" si="91"/>
        <v>0</v>
      </c>
      <c r="K1177" s="17">
        <f>YEAR('Data Analysis Addin'!$A1177)</f>
        <v>2025</v>
      </c>
    </row>
    <row r="1178" spans="1:11" x14ac:dyDescent="0.4">
      <c r="A1178" s="18">
        <v>45848</v>
      </c>
      <c r="B1178" s="9">
        <v>625.82000000000005</v>
      </c>
      <c r="C1178" s="11">
        <f t="shared" si="88"/>
        <v>593.33699999999999</v>
      </c>
      <c r="D1178" s="11">
        <f t="shared" si="92"/>
        <v>583.82804999999973</v>
      </c>
      <c r="E1178" s="9"/>
      <c r="F1178" s="9"/>
      <c r="G1178" s="9">
        <f t="shared" ca="1" si="89"/>
        <v>593.33699999999999</v>
      </c>
      <c r="H1178" s="9">
        <f t="shared" ca="1" si="90"/>
        <v>583.82804999999973</v>
      </c>
      <c r="I1178" s="12">
        <f ca="1">IF(AND('Data Analysis Addin'!$G1178&lt;='Data Analysis Addin'!$H1178,G1179&gt;H1179), 1, 0)</f>
        <v>0</v>
      </c>
      <c r="J1178" s="3">
        <f t="shared" ca="1" si="91"/>
        <v>0</v>
      </c>
      <c r="K1178" s="19">
        <f>YEAR('Data Analysis Addin'!$A1178)</f>
        <v>2025</v>
      </c>
    </row>
    <row r="1179" spans="1:11" x14ac:dyDescent="0.4">
      <c r="A1179" s="16">
        <v>45849</v>
      </c>
      <c r="B1179" s="8">
        <v>623.62</v>
      </c>
      <c r="C1179" s="11">
        <f t="shared" si="88"/>
        <v>594.72299999999996</v>
      </c>
      <c r="D1179" s="11">
        <f t="shared" si="92"/>
        <v>584.10489999999982</v>
      </c>
      <c r="E1179" s="8"/>
      <c r="F1179" s="8"/>
      <c r="G1179" s="8">
        <f t="shared" ca="1" si="89"/>
        <v>594.72299999999996</v>
      </c>
      <c r="H1179" s="8">
        <f t="shared" ca="1" si="90"/>
        <v>584.10489999999982</v>
      </c>
      <c r="I1179" s="12">
        <f ca="1">IF(AND('Data Analysis Addin'!$G1179&lt;='Data Analysis Addin'!$H1179,G1180&gt;H1180), 1, 0)</f>
        <v>0</v>
      </c>
      <c r="J1179" s="2">
        <f t="shared" ca="1" si="91"/>
        <v>0</v>
      </c>
      <c r="K1179" s="17">
        <f>YEAR('Data Analysis Addin'!$A1179)</f>
        <v>2025</v>
      </c>
    </row>
    <row r="1180" spans="1:11" x14ac:dyDescent="0.4">
      <c r="A1180" s="18">
        <v>45852</v>
      </c>
      <c r="B1180" s="9">
        <v>624.80999999999995</v>
      </c>
      <c r="C1180" s="11">
        <f t="shared" si="88"/>
        <v>596.12839999999994</v>
      </c>
      <c r="D1180" s="11">
        <f t="shared" si="92"/>
        <v>584.38059999999973</v>
      </c>
      <c r="E1180" s="9"/>
      <c r="F1180" s="9"/>
      <c r="G1180" s="9">
        <f t="shared" ca="1" si="89"/>
        <v>596.12839999999994</v>
      </c>
      <c r="H1180" s="9">
        <f t="shared" ca="1" si="90"/>
        <v>584.38059999999973</v>
      </c>
      <c r="I1180" s="12">
        <f ca="1">IF(AND('Data Analysis Addin'!$G1180&lt;='Data Analysis Addin'!$H1180,G1181&gt;H1181), 1, 0)</f>
        <v>0</v>
      </c>
      <c r="J1180" s="3">
        <f t="shared" ca="1" si="91"/>
        <v>0</v>
      </c>
      <c r="K1180" s="19">
        <f>YEAR('Data Analysis Addin'!$A1180)</f>
        <v>2025</v>
      </c>
    </row>
    <row r="1181" spans="1:11" x14ac:dyDescent="0.4">
      <c r="A1181" s="16">
        <v>45853</v>
      </c>
      <c r="B1181" s="8">
        <v>622.14</v>
      </c>
      <c r="C1181" s="11">
        <f t="shared" si="88"/>
        <v>597.40179999999987</v>
      </c>
      <c r="D1181" s="11">
        <f t="shared" si="92"/>
        <v>584.6347999999997</v>
      </c>
      <c r="E1181" s="8"/>
      <c r="F1181" s="8"/>
      <c r="G1181" s="8">
        <f t="shared" ca="1" si="89"/>
        <v>597.40179999999987</v>
      </c>
      <c r="H1181" s="8">
        <f t="shared" ca="1" si="90"/>
        <v>584.6347999999997</v>
      </c>
      <c r="I1181" s="12">
        <f ca="1">IF(AND('Data Analysis Addin'!$G1181&lt;='Data Analysis Addin'!$H1181,G1182&gt;H1182), 1, 0)</f>
        <v>0</v>
      </c>
      <c r="J1181" s="2">
        <f t="shared" ca="1" si="91"/>
        <v>0</v>
      </c>
      <c r="K1181" s="17">
        <f>YEAR('Data Analysis Addin'!$A1181)</f>
        <v>2025</v>
      </c>
    </row>
    <row r="1182" spans="1:11" x14ac:dyDescent="0.4">
      <c r="A1182" s="18">
        <v>45854</v>
      </c>
      <c r="B1182" s="9">
        <v>624.22</v>
      </c>
      <c r="C1182" s="11">
        <f t="shared" si="88"/>
        <v>598.55099999999993</v>
      </c>
      <c r="D1182" s="11">
        <f t="shared" si="92"/>
        <v>584.90569999999968</v>
      </c>
      <c r="E1182" s="9"/>
      <c r="F1182" s="9"/>
      <c r="G1182" s="9">
        <f t="shared" ca="1" si="89"/>
        <v>598.55099999999993</v>
      </c>
      <c r="H1182" s="9">
        <f t="shared" ca="1" si="90"/>
        <v>584.90569999999968</v>
      </c>
      <c r="I1182" s="12">
        <f ca="1">IF(AND('Data Analysis Addin'!$G1182&lt;='Data Analysis Addin'!$H1182,G1183&gt;H1183), 1, 0)</f>
        <v>0</v>
      </c>
      <c r="J1182" s="3">
        <f t="shared" ca="1" si="91"/>
        <v>0</v>
      </c>
      <c r="K1182" s="19">
        <f>YEAR('Data Analysis Addin'!$A1182)</f>
        <v>2025</v>
      </c>
    </row>
    <row r="1183" spans="1:11" x14ac:dyDescent="0.4">
      <c r="A1183" s="16">
        <v>45855</v>
      </c>
      <c r="B1183" s="8">
        <v>628.04</v>
      </c>
      <c r="C1183" s="11">
        <f t="shared" si="88"/>
        <v>599.84159999999986</v>
      </c>
      <c r="D1183" s="11">
        <f t="shared" si="92"/>
        <v>585.18439999999964</v>
      </c>
      <c r="E1183" s="8"/>
      <c r="F1183" s="8"/>
      <c r="G1183" s="8">
        <f t="shared" ca="1" si="89"/>
        <v>599.84159999999986</v>
      </c>
      <c r="H1183" s="8">
        <f t="shared" ca="1" si="90"/>
        <v>585.18439999999964</v>
      </c>
      <c r="I1183" s="12">
        <f ca="1">IF(AND('Data Analysis Addin'!$G1183&lt;='Data Analysis Addin'!$H1183,G1184&gt;H1184), 1, 0)</f>
        <v>0</v>
      </c>
      <c r="J1183" s="2">
        <f t="shared" ca="1" si="91"/>
        <v>0</v>
      </c>
      <c r="K1183" s="17">
        <f>YEAR('Data Analysis Addin'!$A1183)</f>
        <v>2025</v>
      </c>
    </row>
    <row r="1184" spans="1:11" x14ac:dyDescent="0.4">
      <c r="A1184" s="18">
        <v>45856</v>
      </c>
      <c r="B1184" s="9">
        <v>627.58000000000004</v>
      </c>
      <c r="C1184" s="11">
        <f t="shared" si="88"/>
        <v>601.21719999999993</v>
      </c>
      <c r="D1184" s="11">
        <f t="shared" si="92"/>
        <v>585.4649499999997</v>
      </c>
      <c r="E1184" s="9"/>
      <c r="F1184" s="9"/>
      <c r="G1184" s="9">
        <f t="shared" ca="1" si="89"/>
        <v>601.21719999999993</v>
      </c>
      <c r="H1184" s="9">
        <f t="shared" ca="1" si="90"/>
        <v>585.4649499999997</v>
      </c>
      <c r="I1184" s="12">
        <f ca="1">IF(AND('Data Analysis Addin'!$G1184&lt;='Data Analysis Addin'!$H1184,G1185&gt;H1185), 1, 0)</f>
        <v>0</v>
      </c>
      <c r="J1184" s="3">
        <f t="shared" ca="1" si="91"/>
        <v>0</v>
      </c>
      <c r="K1184" s="19">
        <f>YEAR('Data Analysis Addin'!$A1184)</f>
        <v>2025</v>
      </c>
    </row>
    <row r="1185" spans="1:11" x14ac:dyDescent="0.4">
      <c r="A1185" s="16">
        <v>45859</v>
      </c>
      <c r="B1185" s="8">
        <v>628.77</v>
      </c>
      <c r="C1185" s="11">
        <f t="shared" si="88"/>
        <v>602.56960000000004</v>
      </c>
      <c r="D1185" s="11">
        <f t="shared" si="92"/>
        <v>585.73999999999967</v>
      </c>
      <c r="E1185" s="8"/>
      <c r="F1185" s="8"/>
      <c r="G1185" s="8">
        <f t="shared" ca="1" si="89"/>
        <v>602.56960000000004</v>
      </c>
      <c r="H1185" s="8">
        <f t="shared" ca="1" si="90"/>
        <v>585.73999999999967</v>
      </c>
      <c r="I1185" s="12">
        <f ca="1">IF(AND('Data Analysis Addin'!$G1185&lt;='Data Analysis Addin'!$H1185,G1186&gt;H1186), 1, 0)</f>
        <v>0</v>
      </c>
      <c r="J1185" s="2">
        <f t="shared" ca="1" si="91"/>
        <v>0</v>
      </c>
      <c r="K1185" s="17">
        <f>YEAR('Data Analysis Addin'!$A1185)</f>
        <v>2025</v>
      </c>
    </row>
    <row r="1186" spans="1:11" x14ac:dyDescent="0.4">
      <c r="A1186" s="18">
        <v>45860</v>
      </c>
      <c r="B1186" s="9">
        <v>628.86</v>
      </c>
      <c r="C1186" s="11">
        <f t="shared" si="88"/>
        <v>603.8456000000001</v>
      </c>
      <c r="D1186" s="11">
        <f t="shared" si="92"/>
        <v>586.04119999999978</v>
      </c>
      <c r="E1186" s="9"/>
      <c r="F1186" s="9"/>
      <c r="G1186" s="9">
        <f t="shared" ca="1" si="89"/>
        <v>603.8456000000001</v>
      </c>
      <c r="H1186" s="9">
        <f t="shared" ca="1" si="90"/>
        <v>586.04119999999978</v>
      </c>
      <c r="I1186" s="12">
        <f ca="1">IF(AND('Data Analysis Addin'!$G1186&lt;='Data Analysis Addin'!$H1186,G1187&gt;H1187), 1, 0)</f>
        <v>0</v>
      </c>
      <c r="J1186" s="3">
        <f t="shared" ca="1" si="91"/>
        <v>0</v>
      </c>
      <c r="K1186" s="19">
        <f>YEAR('Data Analysis Addin'!$A1186)</f>
        <v>2025</v>
      </c>
    </row>
    <row r="1187" spans="1:11" x14ac:dyDescent="0.4">
      <c r="A1187" s="16">
        <v>45861</v>
      </c>
      <c r="B1187" s="8">
        <v>634.21</v>
      </c>
      <c r="C1187" s="11">
        <f t="shared" si="88"/>
        <v>605.24300000000005</v>
      </c>
      <c r="D1187" s="11">
        <f t="shared" si="92"/>
        <v>586.36794999999984</v>
      </c>
      <c r="E1187" s="8"/>
      <c r="F1187" s="8"/>
      <c r="G1187" s="8">
        <f t="shared" ca="1" si="89"/>
        <v>605.24300000000005</v>
      </c>
      <c r="H1187" s="8">
        <f t="shared" ca="1" si="90"/>
        <v>586.36794999999984</v>
      </c>
      <c r="I1187" s="12">
        <f ca="1">IF(AND('Data Analysis Addin'!$G1187&lt;='Data Analysis Addin'!$H1187,G1188&gt;H1188), 1, 0)</f>
        <v>0</v>
      </c>
      <c r="J1187" s="2">
        <f t="shared" ca="1" si="91"/>
        <v>0</v>
      </c>
      <c r="K1187" s="17">
        <f>YEAR('Data Analysis Addin'!$A1187)</f>
        <v>2025</v>
      </c>
    </row>
    <row r="1188" spans="1:11" x14ac:dyDescent="0.4">
      <c r="A1188" s="18">
        <v>45862</v>
      </c>
      <c r="B1188" s="9">
        <v>634.41999999999996</v>
      </c>
      <c r="C1188" s="11">
        <f t="shared" si="88"/>
        <v>606.27160000000015</v>
      </c>
      <c r="D1188" s="11">
        <f t="shared" si="92"/>
        <v>586.70094999999981</v>
      </c>
      <c r="E1188" s="9"/>
      <c r="F1188" s="9"/>
      <c r="G1188" s="9">
        <f t="shared" ca="1" si="89"/>
        <v>606.27160000000015</v>
      </c>
      <c r="H1188" s="9">
        <f t="shared" ca="1" si="90"/>
        <v>586.70094999999981</v>
      </c>
      <c r="I1188" s="12">
        <f ca="1">IF(AND('Data Analysis Addin'!$G1188&lt;='Data Analysis Addin'!$H1188,G1189&gt;H1189), 1, 0)</f>
        <v>0</v>
      </c>
      <c r="J1188" s="3">
        <f t="shared" ca="1" si="91"/>
        <v>0</v>
      </c>
      <c r="K1188" s="19">
        <f>YEAR('Data Analysis Addin'!$A1188)</f>
        <v>2025</v>
      </c>
    </row>
    <row r="1189" spans="1:11" x14ac:dyDescent="0.4">
      <c r="A1189" s="16">
        <v>45863</v>
      </c>
      <c r="B1189" s="8">
        <v>637.1</v>
      </c>
      <c r="C1189" s="11">
        <f t="shared" si="88"/>
        <v>607.27679999999998</v>
      </c>
      <c r="D1189" s="11">
        <f t="shared" si="92"/>
        <v>587.02154999999982</v>
      </c>
      <c r="E1189" s="8"/>
      <c r="F1189" s="8"/>
      <c r="G1189" s="8">
        <f t="shared" ca="1" si="89"/>
        <v>607.27679999999998</v>
      </c>
      <c r="H1189" s="8">
        <f t="shared" ca="1" si="90"/>
        <v>587.02154999999982</v>
      </c>
      <c r="I1189" s="12">
        <f ca="1">IF(AND('Data Analysis Addin'!$G1189&lt;='Data Analysis Addin'!$H1189,G1190&gt;H1190), 1, 0)</f>
        <v>0</v>
      </c>
      <c r="J1189" s="2">
        <f t="shared" ca="1" si="91"/>
        <v>0</v>
      </c>
      <c r="K1189" s="17">
        <f>YEAR('Data Analysis Addin'!$A1189)</f>
        <v>2025</v>
      </c>
    </row>
    <row r="1190" spans="1:11" x14ac:dyDescent="0.4">
      <c r="A1190" s="18">
        <v>45866</v>
      </c>
      <c r="B1190" s="9">
        <v>636.94000000000005</v>
      </c>
      <c r="C1190" s="11">
        <f t="shared" si="88"/>
        <v>608.26380000000006</v>
      </c>
      <c r="D1190" s="11">
        <f t="shared" si="92"/>
        <v>587.36724999999979</v>
      </c>
      <c r="E1190" s="9"/>
      <c r="F1190" s="9"/>
      <c r="G1190" s="9">
        <f t="shared" ca="1" si="89"/>
        <v>608.26380000000006</v>
      </c>
      <c r="H1190" s="9">
        <f t="shared" ca="1" si="90"/>
        <v>587.36724999999979</v>
      </c>
      <c r="I1190" s="12">
        <f ca="1">IF(AND('Data Analysis Addin'!$G1190&lt;='Data Analysis Addin'!$H1190,G1191&gt;H1191), 1, 0)</f>
        <v>0</v>
      </c>
      <c r="J1190" s="3">
        <f t="shared" ca="1" si="91"/>
        <v>0</v>
      </c>
      <c r="K1190" s="19">
        <f>YEAR('Data Analysis Addin'!$A1190)</f>
        <v>2025</v>
      </c>
    </row>
    <row r="1191" spans="1:11" x14ac:dyDescent="0.4">
      <c r="A1191" s="16">
        <v>45867</v>
      </c>
      <c r="B1191" s="8">
        <v>635.26</v>
      </c>
      <c r="C1191" s="11">
        <f t="shared" si="88"/>
        <v>609.15980000000013</v>
      </c>
      <c r="D1191" s="11">
        <f t="shared" si="92"/>
        <v>587.67769999999973</v>
      </c>
      <c r="E1191" s="8"/>
      <c r="F1191" s="8"/>
      <c r="G1191" s="8">
        <f t="shared" ca="1" si="89"/>
        <v>609.15980000000013</v>
      </c>
      <c r="H1191" s="8">
        <f t="shared" ca="1" si="90"/>
        <v>587.67769999999973</v>
      </c>
      <c r="I1191" s="12">
        <f ca="1">IF(AND('Data Analysis Addin'!$G1191&lt;='Data Analysis Addin'!$H1191,G1192&gt;H1192), 1, 0)</f>
        <v>0</v>
      </c>
      <c r="J1191" s="2">
        <f t="shared" ca="1" si="91"/>
        <v>0</v>
      </c>
      <c r="K1191" s="17">
        <f>YEAR('Data Analysis Addin'!$A1191)</f>
        <v>2025</v>
      </c>
    </row>
    <row r="1192" spans="1:11" x14ac:dyDescent="0.4">
      <c r="A1192" s="18">
        <v>45868</v>
      </c>
      <c r="B1192" s="9">
        <v>634.46</v>
      </c>
      <c r="C1192" s="11">
        <f t="shared" si="88"/>
        <v>609.96500000000015</v>
      </c>
      <c r="D1192" s="11">
        <f t="shared" si="92"/>
        <v>587.96429999999975</v>
      </c>
      <c r="E1192" s="9"/>
      <c r="F1192" s="9"/>
      <c r="G1192" s="9">
        <f t="shared" ca="1" si="89"/>
        <v>609.96500000000015</v>
      </c>
      <c r="H1192" s="9">
        <f t="shared" ca="1" si="90"/>
        <v>587.96429999999975</v>
      </c>
      <c r="I1192" s="12">
        <f ca="1">IF(AND('Data Analysis Addin'!$G1192&lt;='Data Analysis Addin'!$H1192,G1193&gt;H1193), 1, 0)</f>
        <v>0</v>
      </c>
      <c r="J1192" s="3">
        <f t="shared" ca="1" si="91"/>
        <v>0</v>
      </c>
      <c r="K1192" s="19">
        <f>YEAR('Data Analysis Addin'!$A1192)</f>
        <v>2025</v>
      </c>
    </row>
    <row r="1193" spans="1:11" x14ac:dyDescent="0.4">
      <c r="A1193" s="16">
        <v>45869</v>
      </c>
      <c r="B1193" s="8">
        <v>632.08000000000004</v>
      </c>
      <c r="C1193" s="11">
        <f t="shared" si="88"/>
        <v>610.70960000000014</v>
      </c>
      <c r="D1193" s="11">
        <f t="shared" si="92"/>
        <v>588.24404999999979</v>
      </c>
      <c r="E1193" s="8"/>
      <c r="F1193" s="8"/>
      <c r="G1193" s="8">
        <f t="shared" ca="1" si="89"/>
        <v>610.70960000000014</v>
      </c>
      <c r="H1193" s="8">
        <f t="shared" ca="1" si="90"/>
        <v>588.24404999999979</v>
      </c>
      <c r="I1193" s="12">
        <f ca="1">IF(AND('Data Analysis Addin'!$G1193&lt;='Data Analysis Addin'!$H1193,G1194&gt;H1194), 1, 0)</f>
        <v>0</v>
      </c>
      <c r="J1193" s="2">
        <f t="shared" ca="1" si="91"/>
        <v>0</v>
      </c>
      <c r="K1193" s="17">
        <f>YEAR('Data Analysis Addin'!$A1193)</f>
        <v>2025</v>
      </c>
    </row>
    <row r="1194" spans="1:11" x14ac:dyDescent="0.4">
      <c r="A1194" s="18">
        <v>45870</v>
      </c>
      <c r="B1194" s="9">
        <v>621.72</v>
      </c>
      <c r="C1194" s="11">
        <f t="shared" si="88"/>
        <v>611.28700000000015</v>
      </c>
      <c r="D1194" s="11">
        <f t="shared" si="92"/>
        <v>588.45474999999976</v>
      </c>
      <c r="E1194" s="9"/>
      <c r="F1194" s="9"/>
      <c r="G1194" s="9">
        <f t="shared" ca="1" si="89"/>
        <v>611.28700000000015</v>
      </c>
      <c r="H1194" s="9">
        <f t="shared" ca="1" si="90"/>
        <v>588.45474999999976</v>
      </c>
      <c r="I1194" s="12">
        <f ca="1">IF(AND('Data Analysis Addin'!$G1194&lt;='Data Analysis Addin'!$H1194,G1195&gt;H1195), 1, 0)</f>
        <v>0</v>
      </c>
      <c r="J1194" s="3">
        <f t="shared" ca="1" si="91"/>
        <v>0</v>
      </c>
      <c r="K1194" s="19">
        <f>YEAR('Data Analysis Addin'!$A1194)</f>
        <v>2025</v>
      </c>
    </row>
    <row r="1195" spans="1:11" x14ac:dyDescent="0.4">
      <c r="A1195" s="16">
        <v>45873</v>
      </c>
      <c r="B1195" s="8">
        <v>631.16999999999996</v>
      </c>
      <c r="C1195" s="11">
        <f t="shared" si="88"/>
        <v>612.25320000000011</v>
      </c>
      <c r="D1195" s="11">
        <f t="shared" si="92"/>
        <v>588.68899999999985</v>
      </c>
      <c r="E1195" s="8"/>
      <c r="F1195" s="8"/>
      <c r="G1195" s="8">
        <f t="shared" ca="1" si="89"/>
        <v>612.25320000000011</v>
      </c>
      <c r="H1195" s="8">
        <f t="shared" ca="1" si="90"/>
        <v>588.68899999999985</v>
      </c>
      <c r="I1195" s="12">
        <f ca="1">IF(AND('Data Analysis Addin'!$G1195&lt;='Data Analysis Addin'!$H1195,G1196&gt;H1196), 1, 0)</f>
        <v>0</v>
      </c>
      <c r="J1195" s="2">
        <f t="shared" ca="1" si="91"/>
        <v>0</v>
      </c>
      <c r="K1195" s="17">
        <f>YEAR('Data Analysis Addin'!$A1195)</f>
        <v>2025</v>
      </c>
    </row>
    <row r="1196" spans="1:11" x14ac:dyDescent="0.4">
      <c r="A1196" s="18">
        <v>45874</v>
      </c>
      <c r="B1196" s="9">
        <v>627.97</v>
      </c>
      <c r="C1196" s="11">
        <f t="shared" si="88"/>
        <v>613.15080000000012</v>
      </c>
      <c r="D1196" s="11">
        <f t="shared" si="92"/>
        <v>588.92994999999974</v>
      </c>
      <c r="E1196" s="9"/>
      <c r="F1196" s="9"/>
      <c r="G1196" s="9">
        <f t="shared" ca="1" si="89"/>
        <v>613.15080000000012</v>
      </c>
      <c r="H1196" s="9">
        <f t="shared" ca="1" si="90"/>
        <v>588.92994999999974</v>
      </c>
      <c r="I1196" s="12">
        <f ca="1">IF(AND('Data Analysis Addin'!$G1196&lt;='Data Analysis Addin'!$H1196,G1197&gt;H1197), 1, 0)</f>
        <v>0</v>
      </c>
      <c r="J1196" s="3">
        <f t="shared" ca="1" si="91"/>
        <v>0</v>
      </c>
      <c r="K1196" s="19">
        <f>YEAR('Data Analysis Addin'!$A1196)</f>
        <v>2025</v>
      </c>
    </row>
    <row r="1197" spans="1:11" x14ac:dyDescent="0.4">
      <c r="A1197" s="16">
        <v>45875</v>
      </c>
      <c r="B1197" s="8">
        <v>632.78</v>
      </c>
      <c r="C1197" s="11">
        <f t="shared" si="88"/>
        <v>614.22420000000011</v>
      </c>
      <c r="D1197" s="11">
        <f t="shared" si="92"/>
        <v>589.18234999999981</v>
      </c>
      <c r="E1197" s="8"/>
      <c r="F1197" s="8"/>
      <c r="G1197" s="8">
        <f t="shared" ca="1" si="89"/>
        <v>614.22420000000011</v>
      </c>
      <c r="H1197" s="8">
        <f t="shared" ca="1" si="90"/>
        <v>589.18234999999981</v>
      </c>
      <c r="I1197" s="12">
        <f ca="1">IF(AND('Data Analysis Addin'!$G1197&lt;='Data Analysis Addin'!$H1197,G1198&gt;H1198), 1, 0)</f>
        <v>0</v>
      </c>
      <c r="J1197" s="2">
        <f t="shared" ca="1" si="91"/>
        <v>0</v>
      </c>
      <c r="K1197" s="17">
        <f>YEAR('Data Analysis Addin'!$A1197)</f>
        <v>2025</v>
      </c>
    </row>
    <row r="1198" spans="1:11" x14ac:dyDescent="0.4">
      <c r="A1198" s="18">
        <v>45876</v>
      </c>
      <c r="B1198" s="9">
        <v>632.25</v>
      </c>
      <c r="C1198" s="11">
        <f t="shared" si="88"/>
        <v>615.0462</v>
      </c>
      <c r="D1198" s="11">
        <f t="shared" si="92"/>
        <v>589.43184999999971</v>
      </c>
      <c r="E1198" s="9"/>
      <c r="F1198" s="9"/>
      <c r="G1198" s="9">
        <f t="shared" ca="1" si="89"/>
        <v>615.0462</v>
      </c>
      <c r="H1198" s="9">
        <f t="shared" ca="1" si="90"/>
        <v>589.43184999999971</v>
      </c>
      <c r="I1198" s="12">
        <f ca="1">IF(AND('Data Analysis Addin'!$G1198&lt;='Data Analysis Addin'!$H1198,G1199&gt;H1199), 1, 0)</f>
        <v>0</v>
      </c>
      <c r="J1198" s="3">
        <f t="shared" ca="1" si="91"/>
        <v>0</v>
      </c>
      <c r="K1198" s="19">
        <f>YEAR('Data Analysis Addin'!$A1198)</f>
        <v>2025</v>
      </c>
    </row>
    <row r="1199" spans="1:11" x14ac:dyDescent="0.4">
      <c r="A1199" s="16">
        <v>45877</v>
      </c>
      <c r="B1199" s="8">
        <v>637.17999999999995</v>
      </c>
      <c r="C1199" s="11">
        <f t="shared" si="88"/>
        <v>616.03520000000003</v>
      </c>
      <c r="D1199" s="11">
        <f t="shared" si="92"/>
        <v>589.69479999999976</v>
      </c>
      <c r="E1199" s="8"/>
      <c r="F1199" s="8"/>
      <c r="G1199" s="8">
        <f t="shared" ca="1" si="89"/>
        <v>616.03520000000003</v>
      </c>
      <c r="H1199" s="8">
        <f t="shared" ca="1" si="90"/>
        <v>589.69479999999976</v>
      </c>
      <c r="I1199" s="12">
        <f ca="1">IF(AND('Data Analysis Addin'!$G1199&lt;='Data Analysis Addin'!$H1199,G1200&gt;H1200), 1, 0)</f>
        <v>0</v>
      </c>
      <c r="J1199" s="2">
        <f t="shared" ca="1" si="91"/>
        <v>0</v>
      </c>
      <c r="K1199" s="17">
        <f>YEAR('Data Analysis Addin'!$A1199)</f>
        <v>2025</v>
      </c>
    </row>
    <row r="1200" spans="1:11" x14ac:dyDescent="0.4">
      <c r="A1200" s="18">
        <v>45880</v>
      </c>
      <c r="B1200" s="9">
        <v>635.91999999999996</v>
      </c>
      <c r="C1200" s="11">
        <f t="shared" si="88"/>
        <v>616.95260000000007</v>
      </c>
      <c r="D1200" s="11">
        <f t="shared" si="92"/>
        <v>589.95624999999973</v>
      </c>
      <c r="E1200" s="9"/>
      <c r="F1200" s="9"/>
      <c r="G1200" s="9">
        <f t="shared" ca="1" si="89"/>
        <v>616.95260000000007</v>
      </c>
      <c r="H1200" s="9">
        <f t="shared" ca="1" si="90"/>
        <v>589.95624999999973</v>
      </c>
      <c r="I1200" s="12">
        <f ca="1">IF(AND('Data Analysis Addin'!$G1200&lt;='Data Analysis Addin'!$H1200,G1201&gt;H1201), 1, 0)</f>
        <v>0</v>
      </c>
      <c r="J1200" s="3">
        <f t="shared" ca="1" si="91"/>
        <v>0</v>
      </c>
      <c r="K1200" s="19">
        <f>YEAR('Data Analysis Addin'!$A1200)</f>
        <v>2025</v>
      </c>
    </row>
    <row r="1201" spans="1:11" x14ac:dyDescent="0.4">
      <c r="A1201" s="16">
        <v>45881</v>
      </c>
      <c r="B1201" s="8">
        <v>642.69000000000005</v>
      </c>
      <c r="C1201" s="11">
        <f t="shared" si="88"/>
        <v>618.01859999999988</v>
      </c>
      <c r="D1201" s="11">
        <f t="shared" si="92"/>
        <v>590.25309999999979</v>
      </c>
      <c r="E1201" s="8"/>
      <c r="F1201" s="8"/>
      <c r="G1201" s="8">
        <f t="shared" ca="1" si="89"/>
        <v>618.01859999999988</v>
      </c>
      <c r="H1201" s="8">
        <f t="shared" ca="1" si="90"/>
        <v>590.25309999999979</v>
      </c>
      <c r="I1201" s="12">
        <f ca="1">IF(AND('Data Analysis Addin'!$G1201&lt;='Data Analysis Addin'!$H1201,G1202&gt;H1202), 1, 0)</f>
        <v>0</v>
      </c>
      <c r="J1201" s="2">
        <f t="shared" ca="1" si="91"/>
        <v>0</v>
      </c>
      <c r="K1201" s="17">
        <f>YEAR('Data Analysis Addin'!$A1201)</f>
        <v>2025</v>
      </c>
    </row>
    <row r="1202" spans="1:11" x14ac:dyDescent="0.4">
      <c r="A1202" s="18">
        <v>45882</v>
      </c>
      <c r="B1202" s="9">
        <v>644.89</v>
      </c>
      <c r="C1202" s="11">
        <f t="shared" si="88"/>
        <v>619.06219999999996</v>
      </c>
      <c r="D1202" s="11">
        <f t="shared" si="92"/>
        <v>590.58759999999972</v>
      </c>
      <c r="E1202" s="9"/>
      <c r="F1202" s="9"/>
      <c r="G1202" s="9">
        <f t="shared" ca="1" si="89"/>
        <v>619.06219999999996</v>
      </c>
      <c r="H1202" s="9">
        <f t="shared" ca="1" si="90"/>
        <v>590.58759999999972</v>
      </c>
      <c r="I1202" s="12">
        <f ca="1">IF(AND('Data Analysis Addin'!$G1202&lt;='Data Analysis Addin'!$H1202,G1203&gt;H1203), 1, 0)</f>
        <v>0</v>
      </c>
      <c r="J1202" s="3">
        <f t="shared" ca="1" si="91"/>
        <v>0</v>
      </c>
      <c r="K1202" s="19">
        <f>YEAR('Data Analysis Addin'!$A1202)</f>
        <v>2025</v>
      </c>
    </row>
    <row r="1203" spans="1:11" x14ac:dyDescent="0.4">
      <c r="A1203" s="16">
        <v>45883</v>
      </c>
      <c r="B1203" s="8">
        <v>644.95000000000005</v>
      </c>
      <c r="C1203" s="11">
        <f t="shared" si="88"/>
        <v>620.0394</v>
      </c>
      <c r="D1203" s="11">
        <f t="shared" si="92"/>
        <v>590.91614999999967</v>
      </c>
      <c r="E1203" s="8"/>
      <c r="F1203" s="8"/>
      <c r="G1203" s="8">
        <f t="shared" ca="1" si="89"/>
        <v>620.0394</v>
      </c>
      <c r="H1203" s="8">
        <f t="shared" ca="1" si="90"/>
        <v>590.91614999999967</v>
      </c>
      <c r="I1203" s="12">
        <f ca="1">IF(AND('Data Analysis Addin'!$G1203&lt;='Data Analysis Addin'!$H1203,G1204&gt;H1204), 1, 0)</f>
        <v>0</v>
      </c>
      <c r="J1203" s="2">
        <f t="shared" ca="1" si="91"/>
        <v>0</v>
      </c>
      <c r="K1203" s="17">
        <f>YEAR('Data Analysis Addin'!$A1203)</f>
        <v>2025</v>
      </c>
    </row>
    <row r="1204" spans="1:11" x14ac:dyDescent="0.4">
      <c r="A1204" s="18">
        <v>45884</v>
      </c>
      <c r="B1204" s="9">
        <v>643.44000000000005</v>
      </c>
      <c r="C1204" s="11">
        <f t="shared" ref="C1204:C1258" si="93">AVERAGE(B1155:B1204)</f>
        <v>620.98959999999988</v>
      </c>
      <c r="D1204" s="11">
        <f t="shared" si="92"/>
        <v>591.23814999999968</v>
      </c>
      <c r="E1204" s="9"/>
      <c r="F1204" s="9"/>
      <c r="G1204" s="9">
        <f t="shared" ca="1" si="89"/>
        <v>620.98959999999988</v>
      </c>
      <c r="H1204" s="9">
        <f t="shared" ca="1" si="90"/>
        <v>591.23814999999968</v>
      </c>
      <c r="I1204" s="12">
        <f ca="1">IF(AND('Data Analysis Addin'!$G1204&lt;='Data Analysis Addin'!$H1204,G1205&gt;H1205), 1, 0)</f>
        <v>0</v>
      </c>
      <c r="J1204" s="3">
        <f t="shared" ca="1" si="91"/>
        <v>0</v>
      </c>
      <c r="K1204" s="19">
        <f>YEAR('Data Analysis Addin'!$A1204)</f>
        <v>2025</v>
      </c>
    </row>
    <row r="1205" spans="1:11" x14ac:dyDescent="0.4">
      <c r="A1205" s="16">
        <v>45887</v>
      </c>
      <c r="B1205" s="8">
        <v>643.29999999999995</v>
      </c>
      <c r="C1205" s="11">
        <f t="shared" si="93"/>
        <v>621.99459999999988</v>
      </c>
      <c r="D1205" s="11">
        <f t="shared" si="92"/>
        <v>591.55049999999972</v>
      </c>
      <c r="E1205" s="8"/>
      <c r="F1205" s="8"/>
      <c r="G1205" s="8">
        <f t="shared" ca="1" si="89"/>
        <v>621.99459999999988</v>
      </c>
      <c r="H1205" s="8">
        <f t="shared" ca="1" si="90"/>
        <v>591.55049999999972</v>
      </c>
      <c r="I1205" s="12">
        <f ca="1">IF(AND('Data Analysis Addin'!$G1205&lt;='Data Analysis Addin'!$H1205,G1206&gt;H1206), 1, 0)</f>
        <v>0</v>
      </c>
      <c r="J1205" s="2">
        <f t="shared" ca="1" si="91"/>
        <v>0</v>
      </c>
      <c r="K1205" s="17">
        <f>YEAR('Data Analysis Addin'!$A1205)</f>
        <v>2025</v>
      </c>
    </row>
    <row r="1206" spans="1:11" x14ac:dyDescent="0.4">
      <c r="A1206" s="18">
        <v>45888</v>
      </c>
      <c r="B1206" s="9">
        <v>639.80999999999995</v>
      </c>
      <c r="C1206" s="11">
        <f t="shared" si="93"/>
        <v>622.80799999999977</v>
      </c>
      <c r="D1206" s="11">
        <f t="shared" si="92"/>
        <v>591.84069999999974</v>
      </c>
      <c r="E1206" s="9"/>
      <c r="F1206" s="9"/>
      <c r="G1206" s="9">
        <f t="shared" ca="1" si="89"/>
        <v>622.80799999999977</v>
      </c>
      <c r="H1206" s="9">
        <f t="shared" ca="1" si="90"/>
        <v>591.84069999999974</v>
      </c>
      <c r="I1206" s="12">
        <f ca="1">IF(AND('Data Analysis Addin'!$G1206&lt;='Data Analysis Addin'!$H1206,G1207&gt;H1207), 1, 0)</f>
        <v>0</v>
      </c>
      <c r="J1206" s="3">
        <f t="shared" ca="1" si="91"/>
        <v>0</v>
      </c>
      <c r="K1206" s="19">
        <f>YEAR('Data Analysis Addin'!$A1206)</f>
        <v>2025</v>
      </c>
    </row>
    <row r="1207" spans="1:11" x14ac:dyDescent="0.4">
      <c r="A1207" s="16">
        <v>45889</v>
      </c>
      <c r="B1207" s="8">
        <v>638.11</v>
      </c>
      <c r="C1207" s="11">
        <f t="shared" si="93"/>
        <v>623.57659999999987</v>
      </c>
      <c r="D1207" s="11">
        <f t="shared" si="92"/>
        <v>592.13119999999969</v>
      </c>
      <c r="E1207" s="8"/>
      <c r="F1207" s="8"/>
      <c r="G1207" s="8">
        <f t="shared" ca="1" si="89"/>
        <v>623.57659999999987</v>
      </c>
      <c r="H1207" s="8">
        <f t="shared" ca="1" si="90"/>
        <v>592.13119999999969</v>
      </c>
      <c r="I1207" s="12">
        <f ca="1">IF(AND('Data Analysis Addin'!$G1207&lt;='Data Analysis Addin'!$H1207,G1208&gt;H1208), 1, 0)</f>
        <v>0</v>
      </c>
      <c r="J1207" s="2">
        <f t="shared" ca="1" si="91"/>
        <v>0</v>
      </c>
      <c r="K1207" s="17">
        <f>YEAR('Data Analysis Addin'!$A1207)</f>
        <v>2025</v>
      </c>
    </row>
    <row r="1208" spans="1:11" x14ac:dyDescent="0.4">
      <c r="A1208" s="18">
        <v>45890</v>
      </c>
      <c r="B1208" s="9">
        <v>635.54999999999995</v>
      </c>
      <c r="C1208" s="11">
        <f t="shared" si="93"/>
        <v>624.22599999999977</v>
      </c>
      <c r="D1208" s="11">
        <f t="shared" si="92"/>
        <v>592.46574999999973</v>
      </c>
      <c r="E1208" s="9"/>
      <c r="F1208" s="9"/>
      <c r="G1208" s="9">
        <f t="shared" ca="1" si="89"/>
        <v>624.22599999999977</v>
      </c>
      <c r="H1208" s="9">
        <f t="shared" ca="1" si="90"/>
        <v>592.46574999999973</v>
      </c>
      <c r="I1208" s="12">
        <f ca="1">IF(AND('Data Analysis Addin'!$G1208&lt;='Data Analysis Addin'!$H1208,G1209&gt;H1209), 1, 0)</f>
        <v>0</v>
      </c>
      <c r="J1208" s="3">
        <f t="shared" ca="1" si="91"/>
        <v>0</v>
      </c>
      <c r="K1208" s="19">
        <f>YEAR('Data Analysis Addin'!$A1208)</f>
        <v>2025</v>
      </c>
    </row>
    <row r="1209" spans="1:11" x14ac:dyDescent="0.4">
      <c r="A1209" s="16">
        <v>45891</v>
      </c>
      <c r="B1209" s="8">
        <v>645.30999999999995</v>
      </c>
      <c r="C1209" s="11">
        <f t="shared" si="93"/>
        <v>625.10499999999979</v>
      </c>
      <c r="D1209" s="11">
        <f t="shared" si="92"/>
        <v>592.83709999999974</v>
      </c>
      <c r="E1209" s="8"/>
      <c r="F1209" s="8"/>
      <c r="G1209" s="8">
        <f t="shared" ca="1" si="89"/>
        <v>625.10499999999979</v>
      </c>
      <c r="H1209" s="8">
        <f t="shared" ca="1" si="90"/>
        <v>592.83709999999974</v>
      </c>
      <c r="I1209" s="12">
        <f ca="1">IF(AND('Data Analysis Addin'!$G1209&lt;='Data Analysis Addin'!$H1209,G1210&gt;H1210), 1, 0)</f>
        <v>0</v>
      </c>
      <c r="J1209" s="2">
        <f t="shared" ca="1" si="91"/>
        <v>0</v>
      </c>
      <c r="K1209" s="17">
        <f>YEAR('Data Analysis Addin'!$A1209)</f>
        <v>2025</v>
      </c>
    </row>
    <row r="1210" spans="1:11" x14ac:dyDescent="0.4">
      <c r="A1210" s="18">
        <v>45894</v>
      </c>
      <c r="B1210" s="9">
        <v>642.47</v>
      </c>
      <c r="C1210" s="11">
        <f t="shared" si="93"/>
        <v>625.87939999999992</v>
      </c>
      <c r="D1210" s="11">
        <f t="shared" si="92"/>
        <v>593.20039999999972</v>
      </c>
      <c r="E1210" s="9"/>
      <c r="F1210" s="9"/>
      <c r="G1210" s="9">
        <f t="shared" ca="1" si="89"/>
        <v>625.87939999999992</v>
      </c>
      <c r="H1210" s="9">
        <f t="shared" ca="1" si="90"/>
        <v>593.20039999999972</v>
      </c>
      <c r="I1210" s="12">
        <f ca="1">IF(AND('Data Analysis Addin'!$G1210&lt;='Data Analysis Addin'!$H1210,G1211&gt;H1211), 1, 0)</f>
        <v>0</v>
      </c>
      <c r="J1210" s="3">
        <f t="shared" ca="1" si="91"/>
        <v>0</v>
      </c>
      <c r="K1210" s="19">
        <f>YEAR('Data Analysis Addin'!$A1210)</f>
        <v>2025</v>
      </c>
    </row>
    <row r="1211" spans="1:11" x14ac:dyDescent="0.4">
      <c r="A1211" s="16">
        <v>45895</v>
      </c>
      <c r="B1211" s="8">
        <v>645.16</v>
      </c>
      <c r="C1211" s="11">
        <f t="shared" si="93"/>
        <v>626.84259999999983</v>
      </c>
      <c r="D1211" s="11">
        <f t="shared" si="92"/>
        <v>593.54269999999963</v>
      </c>
      <c r="E1211" s="8"/>
      <c r="F1211" s="8"/>
      <c r="G1211" s="8">
        <f t="shared" ca="1" si="89"/>
        <v>626.84259999999983</v>
      </c>
      <c r="H1211" s="8">
        <f t="shared" ca="1" si="90"/>
        <v>593.54269999999963</v>
      </c>
      <c r="I1211" s="12">
        <f ca="1">IF(AND('Data Analysis Addin'!$G1211&lt;='Data Analysis Addin'!$H1211,G1212&gt;H1212), 1, 0)</f>
        <v>0</v>
      </c>
      <c r="J1211" s="2">
        <f t="shared" ca="1" si="91"/>
        <v>0</v>
      </c>
      <c r="K1211" s="17">
        <f>YEAR('Data Analysis Addin'!$A1211)</f>
        <v>2025</v>
      </c>
    </row>
    <row r="1212" spans="1:11" x14ac:dyDescent="0.4">
      <c r="A1212" s="18">
        <v>45896</v>
      </c>
      <c r="B1212" s="9">
        <v>646.63</v>
      </c>
      <c r="C1212" s="11">
        <f t="shared" si="93"/>
        <v>627.72159999999997</v>
      </c>
      <c r="D1212" s="11">
        <f t="shared" si="92"/>
        <v>593.82064999999977</v>
      </c>
      <c r="E1212" s="9"/>
      <c r="F1212" s="9"/>
      <c r="G1212" s="9">
        <f t="shared" ca="1" si="89"/>
        <v>627.72159999999997</v>
      </c>
      <c r="H1212" s="9">
        <f t="shared" ca="1" si="90"/>
        <v>593.82064999999977</v>
      </c>
      <c r="I1212" s="12">
        <f ca="1">IF(AND('Data Analysis Addin'!$G1212&lt;='Data Analysis Addin'!$H1212,G1213&gt;H1213), 1, 0)</f>
        <v>0</v>
      </c>
      <c r="J1212" s="3">
        <f t="shared" ca="1" si="91"/>
        <v>0</v>
      </c>
      <c r="K1212" s="19">
        <f>YEAR('Data Analysis Addin'!$A1212)</f>
        <v>2025</v>
      </c>
    </row>
    <row r="1213" spans="1:11" x14ac:dyDescent="0.4">
      <c r="A1213" s="16">
        <v>45897</v>
      </c>
      <c r="B1213" s="8">
        <v>648.91999999999996</v>
      </c>
      <c r="C1213" s="11">
        <f t="shared" si="93"/>
        <v>628.74939999999992</v>
      </c>
      <c r="D1213" s="11">
        <f t="shared" si="92"/>
        <v>594.08719999999971</v>
      </c>
      <c r="E1213" s="8"/>
      <c r="F1213" s="8"/>
      <c r="G1213" s="8">
        <f t="shared" ca="1" si="89"/>
        <v>628.74939999999992</v>
      </c>
      <c r="H1213" s="8">
        <f t="shared" ca="1" si="90"/>
        <v>594.08719999999971</v>
      </c>
      <c r="I1213" s="12">
        <f ca="1">IF(AND('Data Analysis Addin'!$G1213&lt;='Data Analysis Addin'!$H1213,G1214&gt;H1214), 1, 0)</f>
        <v>0</v>
      </c>
      <c r="J1213" s="2">
        <f t="shared" ca="1" si="91"/>
        <v>0</v>
      </c>
      <c r="K1213" s="17">
        <f>YEAR('Data Analysis Addin'!$A1213)</f>
        <v>2025</v>
      </c>
    </row>
    <row r="1214" spans="1:11" x14ac:dyDescent="0.4">
      <c r="A1214" s="18">
        <v>45898</v>
      </c>
      <c r="B1214" s="9">
        <v>645.04999999999995</v>
      </c>
      <c r="C1214" s="11">
        <f t="shared" si="93"/>
        <v>629.70159999999998</v>
      </c>
      <c r="D1214" s="11">
        <f t="shared" si="92"/>
        <v>594.32149999999979</v>
      </c>
      <c r="E1214" s="9"/>
      <c r="F1214" s="9"/>
      <c r="G1214" s="9">
        <f t="shared" ca="1" si="89"/>
        <v>629.70159999999998</v>
      </c>
      <c r="H1214" s="9">
        <f t="shared" ca="1" si="90"/>
        <v>594.32149999999979</v>
      </c>
      <c r="I1214" s="12">
        <f ca="1">IF(AND('Data Analysis Addin'!$G1214&lt;='Data Analysis Addin'!$H1214,G1215&gt;H1215), 1, 0)</f>
        <v>0</v>
      </c>
      <c r="J1214" s="3">
        <f t="shared" ca="1" si="91"/>
        <v>0</v>
      </c>
      <c r="K1214" s="19">
        <f>YEAR('Data Analysis Addin'!$A1214)</f>
        <v>2025</v>
      </c>
    </row>
    <row r="1215" spans="1:11" x14ac:dyDescent="0.4">
      <c r="A1215" s="16">
        <v>45902</v>
      </c>
      <c r="B1215" s="8">
        <v>640.27</v>
      </c>
      <c r="C1215" s="11">
        <f t="shared" si="93"/>
        <v>630.62139999999999</v>
      </c>
      <c r="D1215" s="11">
        <f t="shared" si="92"/>
        <v>594.52904999999987</v>
      </c>
      <c r="E1215" s="8"/>
      <c r="F1215" s="8"/>
      <c r="G1215" s="8">
        <f t="shared" ca="1" si="89"/>
        <v>630.62139999999999</v>
      </c>
      <c r="H1215" s="8">
        <f t="shared" ca="1" si="90"/>
        <v>594.52904999999987</v>
      </c>
      <c r="I1215" s="12">
        <f ca="1">IF(AND('Data Analysis Addin'!$G1215&lt;='Data Analysis Addin'!$H1215,G1216&gt;H1216), 1, 0)</f>
        <v>0</v>
      </c>
      <c r="J1215" s="2">
        <f t="shared" ca="1" si="91"/>
        <v>0</v>
      </c>
      <c r="K1215" s="17">
        <f>YEAR('Data Analysis Addin'!$A1215)</f>
        <v>2025</v>
      </c>
    </row>
    <row r="1216" spans="1:11" x14ac:dyDescent="0.4">
      <c r="A1216" s="18">
        <v>45903</v>
      </c>
      <c r="B1216" s="9">
        <v>643.74</v>
      </c>
      <c r="C1216" s="11">
        <f t="shared" si="93"/>
        <v>631.49320000000012</v>
      </c>
      <c r="D1216" s="11">
        <f t="shared" si="92"/>
        <v>594.76324999999986</v>
      </c>
      <c r="E1216" s="9"/>
      <c r="F1216" s="9"/>
      <c r="G1216" s="9">
        <f t="shared" ca="1" si="89"/>
        <v>631.49320000000012</v>
      </c>
      <c r="H1216" s="9">
        <f t="shared" ca="1" si="90"/>
        <v>594.76324999999986</v>
      </c>
      <c r="I1216" s="12">
        <f ca="1">IF(AND('Data Analysis Addin'!$G1216&lt;='Data Analysis Addin'!$H1216,G1217&gt;H1217), 1, 0)</f>
        <v>0</v>
      </c>
      <c r="J1216" s="3">
        <f t="shared" ca="1" si="91"/>
        <v>0</v>
      </c>
      <c r="K1216" s="19">
        <f>YEAR('Data Analysis Addin'!$A1216)</f>
        <v>2025</v>
      </c>
    </row>
    <row r="1217" spans="1:11" x14ac:dyDescent="0.4">
      <c r="A1217" s="16">
        <v>45904</v>
      </c>
      <c r="B1217" s="8">
        <v>649.12</v>
      </c>
      <c r="C1217" s="11">
        <f t="shared" si="93"/>
        <v>632.33999999999992</v>
      </c>
      <c r="D1217" s="11">
        <f t="shared" si="92"/>
        <v>595.02289999999982</v>
      </c>
      <c r="E1217" s="8"/>
      <c r="F1217" s="8"/>
      <c r="G1217" s="8">
        <f t="shared" ca="1" si="89"/>
        <v>632.33999999999992</v>
      </c>
      <c r="H1217" s="8">
        <f t="shared" ca="1" si="90"/>
        <v>595.02289999999982</v>
      </c>
      <c r="I1217" s="12">
        <f ca="1">IF(AND('Data Analysis Addin'!$G1217&lt;='Data Analysis Addin'!$H1217,G1218&gt;H1218), 1, 0)</f>
        <v>0</v>
      </c>
      <c r="J1217" s="2">
        <f t="shared" ca="1" si="91"/>
        <v>0</v>
      </c>
      <c r="K1217" s="17">
        <f>YEAR('Data Analysis Addin'!$A1217)</f>
        <v>2025</v>
      </c>
    </row>
    <row r="1218" spans="1:11" x14ac:dyDescent="0.4">
      <c r="A1218" s="18">
        <v>45905</v>
      </c>
      <c r="B1218" s="9">
        <v>647.24</v>
      </c>
      <c r="C1218" s="11">
        <f t="shared" si="93"/>
        <v>633.14240000000007</v>
      </c>
      <c r="D1218" s="11">
        <f t="shared" si="92"/>
        <v>595.29234999999983</v>
      </c>
      <c r="E1218" s="9"/>
      <c r="F1218" s="9"/>
      <c r="G1218" s="9">
        <f t="shared" ca="1" si="89"/>
        <v>633.14240000000007</v>
      </c>
      <c r="H1218" s="9">
        <f t="shared" ca="1" si="90"/>
        <v>595.29234999999983</v>
      </c>
      <c r="I1218" s="12">
        <f ca="1">IF(AND('Data Analysis Addin'!$G1218&lt;='Data Analysis Addin'!$H1218,G1219&gt;H1219), 1, 0)</f>
        <v>0</v>
      </c>
      <c r="J1218" s="3">
        <f t="shared" ca="1" si="91"/>
        <v>0</v>
      </c>
      <c r="K1218" s="19">
        <f>YEAR('Data Analysis Addin'!$A1218)</f>
        <v>2025</v>
      </c>
    </row>
    <row r="1219" spans="1:11" x14ac:dyDescent="0.4">
      <c r="A1219" s="16">
        <v>45908</v>
      </c>
      <c r="B1219" s="8">
        <v>648.83000000000004</v>
      </c>
      <c r="C1219" s="11">
        <f t="shared" si="93"/>
        <v>633.88160000000005</v>
      </c>
      <c r="D1219" s="11">
        <f t="shared" si="92"/>
        <v>595.6077499999999</v>
      </c>
      <c r="E1219" s="8"/>
      <c r="F1219" s="8"/>
      <c r="G1219" s="8">
        <f t="shared" ref="G1219:G1258" ca="1" si="94">AVERAGE(OFFSET($B1219,0,0,-(MIN(ROW()-ROW($B$3)+1,n_50)),1))</f>
        <v>633.88160000000005</v>
      </c>
      <c r="H1219" s="8">
        <f t="shared" ref="H1219:H1258" ca="1" si="95">AVERAGE(OFFSET($B1219,0,0,-(MIN(ROW()-ROW($B$3)+1,n_200)),1))</f>
        <v>595.6077499999999</v>
      </c>
      <c r="I1219" s="12">
        <f ca="1">IF(AND('Data Analysis Addin'!$G1219&lt;='Data Analysis Addin'!$H1219,G1220&gt;H1220), 1, 0)</f>
        <v>0</v>
      </c>
      <c r="J1219" s="2">
        <f t="shared" ref="J1219:J1258" ca="1" si="96">IF($G1219&lt;$H1219,1,0)</f>
        <v>0</v>
      </c>
      <c r="K1219" s="17">
        <f>YEAR('Data Analysis Addin'!$A1219)</f>
        <v>2025</v>
      </c>
    </row>
    <row r="1220" spans="1:11" x14ac:dyDescent="0.4">
      <c r="A1220" s="18">
        <v>45909</v>
      </c>
      <c r="B1220" s="9">
        <v>650.33000000000004</v>
      </c>
      <c r="C1220" s="11">
        <f t="shared" si="93"/>
        <v>634.59</v>
      </c>
      <c r="D1220" s="11">
        <f t="shared" si="92"/>
        <v>595.91864999999996</v>
      </c>
      <c r="E1220" s="9"/>
      <c r="F1220" s="9"/>
      <c r="G1220" s="9">
        <f t="shared" ca="1" si="94"/>
        <v>634.59</v>
      </c>
      <c r="H1220" s="9">
        <f t="shared" ca="1" si="95"/>
        <v>595.91864999999996</v>
      </c>
      <c r="I1220" s="12">
        <f ca="1">IF(AND('Data Analysis Addin'!$G1220&lt;='Data Analysis Addin'!$H1220,G1221&gt;H1221), 1, 0)</f>
        <v>0</v>
      </c>
      <c r="J1220" s="3">
        <f t="shared" ca="1" si="96"/>
        <v>0</v>
      </c>
      <c r="K1220" s="19">
        <f>YEAR('Data Analysis Addin'!$A1220)</f>
        <v>2025</v>
      </c>
    </row>
    <row r="1221" spans="1:11" x14ac:dyDescent="0.4">
      <c r="A1221" s="16">
        <v>45910</v>
      </c>
      <c r="B1221" s="8">
        <v>652.21</v>
      </c>
      <c r="C1221" s="11">
        <f t="shared" si="93"/>
        <v>635.27719999999999</v>
      </c>
      <c r="D1221" s="11">
        <f t="shared" si="92"/>
        <v>596.22820000000002</v>
      </c>
      <c r="E1221" s="8"/>
      <c r="F1221" s="8"/>
      <c r="G1221" s="8">
        <f t="shared" ca="1" si="94"/>
        <v>635.27719999999999</v>
      </c>
      <c r="H1221" s="8">
        <f t="shared" ca="1" si="95"/>
        <v>596.22820000000002</v>
      </c>
      <c r="I1221" s="12">
        <f ca="1">IF(AND('Data Analysis Addin'!$G1221&lt;='Data Analysis Addin'!$H1221,G1222&gt;H1222), 1, 0)</f>
        <v>0</v>
      </c>
      <c r="J1221" s="2">
        <f t="shared" ca="1" si="96"/>
        <v>0</v>
      </c>
      <c r="K1221" s="17">
        <f>YEAR('Data Analysis Addin'!$A1221)</f>
        <v>2025</v>
      </c>
    </row>
    <row r="1222" spans="1:11" x14ac:dyDescent="0.4">
      <c r="A1222" s="18">
        <v>45911</v>
      </c>
      <c r="B1222" s="9">
        <v>657.63</v>
      </c>
      <c r="C1222" s="11">
        <f t="shared" si="93"/>
        <v>636.07680000000005</v>
      </c>
      <c r="D1222" s="11">
        <f t="shared" si="92"/>
        <v>596.56385000000012</v>
      </c>
      <c r="E1222" s="9"/>
      <c r="F1222" s="9"/>
      <c r="G1222" s="9">
        <f t="shared" ca="1" si="94"/>
        <v>636.07680000000005</v>
      </c>
      <c r="H1222" s="9">
        <f t="shared" ca="1" si="95"/>
        <v>596.56385000000012</v>
      </c>
      <c r="I1222" s="12">
        <f ca="1">IF(AND('Data Analysis Addin'!$G1222&lt;='Data Analysis Addin'!$H1222,G1223&gt;H1223), 1, 0)</f>
        <v>0</v>
      </c>
      <c r="J1222" s="3">
        <f t="shared" ca="1" si="96"/>
        <v>0</v>
      </c>
      <c r="K1222" s="19">
        <f>YEAR('Data Analysis Addin'!$A1222)</f>
        <v>2025</v>
      </c>
    </row>
    <row r="1223" spans="1:11" x14ac:dyDescent="0.4">
      <c r="A1223" s="16">
        <v>45912</v>
      </c>
      <c r="B1223" s="8">
        <v>657.41</v>
      </c>
      <c r="C1223" s="11">
        <f t="shared" si="93"/>
        <v>636.81600000000014</v>
      </c>
      <c r="D1223" s="11">
        <f t="shared" si="92"/>
        <v>596.88255000000004</v>
      </c>
      <c r="E1223" s="8"/>
      <c r="F1223" s="8"/>
      <c r="G1223" s="8">
        <f t="shared" ca="1" si="94"/>
        <v>636.81600000000014</v>
      </c>
      <c r="H1223" s="8">
        <f t="shared" ca="1" si="95"/>
        <v>596.88255000000004</v>
      </c>
      <c r="I1223" s="12">
        <f ca="1">IF(AND('Data Analysis Addin'!$G1223&lt;='Data Analysis Addin'!$H1223,G1224&gt;H1224), 1, 0)</f>
        <v>0</v>
      </c>
      <c r="J1223" s="2">
        <f t="shared" ca="1" si="96"/>
        <v>0</v>
      </c>
      <c r="K1223" s="17">
        <f>YEAR('Data Analysis Addin'!$A1223)</f>
        <v>2025</v>
      </c>
    </row>
    <row r="1224" spans="1:11" x14ac:dyDescent="0.4">
      <c r="A1224" s="18">
        <v>45915</v>
      </c>
      <c r="B1224" s="9">
        <v>660.91</v>
      </c>
      <c r="C1224" s="11">
        <f t="shared" si="93"/>
        <v>637.52740000000017</v>
      </c>
      <c r="D1224" s="11">
        <f t="shared" si="92"/>
        <v>597.20955000000004</v>
      </c>
      <c r="E1224" s="9"/>
      <c r="F1224" s="9"/>
      <c r="G1224" s="9">
        <f t="shared" ca="1" si="94"/>
        <v>637.52740000000017</v>
      </c>
      <c r="H1224" s="9">
        <f t="shared" ca="1" si="95"/>
        <v>597.20955000000004</v>
      </c>
      <c r="I1224" s="12">
        <f ca="1">IF(AND('Data Analysis Addin'!$G1224&lt;='Data Analysis Addin'!$H1224,G1225&gt;H1225), 1, 0)</f>
        <v>0</v>
      </c>
      <c r="J1224" s="3">
        <f t="shared" ca="1" si="96"/>
        <v>0</v>
      </c>
      <c r="K1224" s="19">
        <f>YEAR('Data Analysis Addin'!$A1224)</f>
        <v>2025</v>
      </c>
    </row>
    <row r="1225" spans="1:11" x14ac:dyDescent="0.4">
      <c r="A1225" s="16">
        <v>45916</v>
      </c>
      <c r="B1225" s="8">
        <v>660</v>
      </c>
      <c r="C1225" s="11">
        <f t="shared" si="93"/>
        <v>638.31380000000013</v>
      </c>
      <c r="D1225" s="11">
        <f t="shared" si="92"/>
        <v>597.52190000000007</v>
      </c>
      <c r="E1225" s="8"/>
      <c r="F1225" s="8"/>
      <c r="G1225" s="8">
        <f t="shared" ca="1" si="94"/>
        <v>638.31380000000013</v>
      </c>
      <c r="H1225" s="8">
        <f t="shared" ca="1" si="95"/>
        <v>597.52190000000007</v>
      </c>
      <c r="I1225" s="12">
        <f ca="1">IF(AND('Data Analysis Addin'!$G1225&lt;='Data Analysis Addin'!$H1225,G1226&gt;H1226), 1, 0)</f>
        <v>0</v>
      </c>
      <c r="J1225" s="2">
        <f t="shared" ca="1" si="96"/>
        <v>0</v>
      </c>
      <c r="K1225" s="17">
        <f>YEAR('Data Analysis Addin'!$A1225)</f>
        <v>2025</v>
      </c>
    </row>
    <row r="1226" spans="1:11" x14ac:dyDescent="0.4">
      <c r="A1226" s="18">
        <v>45917</v>
      </c>
      <c r="B1226" s="9">
        <v>659.18</v>
      </c>
      <c r="C1226" s="11">
        <f t="shared" si="93"/>
        <v>639.09060000000022</v>
      </c>
      <c r="D1226" s="11">
        <f t="shared" ref="D1226:D1258" si="97">AVERAGE(B1027:B1226)</f>
        <v>597.81455000000005</v>
      </c>
      <c r="E1226" s="9"/>
      <c r="F1226" s="9"/>
      <c r="G1226" s="9">
        <f t="shared" ca="1" si="94"/>
        <v>639.09060000000022</v>
      </c>
      <c r="H1226" s="9">
        <f t="shared" ca="1" si="95"/>
        <v>597.81455000000005</v>
      </c>
      <c r="I1226" s="12">
        <f ca="1">IF(AND('Data Analysis Addin'!$G1226&lt;='Data Analysis Addin'!$H1226,G1227&gt;H1227), 1, 0)</f>
        <v>0</v>
      </c>
      <c r="J1226" s="3">
        <f t="shared" ca="1" si="96"/>
        <v>0</v>
      </c>
      <c r="K1226" s="19">
        <f>YEAR('Data Analysis Addin'!$A1226)</f>
        <v>2025</v>
      </c>
    </row>
    <row r="1227" spans="1:11" x14ac:dyDescent="0.4">
      <c r="A1227" s="16">
        <v>45918</v>
      </c>
      <c r="B1227" s="8">
        <v>662.26</v>
      </c>
      <c r="C1227" s="11">
        <f t="shared" si="93"/>
        <v>639.85460000000012</v>
      </c>
      <c r="D1227" s="11">
        <f t="shared" si="97"/>
        <v>598.13170000000002</v>
      </c>
      <c r="E1227" s="8"/>
      <c r="F1227" s="8"/>
      <c r="G1227" s="8">
        <f t="shared" ca="1" si="94"/>
        <v>639.85460000000012</v>
      </c>
      <c r="H1227" s="8">
        <f t="shared" ca="1" si="95"/>
        <v>598.13170000000002</v>
      </c>
      <c r="I1227" s="12">
        <f ca="1">IF(AND('Data Analysis Addin'!$G1227&lt;='Data Analysis Addin'!$H1227,G1228&gt;H1228), 1, 0)</f>
        <v>0</v>
      </c>
      <c r="J1227" s="2">
        <f t="shared" ca="1" si="96"/>
        <v>0</v>
      </c>
      <c r="K1227" s="17">
        <f>YEAR('Data Analysis Addin'!$A1227)</f>
        <v>2025</v>
      </c>
    </row>
    <row r="1228" spans="1:11" x14ac:dyDescent="0.4">
      <c r="A1228" s="18">
        <v>45919</v>
      </c>
      <c r="B1228" s="9">
        <v>663.7</v>
      </c>
      <c r="C1228" s="11">
        <f t="shared" si="93"/>
        <v>640.61220000000014</v>
      </c>
      <c r="D1228" s="11">
        <f t="shared" si="97"/>
        <v>598.4374499999999</v>
      </c>
      <c r="E1228" s="9"/>
      <c r="F1228" s="9"/>
      <c r="G1228" s="9">
        <f t="shared" ca="1" si="94"/>
        <v>640.61220000000014</v>
      </c>
      <c r="H1228" s="9">
        <f t="shared" ca="1" si="95"/>
        <v>598.4374499999999</v>
      </c>
      <c r="I1228" s="12">
        <f ca="1">IF(AND('Data Analysis Addin'!$G1228&lt;='Data Analysis Addin'!$H1228,G1229&gt;H1229), 1, 0)</f>
        <v>0</v>
      </c>
      <c r="J1228" s="3">
        <f t="shared" ca="1" si="96"/>
        <v>0</v>
      </c>
      <c r="K1228" s="19">
        <f>YEAR('Data Analysis Addin'!$A1228)</f>
        <v>2025</v>
      </c>
    </row>
    <row r="1229" spans="1:11" x14ac:dyDescent="0.4">
      <c r="A1229" s="16">
        <v>45922</v>
      </c>
      <c r="B1229" s="8">
        <v>666.84</v>
      </c>
      <c r="C1229" s="11">
        <f t="shared" si="93"/>
        <v>641.47660000000019</v>
      </c>
      <c r="D1229" s="11">
        <f t="shared" si="97"/>
        <v>598.75349999999992</v>
      </c>
      <c r="E1229" s="8"/>
      <c r="F1229" s="8"/>
      <c r="G1229" s="8">
        <f t="shared" ca="1" si="94"/>
        <v>641.47660000000019</v>
      </c>
      <c r="H1229" s="8">
        <f t="shared" ca="1" si="95"/>
        <v>598.75349999999992</v>
      </c>
      <c r="I1229" s="12">
        <f ca="1">IF(AND('Data Analysis Addin'!$G1229&lt;='Data Analysis Addin'!$H1229,G1230&gt;H1230), 1, 0)</f>
        <v>0</v>
      </c>
      <c r="J1229" s="2">
        <f t="shared" ca="1" si="96"/>
        <v>0</v>
      </c>
      <c r="K1229" s="17">
        <f>YEAR('Data Analysis Addin'!$A1229)</f>
        <v>2025</v>
      </c>
    </row>
    <row r="1230" spans="1:11" x14ac:dyDescent="0.4">
      <c r="A1230" s="18">
        <v>45923</v>
      </c>
      <c r="B1230" s="9">
        <v>663.21</v>
      </c>
      <c r="C1230" s="11">
        <f t="shared" si="93"/>
        <v>642.2446000000001</v>
      </c>
      <c r="D1230" s="11">
        <f t="shared" si="97"/>
        <v>599.04999999999995</v>
      </c>
      <c r="E1230" s="9"/>
      <c r="F1230" s="9"/>
      <c r="G1230" s="9">
        <f t="shared" ca="1" si="94"/>
        <v>642.2446000000001</v>
      </c>
      <c r="H1230" s="9">
        <f t="shared" ca="1" si="95"/>
        <v>599.04999999999995</v>
      </c>
      <c r="I1230" s="12">
        <f ca="1">IF(AND('Data Analysis Addin'!$G1230&lt;='Data Analysis Addin'!$H1230,G1231&gt;H1231), 1, 0)</f>
        <v>0</v>
      </c>
      <c r="J1230" s="3">
        <f t="shared" ca="1" si="96"/>
        <v>0</v>
      </c>
      <c r="K1230" s="19">
        <f>YEAR('Data Analysis Addin'!$A1230)</f>
        <v>2025</v>
      </c>
    </row>
    <row r="1231" spans="1:11" x14ac:dyDescent="0.4">
      <c r="A1231" s="16">
        <v>45924</v>
      </c>
      <c r="B1231" s="8">
        <v>661.1</v>
      </c>
      <c r="C1231" s="11">
        <f t="shared" si="93"/>
        <v>643.02380000000016</v>
      </c>
      <c r="D1231" s="11">
        <f t="shared" si="97"/>
        <v>599.31719999999984</v>
      </c>
      <c r="E1231" s="8"/>
      <c r="F1231" s="8"/>
      <c r="G1231" s="8">
        <f t="shared" ca="1" si="94"/>
        <v>643.02380000000016</v>
      </c>
      <c r="H1231" s="8">
        <f t="shared" ca="1" si="95"/>
        <v>599.31719999999984</v>
      </c>
      <c r="I1231" s="12">
        <f ca="1">IF(AND('Data Analysis Addin'!$G1231&lt;='Data Analysis Addin'!$H1231,G1232&gt;H1232), 1, 0)</f>
        <v>0</v>
      </c>
      <c r="J1231" s="2">
        <f t="shared" ca="1" si="96"/>
        <v>0</v>
      </c>
      <c r="K1231" s="17">
        <f>YEAR('Data Analysis Addin'!$A1231)</f>
        <v>2025</v>
      </c>
    </row>
    <row r="1232" spans="1:11" x14ac:dyDescent="0.4">
      <c r="A1232" s="18">
        <v>45925</v>
      </c>
      <c r="B1232" s="9">
        <v>658.05</v>
      </c>
      <c r="C1232" s="11">
        <f t="shared" si="93"/>
        <v>643.70040000000006</v>
      </c>
      <c r="D1232" s="11">
        <f t="shared" si="97"/>
        <v>599.57414999999992</v>
      </c>
      <c r="E1232" s="9"/>
      <c r="F1232" s="9"/>
      <c r="G1232" s="9">
        <f t="shared" ca="1" si="94"/>
        <v>643.70040000000006</v>
      </c>
      <c r="H1232" s="9">
        <f t="shared" ca="1" si="95"/>
        <v>599.57414999999992</v>
      </c>
      <c r="I1232" s="12">
        <f ca="1">IF(AND('Data Analysis Addin'!$G1232&lt;='Data Analysis Addin'!$H1232,G1233&gt;H1233), 1, 0)</f>
        <v>0</v>
      </c>
      <c r="J1232" s="3">
        <f t="shared" ca="1" si="96"/>
        <v>0</v>
      </c>
      <c r="K1232" s="19">
        <f>YEAR('Data Analysis Addin'!$A1232)</f>
        <v>2025</v>
      </c>
    </row>
    <row r="1233" spans="1:11" x14ac:dyDescent="0.4">
      <c r="A1233" s="16">
        <v>45926</v>
      </c>
      <c r="B1233" s="8">
        <v>661.82</v>
      </c>
      <c r="C1233" s="11">
        <f t="shared" si="93"/>
        <v>644.37600000000009</v>
      </c>
      <c r="D1233" s="11">
        <f t="shared" si="97"/>
        <v>599.84419999999989</v>
      </c>
      <c r="E1233" s="8"/>
      <c r="F1233" s="8"/>
      <c r="G1233" s="8">
        <f t="shared" ca="1" si="94"/>
        <v>644.37600000000009</v>
      </c>
      <c r="H1233" s="8">
        <f t="shared" ca="1" si="95"/>
        <v>599.84419999999989</v>
      </c>
      <c r="I1233" s="12">
        <f ca="1">IF(AND('Data Analysis Addin'!$G1233&lt;='Data Analysis Addin'!$H1233,G1234&gt;H1234), 1, 0)</f>
        <v>0</v>
      </c>
      <c r="J1233" s="2">
        <f t="shared" ca="1" si="96"/>
        <v>0</v>
      </c>
      <c r="K1233" s="17">
        <f>YEAR('Data Analysis Addin'!$A1233)</f>
        <v>2025</v>
      </c>
    </row>
    <row r="1234" spans="1:11" x14ac:dyDescent="0.4">
      <c r="A1234" s="18">
        <v>45929</v>
      </c>
      <c r="B1234" s="9">
        <v>663.68</v>
      </c>
      <c r="C1234" s="11">
        <f t="shared" si="93"/>
        <v>645.09800000000007</v>
      </c>
      <c r="D1234" s="11">
        <f t="shared" si="97"/>
        <v>600.13919999999996</v>
      </c>
      <c r="E1234" s="9"/>
      <c r="F1234" s="9"/>
      <c r="G1234" s="9">
        <f t="shared" ca="1" si="94"/>
        <v>645.09800000000007</v>
      </c>
      <c r="H1234" s="9">
        <f t="shared" ca="1" si="95"/>
        <v>600.13919999999996</v>
      </c>
      <c r="I1234" s="12">
        <f ca="1">IF(AND('Data Analysis Addin'!$G1234&lt;='Data Analysis Addin'!$H1234,G1235&gt;H1235), 1, 0)</f>
        <v>0</v>
      </c>
      <c r="J1234" s="3">
        <f t="shared" ca="1" si="96"/>
        <v>0</v>
      </c>
      <c r="K1234" s="19">
        <f>YEAR('Data Analysis Addin'!$A1234)</f>
        <v>2025</v>
      </c>
    </row>
    <row r="1235" spans="1:11" x14ac:dyDescent="0.4">
      <c r="A1235" s="16">
        <v>45930</v>
      </c>
      <c r="B1235" s="8">
        <v>666.18</v>
      </c>
      <c r="C1235" s="11">
        <f t="shared" si="93"/>
        <v>645.84620000000007</v>
      </c>
      <c r="D1235" s="11">
        <f t="shared" si="97"/>
        <v>600.45609999999988</v>
      </c>
      <c r="E1235" s="8"/>
      <c r="F1235" s="8"/>
      <c r="G1235" s="8">
        <f t="shared" ca="1" si="94"/>
        <v>645.84620000000007</v>
      </c>
      <c r="H1235" s="8">
        <f t="shared" ca="1" si="95"/>
        <v>600.45609999999988</v>
      </c>
      <c r="I1235" s="12">
        <f ca="1">IF(AND('Data Analysis Addin'!$G1235&lt;='Data Analysis Addin'!$H1235,G1236&gt;H1236), 1, 0)</f>
        <v>0</v>
      </c>
      <c r="J1235" s="2">
        <f t="shared" ca="1" si="96"/>
        <v>0</v>
      </c>
      <c r="K1235" s="17">
        <f>YEAR('Data Analysis Addin'!$A1235)</f>
        <v>2025</v>
      </c>
    </row>
    <row r="1236" spans="1:11" x14ac:dyDescent="0.4">
      <c r="A1236" s="18">
        <v>45931</v>
      </c>
      <c r="B1236" s="9">
        <v>668.45</v>
      </c>
      <c r="C1236" s="11">
        <f t="shared" si="93"/>
        <v>646.63800000000003</v>
      </c>
      <c r="D1236" s="11">
        <f t="shared" si="97"/>
        <v>600.76104999999995</v>
      </c>
      <c r="E1236" s="9"/>
      <c r="F1236" s="9"/>
      <c r="G1236" s="9">
        <f t="shared" ca="1" si="94"/>
        <v>646.63800000000003</v>
      </c>
      <c r="H1236" s="9">
        <f t="shared" ca="1" si="95"/>
        <v>600.76104999999995</v>
      </c>
      <c r="I1236" s="12">
        <f ca="1">IF(AND('Data Analysis Addin'!$G1236&lt;='Data Analysis Addin'!$H1236,G1237&gt;H1237), 1, 0)</f>
        <v>0</v>
      </c>
      <c r="J1236" s="3">
        <f t="shared" ca="1" si="96"/>
        <v>0</v>
      </c>
      <c r="K1236" s="19">
        <f>YEAR('Data Analysis Addin'!$A1236)</f>
        <v>2025</v>
      </c>
    </row>
    <row r="1237" spans="1:11" x14ac:dyDescent="0.4">
      <c r="A1237" s="16">
        <v>45932</v>
      </c>
      <c r="B1237" s="8">
        <v>669.22</v>
      </c>
      <c r="C1237" s="11">
        <f t="shared" si="93"/>
        <v>647.33820000000003</v>
      </c>
      <c r="D1237" s="11">
        <f t="shared" si="97"/>
        <v>601.08550000000002</v>
      </c>
      <c r="E1237" s="8"/>
      <c r="F1237" s="8"/>
      <c r="G1237" s="8">
        <f t="shared" ca="1" si="94"/>
        <v>647.33820000000003</v>
      </c>
      <c r="H1237" s="8">
        <f t="shared" ca="1" si="95"/>
        <v>601.08550000000002</v>
      </c>
      <c r="I1237" s="12">
        <f ca="1">IF(AND('Data Analysis Addin'!$G1237&lt;='Data Analysis Addin'!$H1237,G1238&gt;H1238), 1, 0)</f>
        <v>0</v>
      </c>
      <c r="J1237" s="2">
        <f t="shared" ca="1" si="96"/>
        <v>0</v>
      </c>
      <c r="K1237" s="17">
        <f>YEAR('Data Analysis Addin'!$A1237)</f>
        <v>2025</v>
      </c>
    </row>
    <row r="1238" spans="1:11" x14ac:dyDescent="0.4">
      <c r="A1238" s="18">
        <v>45933</v>
      </c>
      <c r="B1238" s="9">
        <v>669.21</v>
      </c>
      <c r="C1238" s="11">
        <f t="shared" si="93"/>
        <v>648.03399999999999</v>
      </c>
      <c r="D1238" s="11">
        <f t="shared" si="97"/>
        <v>601.41050000000007</v>
      </c>
      <c r="E1238" s="9"/>
      <c r="F1238" s="9"/>
      <c r="G1238" s="9">
        <f t="shared" ca="1" si="94"/>
        <v>648.03399999999999</v>
      </c>
      <c r="H1238" s="9">
        <f t="shared" ca="1" si="95"/>
        <v>601.41050000000007</v>
      </c>
      <c r="I1238" s="12">
        <f ca="1">IF(AND('Data Analysis Addin'!$G1238&lt;='Data Analysis Addin'!$H1238,G1239&gt;H1239), 1, 0)</f>
        <v>0</v>
      </c>
      <c r="J1238" s="3">
        <f t="shared" ca="1" si="96"/>
        <v>0</v>
      </c>
      <c r="K1238" s="19">
        <f>YEAR('Data Analysis Addin'!$A1238)</f>
        <v>2025</v>
      </c>
    </row>
    <row r="1239" spans="1:11" x14ac:dyDescent="0.4">
      <c r="A1239" s="16">
        <v>45936</v>
      </c>
      <c r="B1239" s="8">
        <v>671.61</v>
      </c>
      <c r="C1239" s="11">
        <f t="shared" si="93"/>
        <v>648.7242</v>
      </c>
      <c r="D1239" s="11">
        <f t="shared" si="97"/>
        <v>601.7346</v>
      </c>
      <c r="E1239" s="8"/>
      <c r="F1239" s="8"/>
      <c r="G1239" s="8">
        <f t="shared" ca="1" si="94"/>
        <v>648.7242</v>
      </c>
      <c r="H1239" s="8">
        <f t="shared" ca="1" si="95"/>
        <v>601.7346</v>
      </c>
      <c r="I1239" s="12">
        <f ca="1">IF(AND('Data Analysis Addin'!$G1239&lt;='Data Analysis Addin'!$H1239,G1240&gt;H1240), 1, 0)</f>
        <v>0</v>
      </c>
      <c r="J1239" s="2">
        <f t="shared" ca="1" si="96"/>
        <v>0</v>
      </c>
      <c r="K1239" s="17">
        <f>YEAR('Data Analysis Addin'!$A1239)</f>
        <v>2025</v>
      </c>
    </row>
    <row r="1240" spans="1:11" x14ac:dyDescent="0.4">
      <c r="A1240" s="18">
        <v>45937</v>
      </c>
      <c r="B1240" s="9">
        <v>669.12</v>
      </c>
      <c r="C1240" s="11">
        <f t="shared" si="93"/>
        <v>649.36779999999999</v>
      </c>
      <c r="D1240" s="11">
        <f t="shared" si="97"/>
        <v>602.05875000000003</v>
      </c>
      <c r="E1240" s="9"/>
      <c r="F1240" s="9"/>
      <c r="G1240" s="9">
        <f t="shared" ca="1" si="94"/>
        <v>649.36779999999999</v>
      </c>
      <c r="H1240" s="9">
        <f t="shared" ca="1" si="95"/>
        <v>602.05875000000003</v>
      </c>
      <c r="I1240" s="12">
        <f ca="1">IF(AND('Data Analysis Addin'!$G1240&lt;='Data Analysis Addin'!$H1240,G1241&gt;H1241), 1, 0)</f>
        <v>0</v>
      </c>
      <c r="J1240" s="3">
        <f t="shared" ca="1" si="96"/>
        <v>0</v>
      </c>
      <c r="K1240" s="19">
        <f>YEAR('Data Analysis Addin'!$A1240)</f>
        <v>2025</v>
      </c>
    </row>
    <row r="1241" spans="1:11" x14ac:dyDescent="0.4">
      <c r="A1241" s="16">
        <v>45938</v>
      </c>
      <c r="B1241" s="8">
        <v>673.11</v>
      </c>
      <c r="C1241" s="11">
        <f t="shared" si="93"/>
        <v>650.12479999999994</v>
      </c>
      <c r="D1241" s="11">
        <f t="shared" si="97"/>
        <v>602.49289999999996</v>
      </c>
      <c r="E1241" s="8"/>
      <c r="F1241" s="8"/>
      <c r="G1241" s="8">
        <f t="shared" ca="1" si="94"/>
        <v>650.12479999999994</v>
      </c>
      <c r="H1241" s="8">
        <f t="shared" ca="1" si="95"/>
        <v>602.49289999999996</v>
      </c>
      <c r="I1241" s="12">
        <f ca="1">IF(AND('Data Analysis Addin'!$G1241&lt;='Data Analysis Addin'!$H1241,G1242&gt;H1242), 1, 0)</f>
        <v>0</v>
      </c>
      <c r="J1241" s="2">
        <f t="shared" ca="1" si="96"/>
        <v>0</v>
      </c>
      <c r="K1241" s="17">
        <f>YEAR('Data Analysis Addin'!$A1241)</f>
        <v>2025</v>
      </c>
    </row>
    <row r="1242" spans="1:11" x14ac:dyDescent="0.4">
      <c r="A1242" s="18">
        <v>45939</v>
      </c>
      <c r="B1242" s="9">
        <v>671.16</v>
      </c>
      <c r="C1242" s="11">
        <f t="shared" si="93"/>
        <v>650.85879999999997</v>
      </c>
      <c r="D1242" s="11">
        <f t="shared" si="97"/>
        <v>602.91819999999996</v>
      </c>
      <c r="E1242" s="9"/>
      <c r="F1242" s="9"/>
      <c r="G1242" s="9">
        <f t="shared" ca="1" si="94"/>
        <v>650.85879999999997</v>
      </c>
      <c r="H1242" s="9">
        <f t="shared" ca="1" si="95"/>
        <v>602.91819999999996</v>
      </c>
      <c r="I1242" s="12">
        <f ca="1">IF(AND('Data Analysis Addin'!$G1242&lt;='Data Analysis Addin'!$H1242,G1243&gt;H1243), 1, 0)</f>
        <v>0</v>
      </c>
      <c r="J1242" s="3">
        <f t="shared" ca="1" si="96"/>
        <v>0</v>
      </c>
      <c r="K1242" s="19">
        <f>YEAR('Data Analysis Addin'!$A1242)</f>
        <v>2025</v>
      </c>
    </row>
    <row r="1243" spans="1:11" x14ac:dyDescent="0.4">
      <c r="A1243" s="16">
        <v>45940</v>
      </c>
      <c r="B1243" s="8">
        <v>653.02</v>
      </c>
      <c r="C1243" s="11">
        <f t="shared" si="93"/>
        <v>651.27760000000001</v>
      </c>
      <c r="D1243" s="11">
        <f t="shared" si="97"/>
        <v>603.22755000000006</v>
      </c>
      <c r="E1243" s="8"/>
      <c r="F1243" s="8"/>
      <c r="G1243" s="8">
        <f t="shared" ca="1" si="94"/>
        <v>651.27760000000001</v>
      </c>
      <c r="H1243" s="8">
        <f t="shared" ca="1" si="95"/>
        <v>603.22755000000006</v>
      </c>
      <c r="I1243" s="12">
        <f ca="1">IF(AND('Data Analysis Addin'!$G1243&lt;='Data Analysis Addin'!$H1243,G1244&gt;H1244), 1, 0)</f>
        <v>0</v>
      </c>
      <c r="J1243" s="2">
        <f t="shared" ca="1" si="96"/>
        <v>0</v>
      </c>
      <c r="K1243" s="17">
        <f>YEAR('Data Analysis Addin'!$A1243)</f>
        <v>2025</v>
      </c>
    </row>
    <row r="1244" spans="1:11" x14ac:dyDescent="0.4">
      <c r="A1244" s="18">
        <v>45943</v>
      </c>
      <c r="B1244" s="9">
        <v>663.04</v>
      </c>
      <c r="C1244" s="11">
        <f t="shared" si="93"/>
        <v>652.10399999999993</v>
      </c>
      <c r="D1244" s="11">
        <f t="shared" si="97"/>
        <v>603.5693</v>
      </c>
      <c r="E1244" s="9"/>
      <c r="F1244" s="9"/>
      <c r="G1244" s="9">
        <f t="shared" ca="1" si="94"/>
        <v>652.10399999999993</v>
      </c>
      <c r="H1244" s="9">
        <f t="shared" ca="1" si="95"/>
        <v>603.5693</v>
      </c>
      <c r="I1244" s="12">
        <f ca="1">IF(AND('Data Analysis Addin'!$G1244&lt;='Data Analysis Addin'!$H1244,G1245&gt;H1245), 1, 0)</f>
        <v>0</v>
      </c>
      <c r="J1244" s="3">
        <f t="shared" ca="1" si="96"/>
        <v>0</v>
      </c>
      <c r="K1244" s="19">
        <f>YEAR('Data Analysis Addin'!$A1244)</f>
        <v>2025</v>
      </c>
    </row>
    <row r="1245" spans="1:11" x14ac:dyDescent="0.4">
      <c r="A1245" s="16">
        <v>45944</v>
      </c>
      <c r="B1245" s="8">
        <v>662.23</v>
      </c>
      <c r="C1245" s="11">
        <f t="shared" si="93"/>
        <v>652.72519999999997</v>
      </c>
      <c r="D1245" s="11">
        <f t="shared" si="97"/>
        <v>603.87395000000004</v>
      </c>
      <c r="E1245" s="8"/>
      <c r="F1245" s="8"/>
      <c r="G1245" s="8">
        <f t="shared" ca="1" si="94"/>
        <v>652.72519999999997</v>
      </c>
      <c r="H1245" s="8">
        <f t="shared" ca="1" si="95"/>
        <v>603.87395000000004</v>
      </c>
      <c r="I1245" s="12">
        <f ca="1">IF(AND('Data Analysis Addin'!$G1245&lt;='Data Analysis Addin'!$H1245,G1246&gt;H1246), 1, 0)</f>
        <v>0</v>
      </c>
      <c r="J1245" s="2">
        <f t="shared" ca="1" si="96"/>
        <v>0</v>
      </c>
      <c r="K1245" s="17">
        <f>YEAR('Data Analysis Addin'!$A1245)</f>
        <v>2025</v>
      </c>
    </row>
    <row r="1246" spans="1:11" x14ac:dyDescent="0.4">
      <c r="A1246" s="18">
        <v>45945</v>
      </c>
      <c r="B1246" s="9">
        <v>665.17</v>
      </c>
      <c r="C1246" s="11">
        <f t="shared" si="93"/>
        <v>653.46919999999989</v>
      </c>
      <c r="D1246" s="11">
        <f t="shared" si="97"/>
        <v>604.19310000000007</v>
      </c>
      <c r="E1246" s="9"/>
      <c r="F1246" s="9"/>
      <c r="G1246" s="9">
        <f t="shared" ca="1" si="94"/>
        <v>653.46919999999989</v>
      </c>
      <c r="H1246" s="9">
        <f t="shared" ca="1" si="95"/>
        <v>604.19310000000007</v>
      </c>
      <c r="I1246" s="12">
        <f ca="1">IF(AND('Data Analysis Addin'!$G1246&lt;='Data Analysis Addin'!$H1246,G1247&gt;H1247), 1, 0)</f>
        <v>0</v>
      </c>
      <c r="J1246" s="3">
        <f t="shared" ca="1" si="96"/>
        <v>0</v>
      </c>
      <c r="K1246" s="19">
        <f>YEAR('Data Analysis Addin'!$A1246)</f>
        <v>2025</v>
      </c>
    </row>
    <row r="1247" spans="1:11" x14ac:dyDescent="0.4">
      <c r="A1247" s="16">
        <v>45946</v>
      </c>
      <c r="B1247" s="8">
        <v>660.64</v>
      </c>
      <c r="C1247" s="11">
        <f t="shared" si="93"/>
        <v>654.02639999999997</v>
      </c>
      <c r="D1247" s="11">
        <f t="shared" si="97"/>
        <v>604.52125000000012</v>
      </c>
      <c r="E1247" s="8"/>
      <c r="F1247" s="8"/>
      <c r="G1247" s="8">
        <f t="shared" ca="1" si="94"/>
        <v>654.02639999999997</v>
      </c>
      <c r="H1247" s="8">
        <f t="shared" ca="1" si="95"/>
        <v>604.52125000000012</v>
      </c>
      <c r="I1247" s="12">
        <f ca="1">IF(AND('Data Analysis Addin'!$G1247&lt;='Data Analysis Addin'!$H1247,G1248&gt;H1248), 1, 0)</f>
        <v>0</v>
      </c>
      <c r="J1247" s="2">
        <f t="shared" ca="1" si="96"/>
        <v>0</v>
      </c>
      <c r="K1247" s="17">
        <f>YEAR('Data Analysis Addin'!$A1247)</f>
        <v>2025</v>
      </c>
    </row>
    <row r="1248" spans="1:11" x14ac:dyDescent="0.4">
      <c r="A1248" s="18">
        <v>45947</v>
      </c>
      <c r="B1248" s="9">
        <v>664.39</v>
      </c>
      <c r="C1248" s="11">
        <f t="shared" si="93"/>
        <v>654.66919999999993</v>
      </c>
      <c r="D1248" s="11">
        <f t="shared" si="97"/>
        <v>604.90210000000002</v>
      </c>
      <c r="E1248" s="9"/>
      <c r="F1248" s="9"/>
      <c r="G1248" s="9">
        <f t="shared" ca="1" si="94"/>
        <v>654.66919999999993</v>
      </c>
      <c r="H1248" s="9">
        <f t="shared" ca="1" si="95"/>
        <v>604.90210000000002</v>
      </c>
      <c r="I1248" s="12">
        <f ca="1">IF(AND('Data Analysis Addin'!$G1248&lt;='Data Analysis Addin'!$H1248,G1249&gt;H1249), 1, 0)</f>
        <v>0</v>
      </c>
      <c r="J1248" s="3">
        <f t="shared" ca="1" si="96"/>
        <v>0</v>
      </c>
      <c r="K1248" s="19">
        <f>YEAR('Data Analysis Addin'!$A1248)</f>
        <v>2025</v>
      </c>
    </row>
    <row r="1249" spans="1:11" x14ac:dyDescent="0.4">
      <c r="A1249" s="16">
        <v>45950</v>
      </c>
      <c r="B1249" s="8">
        <v>671.3</v>
      </c>
      <c r="C1249" s="11">
        <f t="shared" si="93"/>
        <v>655.35159999999985</v>
      </c>
      <c r="D1249" s="11">
        <f t="shared" si="97"/>
        <v>605.32820000000015</v>
      </c>
      <c r="E1249" s="8"/>
      <c r="F1249" s="8"/>
      <c r="G1249" s="8">
        <f t="shared" ca="1" si="94"/>
        <v>655.35159999999985</v>
      </c>
      <c r="H1249" s="8">
        <f t="shared" ca="1" si="95"/>
        <v>605.32820000000015</v>
      </c>
      <c r="I1249" s="12">
        <f ca="1">IF(AND('Data Analysis Addin'!$G1249&lt;='Data Analysis Addin'!$H1249,G1250&gt;H1250), 1, 0)</f>
        <v>0</v>
      </c>
      <c r="J1249" s="2">
        <f t="shared" ca="1" si="96"/>
        <v>0</v>
      </c>
      <c r="K1249" s="17">
        <f>YEAR('Data Analysis Addin'!$A1249)</f>
        <v>2025</v>
      </c>
    </row>
    <row r="1250" spans="1:11" x14ac:dyDescent="0.4">
      <c r="A1250" s="18">
        <v>45951</v>
      </c>
      <c r="B1250" s="9">
        <v>671.29</v>
      </c>
      <c r="C1250" s="11">
        <f t="shared" si="93"/>
        <v>656.05899999999974</v>
      </c>
      <c r="D1250" s="11">
        <f t="shared" si="97"/>
        <v>605.76145000000008</v>
      </c>
      <c r="E1250" s="9"/>
      <c r="F1250" s="9"/>
      <c r="G1250" s="9">
        <f t="shared" ca="1" si="94"/>
        <v>656.05899999999974</v>
      </c>
      <c r="H1250" s="9">
        <f t="shared" ca="1" si="95"/>
        <v>605.76145000000008</v>
      </c>
      <c r="I1250" s="12">
        <f ca="1">IF(AND('Data Analysis Addin'!$G1250&lt;='Data Analysis Addin'!$H1250,G1251&gt;H1251), 1, 0)</f>
        <v>0</v>
      </c>
      <c r="J1250" s="3">
        <f t="shared" ca="1" si="96"/>
        <v>0</v>
      </c>
      <c r="K1250" s="19">
        <f>YEAR('Data Analysis Addin'!$A1250)</f>
        <v>2025</v>
      </c>
    </row>
    <row r="1251" spans="1:11" x14ac:dyDescent="0.4">
      <c r="A1251" s="16">
        <v>45952</v>
      </c>
      <c r="B1251" s="8">
        <v>667.8</v>
      </c>
      <c r="C1251" s="11">
        <f t="shared" si="93"/>
        <v>656.56119999999999</v>
      </c>
      <c r="D1251" s="11">
        <f t="shared" si="97"/>
        <v>606.14070000000004</v>
      </c>
      <c r="E1251" s="8"/>
      <c r="F1251" s="8"/>
      <c r="G1251" s="8">
        <f t="shared" ca="1" si="94"/>
        <v>656.56119999999999</v>
      </c>
      <c r="H1251" s="8">
        <f t="shared" ca="1" si="95"/>
        <v>606.14070000000004</v>
      </c>
      <c r="I1251" s="12">
        <f ca="1">IF(AND('Data Analysis Addin'!$G1251&lt;='Data Analysis Addin'!$H1251,G1252&gt;H1252), 1, 0)</f>
        <v>0</v>
      </c>
      <c r="J1251" s="2">
        <f t="shared" ca="1" si="96"/>
        <v>0</v>
      </c>
      <c r="K1251" s="17">
        <f>YEAR('Data Analysis Addin'!$A1251)</f>
        <v>2025</v>
      </c>
    </row>
    <row r="1252" spans="1:11" x14ac:dyDescent="0.4">
      <c r="A1252" s="18">
        <v>45953</v>
      </c>
      <c r="B1252" s="9">
        <v>671.76</v>
      </c>
      <c r="C1252" s="11">
        <f t="shared" si="93"/>
        <v>657.09859999999981</v>
      </c>
      <c r="D1252" s="11">
        <f t="shared" si="97"/>
        <v>606.52269999999999</v>
      </c>
      <c r="E1252" s="9"/>
      <c r="F1252" s="9"/>
      <c r="G1252" s="9">
        <f t="shared" ca="1" si="94"/>
        <v>657.09859999999981</v>
      </c>
      <c r="H1252" s="9">
        <f t="shared" ca="1" si="95"/>
        <v>606.52269999999999</v>
      </c>
      <c r="I1252" s="12">
        <f ca="1">IF(AND('Data Analysis Addin'!$G1252&lt;='Data Analysis Addin'!$H1252,G1253&gt;H1253), 1, 0)</f>
        <v>0</v>
      </c>
      <c r="J1252" s="3">
        <f t="shared" ca="1" si="96"/>
        <v>0</v>
      </c>
      <c r="K1252" s="19">
        <f>YEAR('Data Analysis Addin'!$A1252)</f>
        <v>2025</v>
      </c>
    </row>
    <row r="1253" spans="1:11" x14ac:dyDescent="0.4">
      <c r="A1253" s="16">
        <v>45954</v>
      </c>
      <c r="B1253" s="8">
        <v>677.25</v>
      </c>
      <c r="C1253" s="11">
        <f t="shared" si="93"/>
        <v>657.74459999999988</v>
      </c>
      <c r="D1253" s="11">
        <f t="shared" si="97"/>
        <v>606.96580000000006</v>
      </c>
      <c r="E1253" s="8"/>
      <c r="F1253" s="8"/>
      <c r="G1253" s="8">
        <f t="shared" ca="1" si="94"/>
        <v>657.74459999999988</v>
      </c>
      <c r="H1253" s="8">
        <f t="shared" ca="1" si="95"/>
        <v>606.96580000000006</v>
      </c>
      <c r="I1253" s="12">
        <f ca="1">IF(AND('Data Analysis Addin'!$G1253&lt;='Data Analysis Addin'!$H1253,G1254&gt;H1254), 1, 0)</f>
        <v>0</v>
      </c>
      <c r="J1253" s="2">
        <f t="shared" ca="1" si="96"/>
        <v>0</v>
      </c>
      <c r="K1253" s="17">
        <f>YEAR('Data Analysis Addin'!$A1253)</f>
        <v>2025</v>
      </c>
    </row>
    <row r="1254" spans="1:11" x14ac:dyDescent="0.4">
      <c r="A1254" s="18">
        <v>45957</v>
      </c>
      <c r="B1254" s="9">
        <v>685.24</v>
      </c>
      <c r="C1254" s="11">
        <f t="shared" si="93"/>
        <v>658.58059999999978</v>
      </c>
      <c r="D1254" s="11">
        <f t="shared" si="97"/>
        <v>607.44455000000005</v>
      </c>
      <c r="E1254" s="9"/>
      <c r="F1254" s="9"/>
      <c r="G1254" s="9">
        <f t="shared" ca="1" si="94"/>
        <v>658.58059999999978</v>
      </c>
      <c r="H1254" s="9">
        <f t="shared" ca="1" si="95"/>
        <v>607.44455000000005</v>
      </c>
      <c r="I1254" s="12">
        <f ca="1">IF(AND('Data Analysis Addin'!$G1254&lt;='Data Analysis Addin'!$H1254,G1255&gt;H1255), 1, 0)</f>
        <v>0</v>
      </c>
      <c r="J1254" s="3">
        <f t="shared" ca="1" si="96"/>
        <v>0</v>
      </c>
      <c r="K1254" s="19">
        <f>YEAR('Data Analysis Addin'!$A1254)</f>
        <v>2025</v>
      </c>
    </row>
    <row r="1255" spans="1:11" x14ac:dyDescent="0.4">
      <c r="A1255" s="16">
        <v>45958</v>
      </c>
      <c r="B1255" s="8">
        <v>687.06</v>
      </c>
      <c r="C1255" s="11">
        <f t="shared" si="93"/>
        <v>659.45579999999984</v>
      </c>
      <c r="D1255" s="11">
        <f t="shared" si="97"/>
        <v>607.9774000000001</v>
      </c>
      <c r="E1255" s="8"/>
      <c r="F1255" s="8"/>
      <c r="G1255" s="8">
        <f t="shared" ca="1" si="94"/>
        <v>659.45579999999984</v>
      </c>
      <c r="H1255" s="8">
        <f t="shared" ca="1" si="95"/>
        <v>607.9774000000001</v>
      </c>
      <c r="I1255" s="12">
        <f ca="1">IF(AND('Data Analysis Addin'!$G1255&lt;='Data Analysis Addin'!$H1255,G1256&gt;H1256), 1, 0)</f>
        <v>0</v>
      </c>
      <c r="J1255" s="2">
        <f t="shared" ca="1" si="96"/>
        <v>0</v>
      </c>
      <c r="K1255" s="17">
        <f>YEAR('Data Analysis Addin'!$A1255)</f>
        <v>2025</v>
      </c>
    </row>
    <row r="1256" spans="1:11" x14ac:dyDescent="0.4">
      <c r="A1256" s="18">
        <v>45959</v>
      </c>
      <c r="B1256" s="9">
        <v>687.39</v>
      </c>
      <c r="C1256" s="11">
        <f t="shared" si="93"/>
        <v>660.40740000000005</v>
      </c>
      <c r="D1256" s="11">
        <f t="shared" si="97"/>
        <v>608.50740000000019</v>
      </c>
      <c r="E1256" s="9"/>
      <c r="F1256" s="9"/>
      <c r="G1256" s="9">
        <f t="shared" ca="1" si="94"/>
        <v>660.40740000000005</v>
      </c>
      <c r="H1256" s="9">
        <f t="shared" ca="1" si="95"/>
        <v>608.50740000000019</v>
      </c>
      <c r="I1256" s="12">
        <f ca="1">IF(AND('Data Analysis Addin'!$G1256&lt;='Data Analysis Addin'!$H1256,G1257&gt;H1257), 1, 0)</f>
        <v>0</v>
      </c>
      <c r="J1256" s="3">
        <f t="shared" ca="1" si="96"/>
        <v>0</v>
      </c>
      <c r="K1256" s="19">
        <f>YEAR('Data Analysis Addin'!$A1256)</f>
        <v>2025</v>
      </c>
    </row>
    <row r="1257" spans="1:11" x14ac:dyDescent="0.4">
      <c r="A1257" s="16">
        <v>45960</v>
      </c>
      <c r="B1257" s="8">
        <v>679.83</v>
      </c>
      <c r="C1257" s="11">
        <f t="shared" si="93"/>
        <v>661.24180000000013</v>
      </c>
      <c r="D1257" s="11">
        <f t="shared" si="97"/>
        <v>608.99560000000019</v>
      </c>
      <c r="E1257" s="8"/>
      <c r="F1257" s="8"/>
      <c r="G1257" s="8">
        <f t="shared" ca="1" si="94"/>
        <v>661.24180000000013</v>
      </c>
      <c r="H1257" s="8">
        <f t="shared" ca="1" si="95"/>
        <v>608.99560000000019</v>
      </c>
      <c r="I1257" s="12">
        <f ca="1">IF(AND('Data Analysis Addin'!$G1257&lt;='Data Analysis Addin'!$H1257,G1258&gt;H1258), 1, 0)</f>
        <v>0</v>
      </c>
      <c r="J1257" s="2">
        <f t="shared" ca="1" si="96"/>
        <v>0</v>
      </c>
      <c r="K1257" s="17">
        <f>YEAR('Data Analysis Addin'!$A1257)</f>
        <v>2025</v>
      </c>
    </row>
    <row r="1258" spans="1:11" x14ac:dyDescent="0.4">
      <c r="A1258" s="20">
        <v>45961</v>
      </c>
      <c r="B1258" s="21">
        <v>682.06</v>
      </c>
      <c r="C1258" s="11">
        <f t="shared" si="93"/>
        <v>662.17200000000003</v>
      </c>
      <c r="D1258" s="11">
        <f t="shared" si="97"/>
        <v>609.44200000000023</v>
      </c>
      <c r="E1258" s="21"/>
      <c r="F1258" s="21"/>
      <c r="G1258" s="21">
        <f t="shared" ca="1" si="94"/>
        <v>662.17200000000003</v>
      </c>
      <c r="H1258" s="21">
        <f t="shared" ca="1" si="95"/>
        <v>609.44200000000023</v>
      </c>
      <c r="I1258" s="22">
        <f ca="1">IF(AND('Data Analysis Addin'!$G1258&lt;='Data Analysis Addin'!$H1258,G1259&gt;H1259), 1, 0)</f>
        <v>0</v>
      </c>
      <c r="J1258" s="23">
        <f t="shared" ca="1" si="96"/>
        <v>0</v>
      </c>
      <c r="K1258" s="24">
        <f>YEAR('Data Analysis Addin'!$A1258)</f>
        <v>2025</v>
      </c>
    </row>
  </sheetData>
  <hyperlinks>
    <hyperlink ref="N4" r:id="rId1" display="https://www.youtube.com/watch?v=tuF6DqpamIs&amp;list=PLmejDGrsgFyBMJmF2KWR9wGyuPwIK1NW8&amp;index=16" xr:uid="{D8670AAC-07BC-4F06-9F09-DE49C47EFAC7}"/>
    <hyperlink ref="N3" r:id="rId2" display="https://mavenanalytics.io/data-drills/turning-bullish" xr:uid="{484A6DD0-1A77-4B55-B4AE-90AC78AA86FC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B4D5-40D4-4F0F-8E12-CB7777D3E182}">
  <dimension ref="A1:N1260"/>
  <sheetViews>
    <sheetView topLeftCell="F1" workbookViewId="0">
      <selection activeCell="I15" sqref="I15"/>
    </sheetView>
  </sheetViews>
  <sheetFormatPr defaultRowHeight="21" x14ac:dyDescent="0.4"/>
  <cols>
    <col min="1" max="1" width="9.92578125" bestFit="1" customWidth="1"/>
    <col min="2" max="2" width="8.28515625" bestFit="1" customWidth="1"/>
    <col min="3" max="3" width="21.35546875" bestFit="1" customWidth="1"/>
    <col min="4" max="4" width="22.42578125" bestFit="1" customWidth="1"/>
    <col min="5" max="5" width="12.78515625" bestFit="1" customWidth="1"/>
    <col min="7" max="7" width="11.2109375" bestFit="1" customWidth="1"/>
    <col min="8" max="8" width="9.78515625" bestFit="1" customWidth="1"/>
    <col min="9" max="10" width="11.78515625" bestFit="1" customWidth="1"/>
    <col min="11" max="11" width="11.85546875" bestFit="1" customWidth="1"/>
    <col min="14" max="14" width="16" bestFit="1" customWidth="1"/>
  </cols>
  <sheetData>
    <row r="1" spans="1:14" x14ac:dyDescent="0.4">
      <c r="A1" t="s">
        <v>0</v>
      </c>
      <c r="B1" t="s">
        <v>1</v>
      </c>
      <c r="C1" t="s">
        <v>16</v>
      </c>
      <c r="D1" t="s">
        <v>17</v>
      </c>
      <c r="E1" t="s">
        <v>4</v>
      </c>
    </row>
    <row r="2" spans="1:14" x14ac:dyDescent="0.4">
      <c r="A2" s="25">
        <v>44137</v>
      </c>
      <c r="B2" s="11">
        <v>330.2</v>
      </c>
      <c r="C2" s="11"/>
      <c r="D2" s="11"/>
      <c r="E2" s="10">
        <f>IF(AND(C2&gt;D2, C1&lt;D1), 1, 0)</f>
        <v>0</v>
      </c>
    </row>
    <row r="3" spans="1:14" x14ac:dyDescent="0.4">
      <c r="A3" s="25">
        <v>44138</v>
      </c>
      <c r="B3" s="11">
        <v>336.03</v>
      </c>
      <c r="C3" s="11"/>
      <c r="D3" s="11"/>
      <c r="E3" s="10">
        <f t="shared" ref="E3:E66" si="0">IF(AND(C3&gt;D3, C2&lt;D2), 1, 0)</f>
        <v>0</v>
      </c>
      <c r="G3" s="1" t="s">
        <v>6</v>
      </c>
      <c r="H3" t="s">
        <v>13</v>
      </c>
      <c r="I3" t="s">
        <v>20</v>
      </c>
      <c r="J3" t="s">
        <v>21</v>
      </c>
      <c r="K3" t="s">
        <v>14</v>
      </c>
      <c r="N3" t="s">
        <v>15</v>
      </c>
    </row>
    <row r="4" spans="1:14" x14ac:dyDescent="0.4">
      <c r="A4" s="25">
        <v>44139</v>
      </c>
      <c r="B4" s="11">
        <v>343.54</v>
      </c>
      <c r="C4" s="11"/>
      <c r="D4" s="11"/>
      <c r="E4" s="10">
        <f t="shared" si="0"/>
        <v>0</v>
      </c>
      <c r="G4" s="29">
        <v>44137</v>
      </c>
      <c r="H4">
        <v>330.2</v>
      </c>
      <c r="K4" s="10">
        <v>0</v>
      </c>
    </row>
    <row r="5" spans="1:14" x14ac:dyDescent="0.4">
      <c r="A5" s="25">
        <v>44140</v>
      </c>
      <c r="B5" s="11">
        <v>350.24</v>
      </c>
      <c r="C5" s="11"/>
      <c r="D5" s="11"/>
      <c r="E5" s="10">
        <f t="shared" si="0"/>
        <v>0</v>
      </c>
      <c r="G5" s="29">
        <v>44138</v>
      </c>
      <c r="H5">
        <v>336.03</v>
      </c>
      <c r="K5" s="10">
        <v>0</v>
      </c>
      <c r="N5" s="26" cm="1">
        <f t="array" ref="N5:N6">_xlfn._xlws.FILTER(Close_Moving_Averages[Date], Close_Moving_Averages[Golden Cross]=1)</f>
        <v>44959</v>
      </c>
    </row>
    <row r="6" spans="1:14" x14ac:dyDescent="0.4">
      <c r="A6" s="25">
        <v>44141</v>
      </c>
      <c r="B6" s="11">
        <v>350.16</v>
      </c>
      <c r="C6" s="11"/>
      <c r="D6" s="11"/>
      <c r="E6" s="10">
        <f t="shared" si="0"/>
        <v>0</v>
      </c>
      <c r="G6" s="29">
        <v>44139</v>
      </c>
      <c r="H6">
        <v>343.54</v>
      </c>
      <c r="K6" s="10">
        <v>0</v>
      </c>
      <c r="N6" s="26">
        <v>45839</v>
      </c>
    </row>
    <row r="7" spans="1:14" x14ac:dyDescent="0.4">
      <c r="A7" s="25">
        <v>44144</v>
      </c>
      <c r="B7" s="11">
        <v>354.56</v>
      </c>
      <c r="C7" s="11"/>
      <c r="D7" s="11"/>
      <c r="E7" s="10">
        <f t="shared" si="0"/>
        <v>0</v>
      </c>
      <c r="G7" s="29">
        <v>44140</v>
      </c>
      <c r="H7">
        <v>350.24</v>
      </c>
      <c r="K7" s="10">
        <v>0</v>
      </c>
      <c r="N7" s="26"/>
    </row>
    <row r="8" spans="1:14" x14ac:dyDescent="0.4">
      <c r="A8" s="25">
        <v>44145</v>
      </c>
      <c r="B8" s="11">
        <v>354.04</v>
      </c>
      <c r="C8" s="11"/>
      <c r="D8" s="11"/>
      <c r="E8" s="10">
        <f t="shared" si="0"/>
        <v>0</v>
      </c>
      <c r="G8" s="29">
        <v>44141</v>
      </c>
      <c r="H8">
        <v>350.16</v>
      </c>
      <c r="K8" s="10">
        <v>0</v>
      </c>
      <c r="N8" s="26"/>
    </row>
    <row r="9" spans="1:14" x14ac:dyDescent="0.4">
      <c r="A9" s="25">
        <v>44146</v>
      </c>
      <c r="B9" s="11">
        <v>356.67</v>
      </c>
      <c r="C9" s="11"/>
      <c r="D9" s="11"/>
      <c r="E9" s="10">
        <f t="shared" si="0"/>
        <v>0</v>
      </c>
      <c r="G9" s="29">
        <v>44144</v>
      </c>
      <c r="H9">
        <v>354.56</v>
      </c>
      <c r="K9" s="10">
        <v>0</v>
      </c>
      <c r="N9" s="26"/>
    </row>
    <row r="10" spans="1:14" x14ac:dyDescent="0.4">
      <c r="A10" s="25">
        <v>44147</v>
      </c>
      <c r="B10" s="11">
        <v>353.21</v>
      </c>
      <c r="C10" s="11"/>
      <c r="D10" s="11"/>
      <c r="E10" s="10">
        <f t="shared" si="0"/>
        <v>0</v>
      </c>
      <c r="G10" s="29">
        <v>44145</v>
      </c>
      <c r="H10">
        <v>354.04</v>
      </c>
      <c r="K10" s="10">
        <v>0</v>
      </c>
      <c r="N10" s="26"/>
    </row>
    <row r="11" spans="1:14" x14ac:dyDescent="0.4">
      <c r="A11" s="25">
        <v>44148</v>
      </c>
      <c r="B11" s="11">
        <v>358.1</v>
      </c>
      <c r="C11" s="11"/>
      <c r="D11" s="11"/>
      <c r="E11" s="10">
        <f t="shared" si="0"/>
        <v>0</v>
      </c>
      <c r="G11" s="29">
        <v>44146</v>
      </c>
      <c r="H11">
        <v>356.67</v>
      </c>
      <c r="K11" s="10">
        <v>0</v>
      </c>
    </row>
    <row r="12" spans="1:14" x14ac:dyDescent="0.4">
      <c r="A12" s="25">
        <v>44151</v>
      </c>
      <c r="B12" s="11">
        <v>362.57</v>
      </c>
      <c r="C12" s="11"/>
      <c r="D12" s="11"/>
      <c r="E12" s="10">
        <f t="shared" si="0"/>
        <v>0</v>
      </c>
      <c r="G12" s="29">
        <v>44147</v>
      </c>
      <c r="H12">
        <v>353.21</v>
      </c>
      <c r="K12" s="10">
        <v>0</v>
      </c>
    </row>
    <row r="13" spans="1:14" x14ac:dyDescent="0.4">
      <c r="A13" s="25">
        <v>44152</v>
      </c>
      <c r="B13" s="11">
        <v>360.62</v>
      </c>
      <c r="C13" s="11"/>
      <c r="D13" s="11"/>
      <c r="E13" s="10">
        <f t="shared" si="0"/>
        <v>0</v>
      </c>
      <c r="G13" s="29">
        <v>44148</v>
      </c>
      <c r="H13">
        <v>358.1</v>
      </c>
      <c r="K13" s="10">
        <v>0</v>
      </c>
    </row>
    <row r="14" spans="1:14" x14ac:dyDescent="0.4">
      <c r="A14" s="25">
        <v>44153</v>
      </c>
      <c r="B14" s="11">
        <v>356.28</v>
      </c>
      <c r="C14" s="11"/>
      <c r="D14" s="11"/>
      <c r="E14" s="10">
        <f t="shared" si="0"/>
        <v>0</v>
      </c>
      <c r="G14" s="29">
        <v>44151</v>
      </c>
      <c r="H14">
        <v>362.57</v>
      </c>
      <c r="K14" s="10">
        <v>0</v>
      </c>
    </row>
    <row r="15" spans="1:14" x14ac:dyDescent="0.4">
      <c r="A15" s="25">
        <v>44154</v>
      </c>
      <c r="B15" s="11">
        <v>357.78</v>
      </c>
      <c r="C15" s="11"/>
      <c r="D15" s="11"/>
      <c r="E15" s="10">
        <f t="shared" si="0"/>
        <v>0</v>
      </c>
      <c r="G15" s="29">
        <v>44152</v>
      </c>
      <c r="H15">
        <v>360.62</v>
      </c>
      <c r="K15" s="10">
        <v>0</v>
      </c>
    </row>
    <row r="16" spans="1:14" x14ac:dyDescent="0.4">
      <c r="A16" s="25">
        <v>44155</v>
      </c>
      <c r="B16" s="11">
        <v>355.33</v>
      </c>
      <c r="C16" s="11"/>
      <c r="D16" s="11"/>
      <c r="E16" s="10">
        <f t="shared" si="0"/>
        <v>0</v>
      </c>
      <c r="G16" s="29">
        <v>44153</v>
      </c>
      <c r="H16">
        <v>356.28</v>
      </c>
      <c r="K16" s="10">
        <v>0</v>
      </c>
    </row>
    <row r="17" spans="1:11" x14ac:dyDescent="0.4">
      <c r="A17" s="25">
        <v>44158</v>
      </c>
      <c r="B17" s="11">
        <v>357.46</v>
      </c>
      <c r="C17" s="11"/>
      <c r="D17" s="11"/>
      <c r="E17" s="10">
        <f t="shared" si="0"/>
        <v>0</v>
      </c>
      <c r="G17" s="29">
        <v>44154</v>
      </c>
      <c r="H17">
        <v>357.78</v>
      </c>
      <c r="K17" s="10">
        <v>0</v>
      </c>
    </row>
    <row r="18" spans="1:11" x14ac:dyDescent="0.4">
      <c r="A18" s="25">
        <v>44159</v>
      </c>
      <c r="B18" s="11">
        <v>363.22</v>
      </c>
      <c r="C18" s="11"/>
      <c r="D18" s="11"/>
      <c r="E18" s="10">
        <f t="shared" si="0"/>
        <v>0</v>
      </c>
      <c r="G18" s="29">
        <v>44155</v>
      </c>
      <c r="H18">
        <v>355.33</v>
      </c>
      <c r="K18" s="10">
        <v>0</v>
      </c>
    </row>
    <row r="19" spans="1:11" x14ac:dyDescent="0.4">
      <c r="A19" s="25">
        <v>44160</v>
      </c>
      <c r="B19" s="11">
        <v>362.66</v>
      </c>
      <c r="C19" s="11"/>
      <c r="D19" s="11"/>
      <c r="E19" s="10">
        <f t="shared" si="0"/>
        <v>0</v>
      </c>
      <c r="G19" s="29">
        <v>44158</v>
      </c>
      <c r="H19">
        <v>357.46</v>
      </c>
      <c r="K19" s="10">
        <v>0</v>
      </c>
    </row>
    <row r="20" spans="1:11" x14ac:dyDescent="0.4">
      <c r="A20" s="25">
        <v>44162</v>
      </c>
      <c r="B20" s="11">
        <v>363.67</v>
      </c>
      <c r="C20" s="11"/>
      <c r="D20" s="11"/>
      <c r="E20" s="10">
        <f t="shared" si="0"/>
        <v>0</v>
      </c>
      <c r="G20" s="29">
        <v>44159</v>
      </c>
      <c r="H20">
        <v>363.22</v>
      </c>
      <c r="K20" s="10">
        <v>0</v>
      </c>
    </row>
    <row r="21" spans="1:11" x14ac:dyDescent="0.4">
      <c r="A21" s="25">
        <v>44165</v>
      </c>
      <c r="B21" s="11">
        <v>362.06</v>
      </c>
      <c r="C21" s="11"/>
      <c r="D21" s="11"/>
      <c r="E21" s="10">
        <f t="shared" si="0"/>
        <v>0</v>
      </c>
      <c r="G21" s="29">
        <v>44160</v>
      </c>
      <c r="H21">
        <v>362.66</v>
      </c>
      <c r="K21" s="10">
        <v>0</v>
      </c>
    </row>
    <row r="22" spans="1:11" x14ac:dyDescent="0.4">
      <c r="A22" s="25">
        <v>44166</v>
      </c>
      <c r="B22" s="11">
        <v>366.02</v>
      </c>
      <c r="C22" s="11"/>
      <c r="D22" s="11"/>
      <c r="E22" s="10">
        <f t="shared" si="0"/>
        <v>0</v>
      </c>
      <c r="G22" s="29">
        <v>44162</v>
      </c>
      <c r="H22">
        <v>363.67</v>
      </c>
      <c r="K22" s="10">
        <v>0</v>
      </c>
    </row>
    <row r="23" spans="1:11" x14ac:dyDescent="0.4">
      <c r="A23" s="25">
        <v>44167</v>
      </c>
      <c r="B23" s="11">
        <v>366.79</v>
      </c>
      <c r="C23" s="11"/>
      <c r="D23" s="11"/>
      <c r="E23" s="10">
        <f t="shared" si="0"/>
        <v>0</v>
      </c>
      <c r="G23" s="29">
        <v>44165</v>
      </c>
      <c r="H23">
        <v>362.06</v>
      </c>
      <c r="K23" s="10">
        <v>0</v>
      </c>
    </row>
    <row r="24" spans="1:11" x14ac:dyDescent="0.4">
      <c r="A24" s="25">
        <v>44168</v>
      </c>
      <c r="B24" s="11">
        <v>366.69</v>
      </c>
      <c r="C24" s="11"/>
      <c r="D24" s="11"/>
      <c r="E24" s="10">
        <f t="shared" si="0"/>
        <v>0</v>
      </c>
      <c r="G24" s="29">
        <v>44166</v>
      </c>
      <c r="H24">
        <v>366.02</v>
      </c>
      <c r="K24" s="10">
        <v>0</v>
      </c>
    </row>
    <row r="25" spans="1:11" x14ac:dyDescent="0.4">
      <c r="A25" s="25">
        <v>44169</v>
      </c>
      <c r="B25" s="11">
        <v>369.85</v>
      </c>
      <c r="C25" s="11"/>
      <c r="D25" s="11"/>
      <c r="E25" s="10">
        <f t="shared" si="0"/>
        <v>0</v>
      </c>
      <c r="G25" s="29">
        <v>44167</v>
      </c>
      <c r="H25">
        <v>366.79</v>
      </c>
      <c r="K25" s="10">
        <v>0</v>
      </c>
    </row>
    <row r="26" spans="1:11" x14ac:dyDescent="0.4">
      <c r="A26" s="25">
        <v>44172</v>
      </c>
      <c r="B26" s="11">
        <v>369.09</v>
      </c>
      <c r="C26" s="11"/>
      <c r="D26" s="11"/>
      <c r="E26" s="10">
        <f t="shared" si="0"/>
        <v>0</v>
      </c>
      <c r="G26" s="29">
        <v>44168</v>
      </c>
      <c r="H26">
        <v>366.69</v>
      </c>
      <c r="K26" s="10">
        <v>0</v>
      </c>
    </row>
    <row r="27" spans="1:11" x14ac:dyDescent="0.4">
      <c r="A27" s="25">
        <v>44173</v>
      </c>
      <c r="B27" s="11">
        <v>370.17</v>
      </c>
      <c r="C27" s="11"/>
      <c r="D27" s="11"/>
      <c r="E27" s="10">
        <f t="shared" si="0"/>
        <v>0</v>
      </c>
      <c r="G27" s="29">
        <v>44169</v>
      </c>
      <c r="H27">
        <v>369.85</v>
      </c>
      <c r="K27" s="10">
        <v>0</v>
      </c>
    </row>
    <row r="28" spans="1:11" x14ac:dyDescent="0.4">
      <c r="A28" s="25">
        <v>44174</v>
      </c>
      <c r="B28" s="11">
        <v>366.85</v>
      </c>
      <c r="C28" s="11"/>
      <c r="D28" s="11"/>
      <c r="E28" s="10">
        <f t="shared" si="0"/>
        <v>0</v>
      </c>
      <c r="G28" s="29">
        <v>44172</v>
      </c>
      <c r="H28">
        <v>369.09</v>
      </c>
      <c r="K28" s="10">
        <v>0</v>
      </c>
    </row>
    <row r="29" spans="1:11" x14ac:dyDescent="0.4">
      <c r="A29" s="25">
        <v>44175</v>
      </c>
      <c r="B29" s="11">
        <v>366.73</v>
      </c>
      <c r="C29" s="11"/>
      <c r="D29" s="11"/>
      <c r="E29" s="10">
        <f t="shared" si="0"/>
        <v>0</v>
      </c>
      <c r="G29" s="29">
        <v>44173</v>
      </c>
      <c r="H29">
        <v>370.17</v>
      </c>
      <c r="K29" s="10">
        <v>0</v>
      </c>
    </row>
    <row r="30" spans="1:11" x14ac:dyDescent="0.4">
      <c r="A30" s="25">
        <v>44176</v>
      </c>
      <c r="B30" s="11">
        <v>366.3</v>
      </c>
      <c r="C30" s="11"/>
      <c r="D30" s="11"/>
      <c r="E30" s="10">
        <f t="shared" si="0"/>
        <v>0</v>
      </c>
      <c r="G30" s="29">
        <v>44174</v>
      </c>
      <c r="H30">
        <v>366.85</v>
      </c>
      <c r="K30" s="10">
        <v>0</v>
      </c>
    </row>
    <row r="31" spans="1:11" x14ac:dyDescent="0.4">
      <c r="A31" s="25">
        <v>44179</v>
      </c>
      <c r="B31" s="11">
        <v>364.66</v>
      </c>
      <c r="C31" s="11"/>
      <c r="D31" s="11"/>
      <c r="E31" s="10">
        <f t="shared" si="0"/>
        <v>0</v>
      </c>
      <c r="G31" s="29">
        <v>44175</v>
      </c>
      <c r="H31">
        <v>366.73</v>
      </c>
      <c r="K31" s="10">
        <v>0</v>
      </c>
    </row>
    <row r="32" spans="1:11" x14ac:dyDescent="0.4">
      <c r="A32" s="25">
        <v>44180</v>
      </c>
      <c r="B32" s="11">
        <v>369.59</v>
      </c>
      <c r="C32" s="11"/>
      <c r="D32" s="11"/>
      <c r="E32" s="10">
        <f t="shared" si="0"/>
        <v>0</v>
      </c>
      <c r="G32" s="29">
        <v>44176</v>
      </c>
      <c r="H32">
        <v>366.3</v>
      </c>
      <c r="K32" s="10">
        <v>0</v>
      </c>
    </row>
    <row r="33" spans="1:11" x14ac:dyDescent="0.4">
      <c r="A33" s="25">
        <v>44181</v>
      </c>
      <c r="B33" s="11">
        <v>370.17</v>
      </c>
      <c r="C33" s="11"/>
      <c r="D33" s="11"/>
      <c r="E33" s="10">
        <f t="shared" si="0"/>
        <v>0</v>
      </c>
      <c r="G33" s="29">
        <v>44179</v>
      </c>
      <c r="H33">
        <v>364.66</v>
      </c>
      <c r="K33" s="10">
        <v>0</v>
      </c>
    </row>
    <row r="34" spans="1:11" x14ac:dyDescent="0.4">
      <c r="A34" s="25">
        <v>44182</v>
      </c>
      <c r="B34" s="11">
        <v>372.24</v>
      </c>
      <c r="C34" s="11"/>
      <c r="D34" s="11"/>
      <c r="E34" s="10">
        <f t="shared" si="0"/>
        <v>0</v>
      </c>
      <c r="G34" s="29">
        <v>44180</v>
      </c>
      <c r="H34">
        <v>369.59</v>
      </c>
      <c r="K34" s="10">
        <v>0</v>
      </c>
    </row>
    <row r="35" spans="1:11" x14ac:dyDescent="0.4">
      <c r="A35" s="25">
        <v>44183</v>
      </c>
      <c r="B35" s="11">
        <v>369.18</v>
      </c>
      <c r="C35" s="11"/>
      <c r="D35" s="11"/>
      <c r="E35" s="10">
        <f t="shared" si="0"/>
        <v>0</v>
      </c>
      <c r="G35" s="29">
        <v>44181</v>
      </c>
      <c r="H35">
        <v>370.17</v>
      </c>
      <c r="K35" s="10">
        <v>0</v>
      </c>
    </row>
    <row r="36" spans="1:11" x14ac:dyDescent="0.4">
      <c r="A36" s="25">
        <v>44186</v>
      </c>
      <c r="B36" s="11">
        <v>367.86</v>
      </c>
      <c r="C36" s="11"/>
      <c r="D36" s="11"/>
      <c r="E36" s="10">
        <f t="shared" si="0"/>
        <v>0</v>
      </c>
      <c r="G36" s="29">
        <v>44182</v>
      </c>
      <c r="H36">
        <v>372.24</v>
      </c>
      <c r="K36" s="10">
        <v>0</v>
      </c>
    </row>
    <row r="37" spans="1:11" x14ac:dyDescent="0.4">
      <c r="A37" s="25">
        <v>44187</v>
      </c>
      <c r="B37" s="11">
        <v>367.24</v>
      </c>
      <c r="C37" s="11"/>
      <c r="D37" s="11"/>
      <c r="E37" s="10">
        <f t="shared" si="0"/>
        <v>0</v>
      </c>
      <c r="G37" s="29">
        <v>44183</v>
      </c>
      <c r="H37">
        <v>369.18</v>
      </c>
      <c r="K37" s="10">
        <v>0</v>
      </c>
    </row>
    <row r="38" spans="1:11" x14ac:dyDescent="0.4">
      <c r="A38" s="25">
        <v>44188</v>
      </c>
      <c r="B38" s="11">
        <v>367.57</v>
      </c>
      <c r="C38" s="11"/>
      <c r="D38" s="11"/>
      <c r="E38" s="10">
        <f t="shared" si="0"/>
        <v>0</v>
      </c>
      <c r="G38" s="29">
        <v>44186</v>
      </c>
      <c r="H38">
        <v>367.86</v>
      </c>
      <c r="K38" s="10">
        <v>0</v>
      </c>
    </row>
    <row r="39" spans="1:11" x14ac:dyDescent="0.4">
      <c r="A39" s="25">
        <v>44189</v>
      </c>
      <c r="B39" s="11">
        <v>369</v>
      </c>
      <c r="C39" s="11"/>
      <c r="D39" s="11"/>
      <c r="E39" s="10">
        <f t="shared" si="0"/>
        <v>0</v>
      </c>
      <c r="G39" s="29">
        <v>44187</v>
      </c>
      <c r="H39">
        <v>367.24</v>
      </c>
      <c r="K39" s="10">
        <v>0</v>
      </c>
    </row>
    <row r="40" spans="1:11" x14ac:dyDescent="0.4">
      <c r="A40" s="25">
        <v>44193</v>
      </c>
      <c r="B40" s="11">
        <v>372.17</v>
      </c>
      <c r="C40" s="11"/>
      <c r="D40" s="11"/>
      <c r="E40" s="10">
        <f t="shared" si="0"/>
        <v>0</v>
      </c>
      <c r="G40" s="29">
        <v>44188</v>
      </c>
      <c r="H40">
        <v>367.57</v>
      </c>
      <c r="K40" s="10">
        <v>0</v>
      </c>
    </row>
    <row r="41" spans="1:11" x14ac:dyDescent="0.4">
      <c r="A41" s="25">
        <v>44194</v>
      </c>
      <c r="B41" s="11">
        <v>371.46</v>
      </c>
      <c r="C41" s="11"/>
      <c r="D41" s="11"/>
      <c r="E41" s="10">
        <f t="shared" si="0"/>
        <v>0</v>
      </c>
      <c r="G41" s="29">
        <v>44189</v>
      </c>
      <c r="H41">
        <v>369</v>
      </c>
      <c r="K41" s="10">
        <v>0</v>
      </c>
    </row>
    <row r="42" spans="1:11" x14ac:dyDescent="0.4">
      <c r="A42" s="25">
        <v>44195</v>
      </c>
      <c r="B42" s="11">
        <v>371.99</v>
      </c>
      <c r="C42" s="11"/>
      <c r="D42" s="11"/>
      <c r="E42" s="10">
        <f t="shared" si="0"/>
        <v>0</v>
      </c>
      <c r="G42" s="29">
        <v>44193</v>
      </c>
      <c r="H42">
        <v>372.17</v>
      </c>
      <c r="K42" s="10">
        <v>0</v>
      </c>
    </row>
    <row r="43" spans="1:11" x14ac:dyDescent="0.4">
      <c r="A43" s="25">
        <v>44196</v>
      </c>
      <c r="B43" s="11">
        <v>373.88</v>
      </c>
      <c r="C43" s="11"/>
      <c r="D43" s="11"/>
      <c r="E43" s="10">
        <f t="shared" si="0"/>
        <v>0</v>
      </c>
      <c r="G43" s="29">
        <v>44194</v>
      </c>
      <c r="H43">
        <v>371.46</v>
      </c>
      <c r="K43" s="10">
        <v>0</v>
      </c>
    </row>
    <row r="44" spans="1:11" x14ac:dyDescent="0.4">
      <c r="A44" s="25">
        <v>44200</v>
      </c>
      <c r="B44" s="11">
        <v>368.79</v>
      </c>
      <c r="C44" s="11"/>
      <c r="D44" s="11"/>
      <c r="E44" s="10">
        <f t="shared" si="0"/>
        <v>0</v>
      </c>
      <c r="G44" s="29">
        <v>44195</v>
      </c>
      <c r="H44">
        <v>371.99</v>
      </c>
      <c r="K44" s="10">
        <v>0</v>
      </c>
    </row>
    <row r="45" spans="1:11" x14ac:dyDescent="0.4">
      <c r="A45" s="25">
        <v>44201</v>
      </c>
      <c r="B45" s="11">
        <v>371.33</v>
      </c>
      <c r="C45" s="11"/>
      <c r="D45" s="11"/>
      <c r="E45" s="10">
        <f t="shared" si="0"/>
        <v>0</v>
      </c>
      <c r="G45" s="29">
        <v>44196</v>
      </c>
      <c r="H45">
        <v>373.88</v>
      </c>
      <c r="K45" s="10">
        <v>0</v>
      </c>
    </row>
    <row r="46" spans="1:11" x14ac:dyDescent="0.4">
      <c r="A46" s="25">
        <v>44202</v>
      </c>
      <c r="B46" s="11">
        <v>373.55</v>
      </c>
      <c r="C46" s="11"/>
      <c r="D46" s="11"/>
      <c r="E46" s="10">
        <f t="shared" si="0"/>
        <v>0</v>
      </c>
      <c r="G46" s="29">
        <v>44200</v>
      </c>
      <c r="H46">
        <v>368.79</v>
      </c>
      <c r="K46" s="10">
        <v>0</v>
      </c>
    </row>
    <row r="47" spans="1:11" x14ac:dyDescent="0.4">
      <c r="A47" s="25">
        <v>44203</v>
      </c>
      <c r="B47" s="11">
        <v>379.1</v>
      </c>
      <c r="C47" s="11"/>
      <c r="D47" s="11"/>
      <c r="E47" s="10">
        <f t="shared" si="0"/>
        <v>0</v>
      </c>
      <c r="G47" s="29">
        <v>44201</v>
      </c>
      <c r="H47">
        <v>371.33</v>
      </c>
      <c r="K47" s="10">
        <v>0</v>
      </c>
    </row>
    <row r="48" spans="1:11" x14ac:dyDescent="0.4">
      <c r="A48" s="25">
        <v>44204</v>
      </c>
      <c r="B48" s="11">
        <v>381.26</v>
      </c>
      <c r="C48" s="11"/>
      <c r="D48" s="11"/>
      <c r="E48" s="10">
        <f t="shared" si="0"/>
        <v>0</v>
      </c>
      <c r="G48" s="29">
        <v>44202</v>
      </c>
      <c r="H48">
        <v>373.55</v>
      </c>
      <c r="K48" s="10">
        <v>0</v>
      </c>
    </row>
    <row r="49" spans="1:11" x14ac:dyDescent="0.4">
      <c r="A49" s="25">
        <v>44207</v>
      </c>
      <c r="B49" s="11">
        <v>378.69</v>
      </c>
      <c r="C49" s="11"/>
      <c r="D49" s="11"/>
      <c r="E49" s="10">
        <f t="shared" si="0"/>
        <v>0</v>
      </c>
      <c r="G49" s="29">
        <v>44203</v>
      </c>
      <c r="H49">
        <v>379.1</v>
      </c>
      <c r="K49" s="10">
        <v>0</v>
      </c>
    </row>
    <row r="50" spans="1:11" x14ac:dyDescent="0.4">
      <c r="A50" s="25">
        <v>44208</v>
      </c>
      <c r="B50" s="11">
        <v>378.77</v>
      </c>
      <c r="C50" s="11"/>
      <c r="D50" s="11"/>
      <c r="E50" s="10">
        <f t="shared" si="0"/>
        <v>0</v>
      </c>
      <c r="G50" s="29">
        <v>44204</v>
      </c>
      <c r="H50">
        <v>381.26</v>
      </c>
      <c r="K50" s="10">
        <v>0</v>
      </c>
    </row>
    <row r="51" spans="1:11" x14ac:dyDescent="0.4">
      <c r="A51" s="25">
        <v>44209</v>
      </c>
      <c r="B51" s="11">
        <v>379.79</v>
      </c>
      <c r="C51" s="11">
        <v>364.30360000000002</v>
      </c>
      <c r="D51" s="11"/>
      <c r="E51" s="10">
        <f t="shared" si="0"/>
        <v>0</v>
      </c>
      <c r="G51" s="29">
        <v>44207</v>
      </c>
      <c r="H51">
        <v>378.69</v>
      </c>
      <c r="K51" s="10">
        <v>0</v>
      </c>
    </row>
    <row r="52" spans="1:11" x14ac:dyDescent="0.4">
      <c r="A52" s="25">
        <v>44210</v>
      </c>
      <c r="B52" s="11">
        <v>378.46</v>
      </c>
      <c r="C52" s="11">
        <v>365.2688</v>
      </c>
      <c r="D52" s="11"/>
      <c r="E52" s="10">
        <f t="shared" si="0"/>
        <v>0</v>
      </c>
      <c r="G52" s="29">
        <v>44208</v>
      </c>
      <c r="H52">
        <v>378.77</v>
      </c>
      <c r="K52" s="10">
        <v>0</v>
      </c>
    </row>
    <row r="53" spans="1:11" x14ac:dyDescent="0.4">
      <c r="A53" s="25">
        <v>44211</v>
      </c>
      <c r="B53" s="11">
        <v>375.7</v>
      </c>
      <c r="C53" s="11">
        <v>366.06220000000002</v>
      </c>
      <c r="D53" s="11"/>
      <c r="E53" s="10">
        <f t="shared" si="0"/>
        <v>0</v>
      </c>
      <c r="G53" s="29">
        <v>44209</v>
      </c>
      <c r="H53">
        <v>379.79</v>
      </c>
      <c r="I53">
        <v>364.30360000000002</v>
      </c>
      <c r="K53" s="10">
        <v>0</v>
      </c>
    </row>
    <row r="54" spans="1:11" x14ac:dyDescent="0.4">
      <c r="A54" s="25">
        <v>44215</v>
      </c>
      <c r="B54" s="11">
        <v>378.65</v>
      </c>
      <c r="C54" s="11">
        <v>366.76440000000002</v>
      </c>
      <c r="D54" s="11"/>
      <c r="E54" s="10">
        <f t="shared" si="0"/>
        <v>0</v>
      </c>
      <c r="G54" s="29">
        <v>44210</v>
      </c>
      <c r="H54">
        <v>378.46</v>
      </c>
      <c r="I54">
        <v>365.2688</v>
      </c>
      <c r="K54" s="10">
        <v>0</v>
      </c>
    </row>
    <row r="55" spans="1:11" x14ac:dyDescent="0.4">
      <c r="A55" s="25">
        <v>44216</v>
      </c>
      <c r="B55" s="11">
        <v>383.89</v>
      </c>
      <c r="C55" s="11">
        <v>367.43740000000003</v>
      </c>
      <c r="D55" s="11"/>
      <c r="E55" s="10">
        <f t="shared" si="0"/>
        <v>0</v>
      </c>
      <c r="G55" s="29">
        <v>44211</v>
      </c>
      <c r="H55">
        <v>375.7</v>
      </c>
      <c r="I55">
        <v>366.06220000000002</v>
      </c>
      <c r="K55" s="10">
        <v>0</v>
      </c>
    </row>
    <row r="56" spans="1:11" x14ac:dyDescent="0.4">
      <c r="A56" s="25">
        <v>44217</v>
      </c>
      <c r="B56" s="11">
        <v>384.24</v>
      </c>
      <c r="C56" s="11">
        <v>368.11900000000003</v>
      </c>
      <c r="D56" s="11"/>
      <c r="E56" s="10">
        <f t="shared" si="0"/>
        <v>0</v>
      </c>
      <c r="G56" s="29">
        <v>44215</v>
      </c>
      <c r="H56">
        <v>378.65</v>
      </c>
      <c r="I56">
        <v>366.76440000000002</v>
      </c>
      <c r="K56" s="10">
        <v>0</v>
      </c>
    </row>
    <row r="57" spans="1:11" x14ac:dyDescent="0.4">
      <c r="A57" s="25">
        <v>44218</v>
      </c>
      <c r="B57" s="11">
        <v>382.88</v>
      </c>
      <c r="C57" s="11">
        <v>368.68540000000002</v>
      </c>
      <c r="D57" s="11"/>
      <c r="E57" s="10">
        <f t="shared" si="0"/>
        <v>0</v>
      </c>
      <c r="G57" s="29">
        <v>44216</v>
      </c>
      <c r="H57">
        <v>383.89</v>
      </c>
      <c r="I57">
        <v>367.43740000000003</v>
      </c>
      <c r="K57" s="10">
        <v>0</v>
      </c>
    </row>
    <row r="58" spans="1:11" x14ac:dyDescent="0.4">
      <c r="A58" s="25">
        <v>44221</v>
      </c>
      <c r="B58" s="11">
        <v>384.39</v>
      </c>
      <c r="C58" s="11">
        <v>369.29239999999999</v>
      </c>
      <c r="D58" s="11"/>
      <c r="E58" s="10">
        <f t="shared" si="0"/>
        <v>0</v>
      </c>
      <c r="G58" s="29">
        <v>44217</v>
      </c>
      <c r="H58">
        <v>384.24</v>
      </c>
      <c r="I58">
        <v>368.11900000000003</v>
      </c>
      <c r="K58" s="10">
        <v>0</v>
      </c>
    </row>
    <row r="59" spans="1:11" x14ac:dyDescent="0.4">
      <c r="A59" s="25">
        <v>44222</v>
      </c>
      <c r="B59" s="11">
        <v>383.79</v>
      </c>
      <c r="C59" s="11">
        <v>369.83479999999997</v>
      </c>
      <c r="D59" s="11"/>
      <c r="E59" s="10">
        <f t="shared" si="0"/>
        <v>0</v>
      </c>
      <c r="G59" s="29">
        <v>44218</v>
      </c>
      <c r="H59">
        <v>382.88</v>
      </c>
      <c r="I59">
        <v>368.68540000000002</v>
      </c>
      <c r="K59" s="10">
        <v>0</v>
      </c>
    </row>
    <row r="60" spans="1:11" x14ac:dyDescent="0.4">
      <c r="A60" s="25">
        <v>44223</v>
      </c>
      <c r="B60" s="11">
        <v>374.41</v>
      </c>
      <c r="C60" s="11">
        <v>370.25880000000001</v>
      </c>
      <c r="D60" s="11"/>
      <c r="E60" s="10">
        <f t="shared" si="0"/>
        <v>0</v>
      </c>
      <c r="G60" s="29">
        <v>44221</v>
      </c>
      <c r="H60">
        <v>384.39</v>
      </c>
      <c r="I60">
        <v>369.29239999999999</v>
      </c>
      <c r="K60" s="10">
        <v>0</v>
      </c>
    </row>
    <row r="61" spans="1:11" x14ac:dyDescent="0.4">
      <c r="A61" s="25">
        <v>44224</v>
      </c>
      <c r="B61" s="11">
        <v>377.63</v>
      </c>
      <c r="C61" s="11">
        <v>370.64940000000001</v>
      </c>
      <c r="D61" s="11"/>
      <c r="E61" s="10">
        <f t="shared" si="0"/>
        <v>0</v>
      </c>
      <c r="G61" s="29">
        <v>44222</v>
      </c>
      <c r="H61">
        <v>383.79</v>
      </c>
      <c r="I61">
        <v>369.83479999999997</v>
      </c>
      <c r="K61" s="10">
        <v>0</v>
      </c>
    </row>
    <row r="62" spans="1:11" x14ac:dyDescent="0.4">
      <c r="A62" s="25">
        <v>44225</v>
      </c>
      <c r="B62" s="11">
        <v>370.07</v>
      </c>
      <c r="C62" s="11">
        <v>370.79939999999999</v>
      </c>
      <c r="D62" s="11"/>
      <c r="E62" s="10">
        <f t="shared" si="0"/>
        <v>0</v>
      </c>
      <c r="G62" s="29">
        <v>44223</v>
      </c>
      <c r="H62">
        <v>374.41</v>
      </c>
      <c r="I62">
        <v>370.25880000000001</v>
      </c>
      <c r="K62" s="10">
        <v>0</v>
      </c>
    </row>
    <row r="63" spans="1:11" x14ac:dyDescent="0.4">
      <c r="A63" s="25">
        <v>44228</v>
      </c>
      <c r="B63" s="11">
        <v>376.23</v>
      </c>
      <c r="C63" s="11">
        <v>371.11160000000001</v>
      </c>
      <c r="D63" s="11"/>
      <c r="E63" s="10">
        <f t="shared" si="0"/>
        <v>0</v>
      </c>
      <c r="G63" s="29">
        <v>44224</v>
      </c>
      <c r="H63">
        <v>377.63</v>
      </c>
      <c r="I63">
        <v>370.64940000000001</v>
      </c>
      <c r="K63" s="10">
        <v>0</v>
      </c>
    </row>
    <row r="64" spans="1:11" x14ac:dyDescent="0.4">
      <c r="A64" s="25">
        <v>44229</v>
      </c>
      <c r="B64" s="11">
        <v>381.55</v>
      </c>
      <c r="C64" s="11">
        <v>371.61700000000002</v>
      </c>
      <c r="D64" s="11"/>
      <c r="E64" s="10">
        <f t="shared" si="0"/>
        <v>0</v>
      </c>
      <c r="G64" s="29">
        <v>44225</v>
      </c>
      <c r="H64">
        <v>370.07</v>
      </c>
      <c r="I64">
        <v>370.79939999999999</v>
      </c>
      <c r="K64" s="10">
        <v>0</v>
      </c>
    </row>
    <row r="65" spans="1:11" x14ac:dyDescent="0.4">
      <c r="A65" s="25">
        <v>44230</v>
      </c>
      <c r="B65" s="11">
        <v>381.85</v>
      </c>
      <c r="C65" s="11">
        <v>372.09840000000003</v>
      </c>
      <c r="D65" s="11"/>
      <c r="E65" s="10">
        <f t="shared" si="0"/>
        <v>0</v>
      </c>
      <c r="G65" s="29">
        <v>44228</v>
      </c>
      <c r="H65">
        <v>376.23</v>
      </c>
      <c r="I65">
        <v>371.11160000000001</v>
      </c>
      <c r="K65" s="10">
        <v>0</v>
      </c>
    </row>
    <row r="66" spans="1:11" x14ac:dyDescent="0.4">
      <c r="A66" s="25">
        <v>44231</v>
      </c>
      <c r="B66" s="11">
        <v>386.19</v>
      </c>
      <c r="C66" s="11">
        <v>372.71559999999999</v>
      </c>
      <c r="D66" s="11"/>
      <c r="E66" s="10">
        <f t="shared" si="0"/>
        <v>0</v>
      </c>
      <c r="G66" s="29">
        <v>44229</v>
      </c>
      <c r="H66">
        <v>381.55</v>
      </c>
      <c r="I66">
        <v>371.61700000000002</v>
      </c>
      <c r="K66" s="10">
        <v>0</v>
      </c>
    </row>
    <row r="67" spans="1:11" x14ac:dyDescent="0.4">
      <c r="A67" s="25">
        <v>44232</v>
      </c>
      <c r="B67" s="11">
        <v>387.71</v>
      </c>
      <c r="C67" s="11">
        <v>373.32060000000001</v>
      </c>
      <c r="D67" s="11"/>
      <c r="E67" s="10">
        <f t="shared" ref="E67:E130" si="1">IF(AND(C67&gt;D67, C66&lt;D66), 1, 0)</f>
        <v>0</v>
      </c>
      <c r="G67" s="29">
        <v>44230</v>
      </c>
      <c r="H67">
        <v>381.85</v>
      </c>
      <c r="I67">
        <v>372.09840000000003</v>
      </c>
      <c r="K67" s="10">
        <v>0</v>
      </c>
    </row>
    <row r="68" spans="1:11" x14ac:dyDescent="0.4">
      <c r="A68" s="25">
        <v>44235</v>
      </c>
      <c r="B68" s="11">
        <v>390.51</v>
      </c>
      <c r="C68" s="11">
        <v>373.8664</v>
      </c>
      <c r="D68" s="11"/>
      <c r="E68" s="10">
        <f t="shared" si="1"/>
        <v>0</v>
      </c>
      <c r="G68" s="29">
        <v>44231</v>
      </c>
      <c r="H68">
        <v>386.19</v>
      </c>
      <c r="I68">
        <v>372.71559999999999</v>
      </c>
      <c r="K68" s="10">
        <v>0</v>
      </c>
    </row>
    <row r="69" spans="1:11" x14ac:dyDescent="0.4">
      <c r="A69" s="25">
        <v>44236</v>
      </c>
      <c r="B69" s="11">
        <v>390.25</v>
      </c>
      <c r="C69" s="11">
        <v>374.41820000000001</v>
      </c>
      <c r="D69" s="11"/>
      <c r="E69" s="10">
        <f t="shared" si="1"/>
        <v>0</v>
      </c>
      <c r="G69" s="29">
        <v>44232</v>
      </c>
      <c r="H69">
        <v>387.71</v>
      </c>
      <c r="I69">
        <v>373.32060000000001</v>
      </c>
      <c r="K69" s="10">
        <v>0</v>
      </c>
    </row>
    <row r="70" spans="1:11" x14ac:dyDescent="0.4">
      <c r="A70" s="25">
        <v>44237</v>
      </c>
      <c r="B70" s="11">
        <v>390.08</v>
      </c>
      <c r="C70" s="11">
        <v>374.94639999999998</v>
      </c>
      <c r="D70" s="11"/>
      <c r="E70" s="10">
        <f t="shared" si="1"/>
        <v>0</v>
      </c>
      <c r="G70" s="29">
        <v>44235</v>
      </c>
      <c r="H70">
        <v>390.51</v>
      </c>
      <c r="I70">
        <v>373.8664</v>
      </c>
      <c r="K70" s="10">
        <v>0</v>
      </c>
    </row>
    <row r="71" spans="1:11" x14ac:dyDescent="0.4">
      <c r="A71" s="25">
        <v>44238</v>
      </c>
      <c r="B71" s="11">
        <v>390.71</v>
      </c>
      <c r="C71" s="11">
        <v>375.51940000000002</v>
      </c>
      <c r="D71" s="11"/>
      <c r="E71" s="10">
        <f t="shared" si="1"/>
        <v>0</v>
      </c>
      <c r="G71" s="29">
        <v>44236</v>
      </c>
      <c r="H71">
        <v>390.25</v>
      </c>
      <c r="I71">
        <v>374.41820000000001</v>
      </c>
      <c r="K71" s="10">
        <v>0</v>
      </c>
    </row>
    <row r="72" spans="1:11" x14ac:dyDescent="0.4">
      <c r="A72" s="25">
        <v>44239</v>
      </c>
      <c r="B72" s="11">
        <v>392.64</v>
      </c>
      <c r="C72" s="11">
        <v>376.05180000000001</v>
      </c>
      <c r="D72" s="11"/>
      <c r="E72" s="10">
        <f t="shared" si="1"/>
        <v>0</v>
      </c>
      <c r="G72" s="29">
        <v>44237</v>
      </c>
      <c r="H72">
        <v>390.08</v>
      </c>
      <c r="I72">
        <v>374.94639999999998</v>
      </c>
      <c r="K72" s="10">
        <v>0</v>
      </c>
    </row>
    <row r="73" spans="1:11" x14ac:dyDescent="0.4">
      <c r="A73" s="25">
        <v>44243</v>
      </c>
      <c r="B73" s="11">
        <v>392.3</v>
      </c>
      <c r="C73" s="11">
        <v>376.56200000000001</v>
      </c>
      <c r="D73" s="11"/>
      <c r="E73" s="10">
        <f t="shared" si="1"/>
        <v>0</v>
      </c>
      <c r="G73" s="29">
        <v>44238</v>
      </c>
      <c r="H73">
        <v>390.71</v>
      </c>
      <c r="I73">
        <v>375.51940000000002</v>
      </c>
      <c r="K73" s="10">
        <v>0</v>
      </c>
    </row>
    <row r="74" spans="1:11" x14ac:dyDescent="0.4">
      <c r="A74" s="25">
        <v>44244</v>
      </c>
      <c r="B74" s="11">
        <v>392.39</v>
      </c>
      <c r="C74" s="11">
        <v>377.07600000000002</v>
      </c>
      <c r="D74" s="11"/>
      <c r="E74" s="10">
        <f t="shared" si="1"/>
        <v>0</v>
      </c>
      <c r="G74" s="29">
        <v>44239</v>
      </c>
      <c r="H74">
        <v>392.64</v>
      </c>
      <c r="I74">
        <v>376.05180000000001</v>
      </c>
      <c r="K74" s="10">
        <v>0</v>
      </c>
    </row>
    <row r="75" spans="1:11" x14ac:dyDescent="0.4">
      <c r="A75" s="25">
        <v>44245</v>
      </c>
      <c r="B75" s="11">
        <v>390.72</v>
      </c>
      <c r="C75" s="11">
        <v>377.49340000000001</v>
      </c>
      <c r="D75" s="11"/>
      <c r="E75" s="10">
        <f t="shared" si="1"/>
        <v>0</v>
      </c>
      <c r="G75" s="29">
        <v>44243</v>
      </c>
      <c r="H75">
        <v>392.3</v>
      </c>
      <c r="I75">
        <v>376.56200000000001</v>
      </c>
      <c r="K75" s="10">
        <v>0</v>
      </c>
    </row>
    <row r="76" spans="1:11" x14ac:dyDescent="0.4">
      <c r="A76" s="25">
        <v>44246</v>
      </c>
      <c r="B76" s="11">
        <v>390.03</v>
      </c>
      <c r="C76" s="11">
        <v>377.91219999999998</v>
      </c>
      <c r="D76" s="11"/>
      <c r="E76" s="10">
        <f t="shared" si="1"/>
        <v>0</v>
      </c>
      <c r="G76" s="29">
        <v>44244</v>
      </c>
      <c r="H76">
        <v>392.39</v>
      </c>
      <c r="I76">
        <v>377.07600000000002</v>
      </c>
      <c r="K76" s="10">
        <v>0</v>
      </c>
    </row>
    <row r="77" spans="1:11" x14ac:dyDescent="0.4">
      <c r="A77" s="25">
        <v>44249</v>
      </c>
      <c r="B77" s="11">
        <v>387.03</v>
      </c>
      <c r="C77" s="11">
        <v>378.24939999999998</v>
      </c>
      <c r="D77" s="11"/>
      <c r="E77" s="10">
        <f t="shared" si="1"/>
        <v>0</v>
      </c>
      <c r="G77" s="29">
        <v>44245</v>
      </c>
      <c r="H77">
        <v>390.72</v>
      </c>
      <c r="I77">
        <v>377.49340000000001</v>
      </c>
      <c r="K77" s="10">
        <v>0</v>
      </c>
    </row>
    <row r="78" spans="1:11" x14ac:dyDescent="0.4">
      <c r="A78" s="25">
        <v>44250</v>
      </c>
      <c r="B78" s="11">
        <v>387.5</v>
      </c>
      <c r="C78" s="11">
        <v>378.66239999999999</v>
      </c>
      <c r="D78" s="11"/>
      <c r="E78" s="10">
        <f t="shared" si="1"/>
        <v>0</v>
      </c>
      <c r="G78" s="29">
        <v>44246</v>
      </c>
      <c r="H78">
        <v>390.03</v>
      </c>
      <c r="I78">
        <v>377.91219999999998</v>
      </c>
      <c r="K78" s="10">
        <v>0</v>
      </c>
    </row>
    <row r="79" spans="1:11" x14ac:dyDescent="0.4">
      <c r="A79" s="25">
        <v>44251</v>
      </c>
      <c r="B79" s="11">
        <v>391.77</v>
      </c>
      <c r="C79" s="11">
        <v>379.16320000000002</v>
      </c>
      <c r="D79" s="11"/>
      <c r="E79" s="10">
        <f t="shared" si="1"/>
        <v>0</v>
      </c>
      <c r="G79" s="29">
        <v>44249</v>
      </c>
      <c r="H79">
        <v>387.03</v>
      </c>
      <c r="I79">
        <v>378.24939999999998</v>
      </c>
      <c r="K79" s="10">
        <v>0</v>
      </c>
    </row>
    <row r="80" spans="1:11" x14ac:dyDescent="0.4">
      <c r="A80" s="25">
        <v>44252</v>
      </c>
      <c r="B80" s="11">
        <v>382.33</v>
      </c>
      <c r="C80" s="11">
        <v>379.48379999999997</v>
      </c>
      <c r="D80" s="11"/>
      <c r="E80" s="10">
        <f t="shared" si="1"/>
        <v>0</v>
      </c>
      <c r="G80" s="29">
        <v>44250</v>
      </c>
      <c r="H80">
        <v>387.5</v>
      </c>
      <c r="I80">
        <v>378.66239999999999</v>
      </c>
      <c r="K80" s="10">
        <v>0</v>
      </c>
    </row>
    <row r="81" spans="1:11" x14ac:dyDescent="0.4">
      <c r="A81" s="25">
        <v>44253</v>
      </c>
      <c r="B81" s="11">
        <v>380.36</v>
      </c>
      <c r="C81" s="11">
        <v>379.7978</v>
      </c>
      <c r="D81" s="11"/>
      <c r="E81" s="10">
        <f t="shared" si="1"/>
        <v>0</v>
      </c>
      <c r="G81" s="29">
        <v>44251</v>
      </c>
      <c r="H81">
        <v>391.77</v>
      </c>
      <c r="I81">
        <v>379.16320000000002</v>
      </c>
      <c r="K81" s="10">
        <v>0</v>
      </c>
    </row>
    <row r="82" spans="1:11" x14ac:dyDescent="0.4">
      <c r="A82" s="25">
        <v>44256</v>
      </c>
      <c r="B82" s="11">
        <v>389.58</v>
      </c>
      <c r="C82" s="11">
        <v>380.19760000000002</v>
      </c>
      <c r="D82" s="11"/>
      <c r="E82" s="10">
        <f t="shared" si="1"/>
        <v>0</v>
      </c>
      <c r="G82" s="29">
        <v>44252</v>
      </c>
      <c r="H82">
        <v>382.33</v>
      </c>
      <c r="I82">
        <v>379.48379999999997</v>
      </c>
      <c r="K82" s="10">
        <v>0</v>
      </c>
    </row>
    <row r="83" spans="1:11" x14ac:dyDescent="0.4">
      <c r="A83" s="25">
        <v>44257</v>
      </c>
      <c r="B83" s="11">
        <v>386.54</v>
      </c>
      <c r="C83" s="11">
        <v>380.52499999999998</v>
      </c>
      <c r="D83" s="11"/>
      <c r="E83" s="10">
        <f t="shared" si="1"/>
        <v>0</v>
      </c>
      <c r="G83" s="29">
        <v>44253</v>
      </c>
      <c r="H83">
        <v>380.36</v>
      </c>
      <c r="I83">
        <v>379.7978</v>
      </c>
      <c r="K83" s="10">
        <v>0</v>
      </c>
    </row>
    <row r="84" spans="1:11" x14ac:dyDescent="0.4">
      <c r="A84" s="25">
        <v>44258</v>
      </c>
      <c r="B84" s="11">
        <v>381.42</v>
      </c>
      <c r="C84" s="11">
        <v>380.70859999999999</v>
      </c>
      <c r="D84" s="11"/>
      <c r="E84" s="10">
        <f t="shared" si="1"/>
        <v>0</v>
      </c>
      <c r="G84" s="29">
        <v>44256</v>
      </c>
      <c r="H84">
        <v>389.58</v>
      </c>
      <c r="I84">
        <v>380.19760000000002</v>
      </c>
      <c r="K84" s="10">
        <v>0</v>
      </c>
    </row>
    <row r="85" spans="1:11" x14ac:dyDescent="0.4">
      <c r="A85" s="25">
        <v>44259</v>
      </c>
      <c r="B85" s="11">
        <v>376.7</v>
      </c>
      <c r="C85" s="11">
        <v>380.85899999999998</v>
      </c>
      <c r="D85" s="11"/>
      <c r="E85" s="10">
        <f t="shared" si="1"/>
        <v>0</v>
      </c>
      <c r="G85" s="29">
        <v>44257</v>
      </c>
      <c r="H85">
        <v>386.54</v>
      </c>
      <c r="I85">
        <v>380.52499999999998</v>
      </c>
      <c r="K85" s="10">
        <v>0</v>
      </c>
    </row>
    <row r="86" spans="1:11" x14ac:dyDescent="0.4">
      <c r="A86" s="25">
        <v>44260</v>
      </c>
      <c r="B86" s="11">
        <v>383.63</v>
      </c>
      <c r="C86" s="11">
        <v>381.17439999999999</v>
      </c>
      <c r="D86" s="11"/>
      <c r="E86" s="10">
        <f t="shared" si="1"/>
        <v>0</v>
      </c>
      <c r="G86" s="29">
        <v>44258</v>
      </c>
      <c r="H86">
        <v>381.42</v>
      </c>
      <c r="I86">
        <v>380.70859999999999</v>
      </c>
      <c r="K86" s="10">
        <v>0</v>
      </c>
    </row>
    <row r="87" spans="1:11" x14ac:dyDescent="0.4">
      <c r="A87" s="25">
        <v>44263</v>
      </c>
      <c r="B87" s="11">
        <v>381.72</v>
      </c>
      <c r="C87" s="11">
        <v>381.464</v>
      </c>
      <c r="D87" s="11"/>
      <c r="E87" s="10">
        <f t="shared" si="1"/>
        <v>0</v>
      </c>
      <c r="G87" s="29">
        <v>44259</v>
      </c>
      <c r="H87">
        <v>376.7</v>
      </c>
      <c r="I87">
        <v>380.85899999999998</v>
      </c>
      <c r="K87" s="10">
        <v>0</v>
      </c>
    </row>
    <row r="88" spans="1:11" x14ac:dyDescent="0.4">
      <c r="A88" s="25">
        <v>44264</v>
      </c>
      <c r="B88" s="11">
        <v>387.17</v>
      </c>
      <c r="C88" s="11">
        <v>381.85599999999999</v>
      </c>
      <c r="D88" s="11"/>
      <c r="E88" s="10">
        <f t="shared" si="1"/>
        <v>0</v>
      </c>
      <c r="G88" s="29">
        <v>44260</v>
      </c>
      <c r="H88">
        <v>383.63</v>
      </c>
      <c r="I88">
        <v>381.17439999999999</v>
      </c>
      <c r="K88" s="10">
        <v>0</v>
      </c>
    </row>
    <row r="89" spans="1:11" x14ac:dyDescent="0.4">
      <c r="A89" s="25">
        <v>44265</v>
      </c>
      <c r="B89" s="11">
        <v>389.58</v>
      </c>
      <c r="C89" s="11">
        <v>382.26760000000002</v>
      </c>
      <c r="D89" s="11"/>
      <c r="E89" s="10">
        <f t="shared" si="1"/>
        <v>0</v>
      </c>
      <c r="G89" s="29">
        <v>44263</v>
      </c>
      <c r="H89">
        <v>381.72</v>
      </c>
      <c r="I89">
        <v>381.464</v>
      </c>
      <c r="K89" s="10">
        <v>0</v>
      </c>
    </row>
    <row r="90" spans="1:11" x14ac:dyDescent="0.4">
      <c r="A90" s="25">
        <v>44266</v>
      </c>
      <c r="B90" s="11">
        <v>393.53</v>
      </c>
      <c r="C90" s="11">
        <v>382.69479999999999</v>
      </c>
      <c r="D90" s="11"/>
      <c r="E90" s="10">
        <f t="shared" si="1"/>
        <v>0</v>
      </c>
      <c r="G90" s="29">
        <v>44264</v>
      </c>
      <c r="H90">
        <v>387.17</v>
      </c>
      <c r="I90">
        <v>381.85599999999999</v>
      </c>
      <c r="K90" s="10">
        <v>0</v>
      </c>
    </row>
    <row r="91" spans="1:11" x14ac:dyDescent="0.4">
      <c r="A91" s="25">
        <v>44267</v>
      </c>
      <c r="B91" s="11">
        <v>394.06</v>
      </c>
      <c r="C91" s="11">
        <v>383.14679999999998</v>
      </c>
      <c r="D91" s="11"/>
      <c r="E91" s="10">
        <f t="shared" si="1"/>
        <v>0</v>
      </c>
      <c r="G91" s="29">
        <v>44265</v>
      </c>
      <c r="H91">
        <v>389.58</v>
      </c>
      <c r="I91">
        <v>382.26760000000002</v>
      </c>
      <c r="K91" s="10">
        <v>0</v>
      </c>
    </row>
    <row r="92" spans="1:11" x14ac:dyDescent="0.4">
      <c r="A92" s="25">
        <v>44270</v>
      </c>
      <c r="B92" s="11">
        <v>396.41</v>
      </c>
      <c r="C92" s="11">
        <v>383.6352</v>
      </c>
      <c r="D92" s="11"/>
      <c r="E92" s="10">
        <f t="shared" si="1"/>
        <v>0</v>
      </c>
      <c r="G92" s="29">
        <v>44266</v>
      </c>
      <c r="H92">
        <v>393.53</v>
      </c>
      <c r="I92">
        <v>382.69479999999999</v>
      </c>
      <c r="K92" s="10">
        <v>0</v>
      </c>
    </row>
    <row r="93" spans="1:11" x14ac:dyDescent="0.4">
      <c r="A93" s="25">
        <v>44271</v>
      </c>
      <c r="B93" s="11">
        <v>395.91</v>
      </c>
      <c r="C93" s="11">
        <v>384.07580000000002</v>
      </c>
      <c r="D93" s="11"/>
      <c r="E93" s="10">
        <f t="shared" si="1"/>
        <v>0</v>
      </c>
      <c r="G93" s="29">
        <v>44267</v>
      </c>
      <c r="H93">
        <v>394.06</v>
      </c>
      <c r="I93">
        <v>383.14679999999998</v>
      </c>
      <c r="K93" s="10">
        <v>0</v>
      </c>
    </row>
    <row r="94" spans="1:11" x14ac:dyDescent="0.4">
      <c r="A94" s="25">
        <v>44272</v>
      </c>
      <c r="B94" s="11">
        <v>397.26</v>
      </c>
      <c r="C94" s="11">
        <v>384.64519999999999</v>
      </c>
      <c r="D94" s="11"/>
      <c r="E94" s="10">
        <f t="shared" si="1"/>
        <v>0</v>
      </c>
      <c r="G94" s="29">
        <v>44270</v>
      </c>
      <c r="H94">
        <v>396.41</v>
      </c>
      <c r="I94">
        <v>383.6352</v>
      </c>
      <c r="K94" s="10">
        <v>0</v>
      </c>
    </row>
    <row r="95" spans="1:11" x14ac:dyDescent="0.4">
      <c r="A95" s="25">
        <v>44273</v>
      </c>
      <c r="B95" s="11">
        <v>391.48</v>
      </c>
      <c r="C95" s="11">
        <v>385.04820000000001</v>
      </c>
      <c r="D95" s="11"/>
      <c r="E95" s="10">
        <f t="shared" si="1"/>
        <v>0</v>
      </c>
      <c r="G95" s="29">
        <v>44271</v>
      </c>
      <c r="H95">
        <v>395.91</v>
      </c>
      <c r="I95">
        <v>384.07580000000002</v>
      </c>
      <c r="K95" s="10">
        <v>0</v>
      </c>
    </row>
    <row r="96" spans="1:11" x14ac:dyDescent="0.4">
      <c r="A96" s="25">
        <v>44274</v>
      </c>
      <c r="B96" s="11">
        <v>389.48</v>
      </c>
      <c r="C96" s="11">
        <v>385.36680000000001</v>
      </c>
      <c r="D96" s="11"/>
      <c r="E96" s="10">
        <f t="shared" si="1"/>
        <v>0</v>
      </c>
      <c r="G96" s="29">
        <v>44272</v>
      </c>
      <c r="H96">
        <v>397.26</v>
      </c>
      <c r="I96">
        <v>384.64519999999999</v>
      </c>
      <c r="K96" s="10">
        <v>0</v>
      </c>
    </row>
    <row r="97" spans="1:11" x14ac:dyDescent="0.4">
      <c r="A97" s="25">
        <v>44277</v>
      </c>
      <c r="B97" s="11">
        <v>392.59</v>
      </c>
      <c r="C97" s="11">
        <v>385.63659999999999</v>
      </c>
      <c r="D97" s="11"/>
      <c r="E97" s="10">
        <f t="shared" si="1"/>
        <v>0</v>
      </c>
      <c r="G97" s="29">
        <v>44273</v>
      </c>
      <c r="H97">
        <v>391.48</v>
      </c>
      <c r="I97">
        <v>385.04820000000001</v>
      </c>
      <c r="K97" s="10">
        <v>0</v>
      </c>
    </row>
    <row r="98" spans="1:11" x14ac:dyDescent="0.4">
      <c r="A98" s="25">
        <v>44278</v>
      </c>
      <c r="B98" s="11">
        <v>389.5</v>
      </c>
      <c r="C98" s="11">
        <v>385.8014</v>
      </c>
      <c r="D98" s="11"/>
      <c r="E98" s="10">
        <f t="shared" si="1"/>
        <v>0</v>
      </c>
      <c r="G98" s="29">
        <v>44274</v>
      </c>
      <c r="H98">
        <v>389.48</v>
      </c>
      <c r="I98">
        <v>385.36680000000001</v>
      </c>
      <c r="K98" s="10">
        <v>0</v>
      </c>
    </row>
    <row r="99" spans="1:11" x14ac:dyDescent="0.4">
      <c r="A99" s="25">
        <v>44279</v>
      </c>
      <c r="B99" s="11">
        <v>387.52</v>
      </c>
      <c r="C99" s="11">
        <v>385.97800000000001</v>
      </c>
      <c r="D99" s="11"/>
      <c r="E99" s="10">
        <f t="shared" si="1"/>
        <v>0</v>
      </c>
      <c r="G99" s="29">
        <v>44277</v>
      </c>
      <c r="H99">
        <v>392.59</v>
      </c>
      <c r="I99">
        <v>385.63659999999999</v>
      </c>
      <c r="K99" s="10">
        <v>0</v>
      </c>
    </row>
    <row r="100" spans="1:11" x14ac:dyDescent="0.4">
      <c r="A100" s="25">
        <v>44280</v>
      </c>
      <c r="B100" s="11">
        <v>389.7</v>
      </c>
      <c r="C100" s="11">
        <v>386.19659999999999</v>
      </c>
      <c r="D100" s="11"/>
      <c r="E100" s="10">
        <f t="shared" si="1"/>
        <v>0</v>
      </c>
      <c r="G100" s="29">
        <v>44278</v>
      </c>
      <c r="H100">
        <v>389.5</v>
      </c>
      <c r="I100">
        <v>385.8014</v>
      </c>
      <c r="K100" s="10">
        <v>0</v>
      </c>
    </row>
    <row r="101" spans="1:11" x14ac:dyDescent="0.4">
      <c r="A101" s="25">
        <v>44281</v>
      </c>
      <c r="B101" s="11">
        <v>395.98</v>
      </c>
      <c r="C101" s="11">
        <v>386.5204</v>
      </c>
      <c r="D101" s="11"/>
      <c r="E101" s="10">
        <f t="shared" si="1"/>
        <v>0</v>
      </c>
      <c r="G101" s="29">
        <v>44279</v>
      </c>
      <c r="H101">
        <v>387.52</v>
      </c>
      <c r="I101">
        <v>385.97800000000001</v>
      </c>
      <c r="K101" s="10">
        <v>0</v>
      </c>
    </row>
    <row r="102" spans="1:11" x14ac:dyDescent="0.4">
      <c r="A102" s="25">
        <v>44284</v>
      </c>
      <c r="B102" s="11">
        <v>395.78</v>
      </c>
      <c r="C102" s="11">
        <v>386.86680000000001</v>
      </c>
      <c r="D102" s="11"/>
      <c r="E102" s="10">
        <f t="shared" si="1"/>
        <v>0</v>
      </c>
      <c r="G102" s="29">
        <v>44280</v>
      </c>
      <c r="H102">
        <v>389.7</v>
      </c>
      <c r="I102">
        <v>386.19659999999999</v>
      </c>
      <c r="K102" s="10">
        <v>0</v>
      </c>
    </row>
    <row r="103" spans="1:11" x14ac:dyDescent="0.4">
      <c r="A103" s="25">
        <v>44285</v>
      </c>
      <c r="B103" s="11">
        <v>394.73</v>
      </c>
      <c r="C103" s="11">
        <v>387.24740000000003</v>
      </c>
      <c r="D103" s="11"/>
      <c r="E103" s="10">
        <f t="shared" si="1"/>
        <v>0</v>
      </c>
      <c r="G103" s="29">
        <v>44281</v>
      </c>
      <c r="H103">
        <v>395.98</v>
      </c>
      <c r="I103">
        <v>386.5204</v>
      </c>
      <c r="K103" s="10">
        <v>0</v>
      </c>
    </row>
    <row r="104" spans="1:11" x14ac:dyDescent="0.4">
      <c r="A104" s="25">
        <v>44286</v>
      </c>
      <c r="B104" s="11">
        <v>396.33</v>
      </c>
      <c r="C104" s="11">
        <v>387.601</v>
      </c>
      <c r="D104" s="11"/>
      <c r="E104" s="10">
        <f t="shared" si="1"/>
        <v>0</v>
      </c>
      <c r="G104" s="29">
        <v>44284</v>
      </c>
      <c r="H104">
        <v>395.78</v>
      </c>
      <c r="I104">
        <v>386.86680000000001</v>
      </c>
      <c r="K104" s="10">
        <v>0</v>
      </c>
    </row>
    <row r="105" spans="1:11" x14ac:dyDescent="0.4">
      <c r="A105" s="25">
        <v>44287</v>
      </c>
      <c r="B105" s="11">
        <v>400.61</v>
      </c>
      <c r="C105" s="11">
        <v>387.93540000000002</v>
      </c>
      <c r="D105" s="11"/>
      <c r="E105" s="10">
        <f t="shared" si="1"/>
        <v>0</v>
      </c>
      <c r="G105" s="29">
        <v>44285</v>
      </c>
      <c r="H105">
        <v>394.73</v>
      </c>
      <c r="I105">
        <v>387.24740000000003</v>
      </c>
      <c r="K105" s="10">
        <v>0</v>
      </c>
    </row>
    <row r="106" spans="1:11" x14ac:dyDescent="0.4">
      <c r="A106" s="25">
        <v>44291</v>
      </c>
      <c r="B106" s="11">
        <v>406.36</v>
      </c>
      <c r="C106" s="11">
        <v>388.37779999999998</v>
      </c>
      <c r="D106" s="11"/>
      <c r="E106" s="10">
        <f t="shared" si="1"/>
        <v>0</v>
      </c>
      <c r="G106" s="29">
        <v>44286</v>
      </c>
      <c r="H106">
        <v>396.33</v>
      </c>
      <c r="I106">
        <v>387.601</v>
      </c>
      <c r="K106" s="10">
        <v>0</v>
      </c>
    </row>
    <row r="107" spans="1:11" x14ac:dyDescent="0.4">
      <c r="A107" s="25">
        <v>44292</v>
      </c>
      <c r="B107" s="11">
        <v>406.12</v>
      </c>
      <c r="C107" s="11">
        <v>388.8426</v>
      </c>
      <c r="D107" s="11"/>
      <c r="E107" s="10">
        <f t="shared" si="1"/>
        <v>0</v>
      </c>
      <c r="G107" s="29">
        <v>44287</v>
      </c>
      <c r="H107">
        <v>400.61</v>
      </c>
      <c r="I107">
        <v>387.93540000000002</v>
      </c>
      <c r="K107" s="10">
        <v>0</v>
      </c>
    </row>
    <row r="108" spans="1:11" x14ac:dyDescent="0.4">
      <c r="A108" s="25">
        <v>44293</v>
      </c>
      <c r="B108" s="11">
        <v>406.59</v>
      </c>
      <c r="C108" s="11">
        <v>389.28660000000002</v>
      </c>
      <c r="D108" s="11"/>
      <c r="E108" s="10">
        <f t="shared" si="1"/>
        <v>0</v>
      </c>
      <c r="G108" s="29">
        <v>44291</v>
      </c>
      <c r="H108">
        <v>406.36</v>
      </c>
      <c r="I108">
        <v>388.37779999999998</v>
      </c>
      <c r="K108" s="10">
        <v>0</v>
      </c>
    </row>
    <row r="109" spans="1:11" x14ac:dyDescent="0.4">
      <c r="A109" s="25">
        <v>44294</v>
      </c>
      <c r="B109" s="11">
        <v>408.52</v>
      </c>
      <c r="C109" s="11">
        <v>389.78120000000001</v>
      </c>
      <c r="D109" s="11"/>
      <c r="E109" s="10">
        <f t="shared" si="1"/>
        <v>0</v>
      </c>
      <c r="G109" s="29">
        <v>44292</v>
      </c>
      <c r="H109">
        <v>406.12</v>
      </c>
      <c r="I109">
        <v>388.8426</v>
      </c>
      <c r="K109" s="10">
        <v>0</v>
      </c>
    </row>
    <row r="110" spans="1:11" x14ac:dyDescent="0.4">
      <c r="A110" s="25">
        <v>44295</v>
      </c>
      <c r="B110" s="11">
        <v>411.49</v>
      </c>
      <c r="C110" s="11">
        <v>390.52280000000002</v>
      </c>
      <c r="D110" s="11"/>
      <c r="E110" s="10">
        <f t="shared" si="1"/>
        <v>0</v>
      </c>
      <c r="G110" s="29">
        <v>44293</v>
      </c>
      <c r="H110">
        <v>406.59</v>
      </c>
      <c r="I110">
        <v>389.28660000000002</v>
      </c>
      <c r="K110" s="10">
        <v>0</v>
      </c>
    </row>
    <row r="111" spans="1:11" x14ac:dyDescent="0.4">
      <c r="A111" s="25">
        <v>44298</v>
      </c>
      <c r="B111" s="11">
        <v>411.64</v>
      </c>
      <c r="C111" s="11">
        <v>391.20299999999997</v>
      </c>
      <c r="D111" s="11"/>
      <c r="E111" s="10">
        <f t="shared" si="1"/>
        <v>0</v>
      </c>
      <c r="G111" s="29">
        <v>44294</v>
      </c>
      <c r="H111">
        <v>408.52</v>
      </c>
      <c r="I111">
        <v>389.78120000000001</v>
      </c>
      <c r="K111" s="10">
        <v>0</v>
      </c>
    </row>
    <row r="112" spans="1:11" x14ac:dyDescent="0.4">
      <c r="A112" s="25">
        <v>44299</v>
      </c>
      <c r="B112" s="11">
        <v>412.86</v>
      </c>
      <c r="C112" s="11">
        <v>392.05880000000002</v>
      </c>
      <c r="D112" s="11"/>
      <c r="E112" s="10">
        <f t="shared" si="1"/>
        <v>0</v>
      </c>
      <c r="G112" s="29">
        <v>44295</v>
      </c>
      <c r="H112">
        <v>411.49</v>
      </c>
      <c r="I112">
        <v>390.52280000000002</v>
      </c>
      <c r="K112" s="10">
        <v>0</v>
      </c>
    </row>
    <row r="113" spans="1:11" x14ac:dyDescent="0.4">
      <c r="A113" s="25">
        <v>44300</v>
      </c>
      <c r="B113" s="11">
        <v>411.45</v>
      </c>
      <c r="C113" s="11">
        <v>392.76319999999998</v>
      </c>
      <c r="D113" s="11"/>
      <c r="E113" s="10">
        <f t="shared" si="1"/>
        <v>0</v>
      </c>
      <c r="G113" s="29">
        <v>44298</v>
      </c>
      <c r="H113">
        <v>411.64</v>
      </c>
      <c r="I113">
        <v>391.20299999999997</v>
      </c>
      <c r="K113" s="10">
        <v>0</v>
      </c>
    </row>
    <row r="114" spans="1:11" x14ac:dyDescent="0.4">
      <c r="A114" s="25">
        <v>44301</v>
      </c>
      <c r="B114" s="11">
        <v>415.87</v>
      </c>
      <c r="C114" s="11">
        <v>393.44959999999998</v>
      </c>
      <c r="D114" s="11"/>
      <c r="E114" s="10">
        <f t="shared" si="1"/>
        <v>0</v>
      </c>
      <c r="G114" s="29">
        <v>44299</v>
      </c>
      <c r="H114">
        <v>412.86</v>
      </c>
      <c r="I114">
        <v>392.05880000000002</v>
      </c>
      <c r="K114" s="10">
        <v>0</v>
      </c>
    </row>
    <row r="115" spans="1:11" x14ac:dyDescent="0.4">
      <c r="A115" s="25">
        <v>44302</v>
      </c>
      <c r="B115" s="11">
        <v>417.26</v>
      </c>
      <c r="C115" s="11">
        <v>394.15780000000001</v>
      </c>
      <c r="D115" s="11"/>
      <c r="E115" s="10">
        <f t="shared" si="1"/>
        <v>0</v>
      </c>
      <c r="G115" s="29">
        <v>44300</v>
      </c>
      <c r="H115">
        <v>411.45</v>
      </c>
      <c r="I115">
        <v>392.76319999999998</v>
      </c>
      <c r="K115" s="10">
        <v>0</v>
      </c>
    </row>
    <row r="116" spans="1:11" x14ac:dyDescent="0.4">
      <c r="A116" s="25">
        <v>44305</v>
      </c>
      <c r="B116" s="11">
        <v>415.21</v>
      </c>
      <c r="C116" s="11">
        <v>394.73820000000001</v>
      </c>
      <c r="D116" s="11"/>
      <c r="E116" s="10">
        <f t="shared" si="1"/>
        <v>0</v>
      </c>
      <c r="G116" s="29">
        <v>44301</v>
      </c>
      <c r="H116">
        <v>415.87</v>
      </c>
      <c r="I116">
        <v>393.44959999999998</v>
      </c>
      <c r="K116" s="10">
        <v>0</v>
      </c>
    </row>
    <row r="117" spans="1:11" x14ac:dyDescent="0.4">
      <c r="A117" s="25">
        <v>44306</v>
      </c>
      <c r="B117" s="11">
        <v>412.17</v>
      </c>
      <c r="C117" s="11">
        <v>395.22739999999999</v>
      </c>
      <c r="D117" s="11"/>
      <c r="E117" s="10">
        <f t="shared" si="1"/>
        <v>0</v>
      </c>
      <c r="G117" s="29">
        <v>44302</v>
      </c>
      <c r="H117">
        <v>417.26</v>
      </c>
      <c r="I117">
        <v>394.15780000000001</v>
      </c>
      <c r="K117" s="10">
        <v>0</v>
      </c>
    </row>
    <row r="118" spans="1:11" x14ac:dyDescent="0.4">
      <c r="A118" s="25">
        <v>44307</v>
      </c>
      <c r="B118" s="11">
        <v>416.07</v>
      </c>
      <c r="C118" s="11">
        <v>395.73860000000002</v>
      </c>
      <c r="D118" s="11"/>
      <c r="E118" s="10">
        <f t="shared" si="1"/>
        <v>0</v>
      </c>
      <c r="G118" s="29">
        <v>44305</v>
      </c>
      <c r="H118">
        <v>415.21</v>
      </c>
      <c r="I118">
        <v>394.73820000000001</v>
      </c>
      <c r="K118" s="10">
        <v>0</v>
      </c>
    </row>
    <row r="119" spans="1:11" x14ac:dyDescent="0.4">
      <c r="A119" s="25">
        <v>44308</v>
      </c>
      <c r="B119" s="11">
        <v>412.27</v>
      </c>
      <c r="C119" s="11">
        <v>396.17899999999997</v>
      </c>
      <c r="D119" s="11"/>
      <c r="E119" s="10">
        <f t="shared" si="1"/>
        <v>0</v>
      </c>
      <c r="G119" s="29">
        <v>44306</v>
      </c>
      <c r="H119">
        <v>412.17</v>
      </c>
      <c r="I119">
        <v>395.22739999999999</v>
      </c>
      <c r="K119" s="10">
        <v>0</v>
      </c>
    </row>
    <row r="120" spans="1:11" x14ac:dyDescent="0.4">
      <c r="A120" s="25">
        <v>44309</v>
      </c>
      <c r="B120" s="11">
        <v>416.74</v>
      </c>
      <c r="C120" s="11">
        <v>396.7122</v>
      </c>
      <c r="D120" s="11"/>
      <c r="E120" s="10">
        <f t="shared" si="1"/>
        <v>0</v>
      </c>
      <c r="G120" s="29">
        <v>44307</v>
      </c>
      <c r="H120">
        <v>416.07</v>
      </c>
      <c r="I120">
        <v>395.73860000000002</v>
      </c>
      <c r="K120" s="10">
        <v>0</v>
      </c>
    </row>
    <row r="121" spans="1:11" x14ac:dyDescent="0.4">
      <c r="A121" s="25">
        <v>44312</v>
      </c>
      <c r="B121" s="11">
        <v>417.61</v>
      </c>
      <c r="C121" s="11">
        <v>397.25020000000001</v>
      </c>
      <c r="D121" s="11"/>
      <c r="E121" s="10">
        <f t="shared" si="1"/>
        <v>0</v>
      </c>
      <c r="G121" s="29">
        <v>44308</v>
      </c>
      <c r="H121">
        <v>412.27</v>
      </c>
      <c r="I121">
        <v>396.17899999999997</v>
      </c>
      <c r="K121" s="10">
        <v>0</v>
      </c>
    </row>
    <row r="122" spans="1:11" x14ac:dyDescent="0.4">
      <c r="A122" s="25">
        <v>44313</v>
      </c>
      <c r="B122" s="11">
        <v>417.52</v>
      </c>
      <c r="C122" s="11">
        <v>397.74779999999998</v>
      </c>
      <c r="D122" s="11"/>
      <c r="E122" s="10">
        <f t="shared" si="1"/>
        <v>0</v>
      </c>
      <c r="G122" s="29">
        <v>44309</v>
      </c>
      <c r="H122">
        <v>416.74</v>
      </c>
      <c r="I122">
        <v>396.7122</v>
      </c>
      <c r="K122" s="10">
        <v>0</v>
      </c>
    </row>
    <row r="123" spans="1:11" x14ac:dyDescent="0.4">
      <c r="A123" s="25">
        <v>44314</v>
      </c>
      <c r="B123" s="11">
        <v>417.4</v>
      </c>
      <c r="C123" s="11">
        <v>398.24979999999999</v>
      </c>
      <c r="D123" s="11"/>
      <c r="E123" s="10">
        <f t="shared" si="1"/>
        <v>0</v>
      </c>
      <c r="G123" s="29">
        <v>44312</v>
      </c>
      <c r="H123">
        <v>417.61</v>
      </c>
      <c r="I123">
        <v>397.25020000000001</v>
      </c>
      <c r="K123" s="10">
        <v>0</v>
      </c>
    </row>
    <row r="124" spans="1:11" x14ac:dyDescent="0.4">
      <c r="A124" s="25">
        <v>44315</v>
      </c>
      <c r="B124" s="11">
        <v>420.06</v>
      </c>
      <c r="C124" s="11">
        <v>398.8032</v>
      </c>
      <c r="D124" s="11"/>
      <c r="E124" s="10">
        <f t="shared" si="1"/>
        <v>0</v>
      </c>
      <c r="G124" s="29">
        <v>44313</v>
      </c>
      <c r="H124">
        <v>417.52</v>
      </c>
      <c r="I124">
        <v>397.74779999999998</v>
      </c>
      <c r="K124" s="10">
        <v>0</v>
      </c>
    </row>
    <row r="125" spans="1:11" x14ac:dyDescent="0.4">
      <c r="A125" s="25">
        <v>44316</v>
      </c>
      <c r="B125" s="11">
        <v>417.3</v>
      </c>
      <c r="C125" s="11">
        <v>399.33479999999997</v>
      </c>
      <c r="D125" s="11"/>
      <c r="E125" s="10">
        <f t="shared" si="1"/>
        <v>0</v>
      </c>
      <c r="G125" s="29">
        <v>44314</v>
      </c>
      <c r="H125">
        <v>417.4</v>
      </c>
      <c r="I125">
        <v>398.24979999999999</v>
      </c>
      <c r="K125" s="10">
        <v>0</v>
      </c>
    </row>
    <row r="126" spans="1:11" x14ac:dyDescent="0.4">
      <c r="A126" s="25">
        <v>44319</v>
      </c>
      <c r="B126" s="11">
        <v>418.2</v>
      </c>
      <c r="C126" s="11">
        <v>399.89819999999997</v>
      </c>
      <c r="D126" s="11"/>
      <c r="E126" s="10">
        <f t="shared" si="1"/>
        <v>0</v>
      </c>
      <c r="G126" s="29">
        <v>44315</v>
      </c>
      <c r="H126">
        <v>420.06</v>
      </c>
      <c r="I126">
        <v>398.8032</v>
      </c>
      <c r="K126" s="10">
        <v>0</v>
      </c>
    </row>
    <row r="127" spans="1:11" x14ac:dyDescent="0.4">
      <c r="A127" s="25">
        <v>44320</v>
      </c>
      <c r="B127" s="11">
        <v>415.62</v>
      </c>
      <c r="C127" s="11">
        <v>400.47</v>
      </c>
      <c r="D127" s="11"/>
      <c r="E127" s="10">
        <f t="shared" si="1"/>
        <v>0</v>
      </c>
      <c r="G127" s="29">
        <v>44316</v>
      </c>
      <c r="H127">
        <v>417.3</v>
      </c>
      <c r="I127">
        <v>399.33479999999997</v>
      </c>
      <c r="K127" s="10">
        <v>0</v>
      </c>
    </row>
    <row r="128" spans="1:11" x14ac:dyDescent="0.4">
      <c r="A128" s="25">
        <v>44321</v>
      </c>
      <c r="B128" s="11">
        <v>415.75</v>
      </c>
      <c r="C128" s="11">
        <v>401.03500000000003</v>
      </c>
      <c r="D128" s="11"/>
      <c r="E128" s="10">
        <f t="shared" si="1"/>
        <v>0</v>
      </c>
      <c r="G128" s="29">
        <v>44319</v>
      </c>
      <c r="H128">
        <v>418.2</v>
      </c>
      <c r="I128">
        <v>399.89819999999997</v>
      </c>
      <c r="K128" s="10">
        <v>0</v>
      </c>
    </row>
    <row r="129" spans="1:11" x14ac:dyDescent="0.4">
      <c r="A129" s="25">
        <v>44322</v>
      </c>
      <c r="B129" s="11">
        <v>419.07</v>
      </c>
      <c r="C129" s="11">
        <v>401.58100000000002</v>
      </c>
      <c r="D129" s="11"/>
      <c r="E129" s="10">
        <f t="shared" si="1"/>
        <v>0</v>
      </c>
      <c r="G129" s="29">
        <v>44320</v>
      </c>
      <c r="H129">
        <v>415.62</v>
      </c>
      <c r="I129">
        <v>400.47</v>
      </c>
      <c r="K129" s="10">
        <v>0</v>
      </c>
    </row>
    <row r="130" spans="1:11" x14ac:dyDescent="0.4">
      <c r="A130" s="25">
        <v>44323</v>
      </c>
      <c r="B130" s="11">
        <v>422.12</v>
      </c>
      <c r="C130" s="11">
        <v>402.3768</v>
      </c>
      <c r="D130" s="11"/>
      <c r="E130" s="10">
        <f t="shared" si="1"/>
        <v>0</v>
      </c>
      <c r="G130" s="29">
        <v>44321</v>
      </c>
      <c r="H130">
        <v>415.75</v>
      </c>
      <c r="I130">
        <v>401.03500000000003</v>
      </c>
      <c r="K130" s="10">
        <v>0</v>
      </c>
    </row>
    <row r="131" spans="1:11" x14ac:dyDescent="0.4">
      <c r="A131" s="25">
        <v>44326</v>
      </c>
      <c r="B131" s="11">
        <v>417.94</v>
      </c>
      <c r="C131" s="11">
        <v>403.1284</v>
      </c>
      <c r="D131" s="11"/>
      <c r="E131" s="10">
        <f t="shared" ref="E131:E194" si="2">IF(AND(C131&gt;D131, C130&lt;D130), 1, 0)</f>
        <v>0</v>
      </c>
      <c r="G131" s="29">
        <v>44322</v>
      </c>
      <c r="H131">
        <v>419.07</v>
      </c>
      <c r="I131">
        <v>401.58100000000002</v>
      </c>
      <c r="K131" s="10">
        <v>0</v>
      </c>
    </row>
    <row r="132" spans="1:11" x14ac:dyDescent="0.4">
      <c r="A132" s="25">
        <v>44327</v>
      </c>
      <c r="B132" s="11">
        <v>414.21</v>
      </c>
      <c r="C132" s="11">
        <v>403.62099999999998</v>
      </c>
      <c r="D132" s="11"/>
      <c r="E132" s="10">
        <f t="shared" si="2"/>
        <v>0</v>
      </c>
      <c r="G132" s="29">
        <v>44323</v>
      </c>
      <c r="H132">
        <v>422.12</v>
      </c>
      <c r="I132">
        <v>402.3768</v>
      </c>
      <c r="K132" s="10">
        <v>0</v>
      </c>
    </row>
    <row r="133" spans="1:11" x14ac:dyDescent="0.4">
      <c r="A133" s="25">
        <v>44328</v>
      </c>
      <c r="B133" s="11">
        <v>405.41</v>
      </c>
      <c r="C133" s="11">
        <v>403.9984</v>
      </c>
      <c r="D133" s="11"/>
      <c r="E133" s="10">
        <f t="shared" si="2"/>
        <v>0</v>
      </c>
      <c r="G133" s="29">
        <v>44326</v>
      </c>
      <c r="H133">
        <v>417.94</v>
      </c>
      <c r="I133">
        <v>403.1284</v>
      </c>
      <c r="K133" s="10">
        <v>0</v>
      </c>
    </row>
    <row r="134" spans="1:11" x14ac:dyDescent="0.4">
      <c r="A134" s="25">
        <v>44329</v>
      </c>
      <c r="B134" s="11">
        <v>410.28</v>
      </c>
      <c r="C134" s="11">
        <v>404.57560000000001</v>
      </c>
      <c r="D134" s="11"/>
      <c r="E134" s="10">
        <f t="shared" si="2"/>
        <v>0</v>
      </c>
      <c r="G134" s="29">
        <v>44327</v>
      </c>
      <c r="H134">
        <v>414.21</v>
      </c>
      <c r="I134">
        <v>403.62099999999998</v>
      </c>
      <c r="K134" s="10">
        <v>0</v>
      </c>
    </row>
    <row r="135" spans="1:11" x14ac:dyDescent="0.4">
      <c r="A135" s="25">
        <v>44330</v>
      </c>
      <c r="B135" s="11">
        <v>416.58</v>
      </c>
      <c r="C135" s="11">
        <v>405.3732</v>
      </c>
      <c r="D135" s="11"/>
      <c r="E135" s="10">
        <f t="shared" si="2"/>
        <v>0</v>
      </c>
      <c r="G135" s="29">
        <v>44328</v>
      </c>
      <c r="H135">
        <v>405.41</v>
      </c>
      <c r="I135">
        <v>403.9984</v>
      </c>
      <c r="K135" s="10">
        <v>0</v>
      </c>
    </row>
    <row r="136" spans="1:11" x14ac:dyDescent="0.4">
      <c r="A136" s="25">
        <v>44333</v>
      </c>
      <c r="B136" s="11">
        <v>415.52</v>
      </c>
      <c r="C136" s="11">
        <v>406.01100000000002</v>
      </c>
      <c r="D136" s="11"/>
      <c r="E136" s="10">
        <f t="shared" si="2"/>
        <v>0</v>
      </c>
      <c r="G136" s="29">
        <v>44329</v>
      </c>
      <c r="H136">
        <v>410.28</v>
      </c>
      <c r="I136">
        <v>404.57560000000001</v>
      </c>
      <c r="K136" s="10">
        <v>0</v>
      </c>
    </row>
    <row r="137" spans="1:11" x14ac:dyDescent="0.4">
      <c r="A137" s="25">
        <v>44334</v>
      </c>
      <c r="B137" s="11">
        <v>411.94</v>
      </c>
      <c r="C137" s="11">
        <v>406.61540000000002</v>
      </c>
      <c r="D137" s="11"/>
      <c r="E137" s="10">
        <f t="shared" si="2"/>
        <v>0</v>
      </c>
      <c r="G137" s="29">
        <v>44330</v>
      </c>
      <c r="H137">
        <v>416.58</v>
      </c>
      <c r="I137">
        <v>405.3732</v>
      </c>
      <c r="K137" s="10">
        <v>0</v>
      </c>
    </row>
    <row r="138" spans="1:11" x14ac:dyDescent="0.4">
      <c r="A138" s="25">
        <v>44335</v>
      </c>
      <c r="B138" s="11">
        <v>410.86</v>
      </c>
      <c r="C138" s="11">
        <v>407.08920000000001</v>
      </c>
      <c r="D138" s="11"/>
      <c r="E138" s="10">
        <f t="shared" si="2"/>
        <v>0</v>
      </c>
      <c r="G138" s="29">
        <v>44333</v>
      </c>
      <c r="H138">
        <v>415.52</v>
      </c>
      <c r="I138">
        <v>406.01100000000002</v>
      </c>
      <c r="K138" s="10">
        <v>0</v>
      </c>
    </row>
    <row r="139" spans="1:11" x14ac:dyDescent="0.4">
      <c r="A139" s="25">
        <v>44336</v>
      </c>
      <c r="B139" s="11">
        <v>415.28</v>
      </c>
      <c r="C139" s="11">
        <v>407.60320000000002</v>
      </c>
      <c r="D139" s="11"/>
      <c r="E139" s="10">
        <f t="shared" si="2"/>
        <v>0</v>
      </c>
      <c r="G139" s="29">
        <v>44334</v>
      </c>
      <c r="H139">
        <v>411.94</v>
      </c>
      <c r="I139">
        <v>406.61540000000002</v>
      </c>
      <c r="K139" s="10">
        <v>0</v>
      </c>
    </row>
    <row r="140" spans="1:11" x14ac:dyDescent="0.4">
      <c r="A140" s="25">
        <v>44337</v>
      </c>
      <c r="B140" s="11">
        <v>414.94</v>
      </c>
      <c r="C140" s="11">
        <v>408.03140000000002</v>
      </c>
      <c r="D140" s="11"/>
      <c r="E140" s="10">
        <f t="shared" si="2"/>
        <v>0</v>
      </c>
      <c r="G140" s="29">
        <v>44335</v>
      </c>
      <c r="H140">
        <v>410.86</v>
      </c>
      <c r="I140">
        <v>407.08920000000001</v>
      </c>
      <c r="K140" s="10">
        <v>0</v>
      </c>
    </row>
    <row r="141" spans="1:11" x14ac:dyDescent="0.4">
      <c r="A141" s="25">
        <v>44340</v>
      </c>
      <c r="B141" s="11">
        <v>419.17</v>
      </c>
      <c r="C141" s="11">
        <v>408.53359999999998</v>
      </c>
      <c r="D141" s="11"/>
      <c r="E141" s="10">
        <f t="shared" si="2"/>
        <v>0</v>
      </c>
      <c r="G141" s="29">
        <v>44336</v>
      </c>
      <c r="H141">
        <v>415.28</v>
      </c>
      <c r="I141">
        <v>407.60320000000002</v>
      </c>
      <c r="K141" s="10">
        <v>0</v>
      </c>
    </row>
    <row r="142" spans="1:11" x14ac:dyDescent="0.4">
      <c r="A142" s="25">
        <v>44341</v>
      </c>
      <c r="B142" s="11">
        <v>418.24</v>
      </c>
      <c r="C142" s="11">
        <v>408.97019999999998</v>
      </c>
      <c r="D142" s="11"/>
      <c r="E142" s="10">
        <f t="shared" si="2"/>
        <v>0</v>
      </c>
      <c r="G142" s="29">
        <v>44337</v>
      </c>
      <c r="H142">
        <v>414.94</v>
      </c>
      <c r="I142">
        <v>408.03140000000002</v>
      </c>
      <c r="K142" s="10">
        <v>0</v>
      </c>
    </row>
    <row r="143" spans="1:11" x14ac:dyDescent="0.4">
      <c r="A143" s="25">
        <v>44342</v>
      </c>
      <c r="B143" s="11">
        <v>419.07</v>
      </c>
      <c r="C143" s="11">
        <v>409.43340000000001</v>
      </c>
      <c r="D143" s="11"/>
      <c r="E143" s="10">
        <f t="shared" si="2"/>
        <v>0</v>
      </c>
      <c r="G143" s="29">
        <v>44340</v>
      </c>
      <c r="H143">
        <v>419.17</v>
      </c>
      <c r="I143">
        <v>408.53359999999998</v>
      </c>
      <c r="K143" s="10">
        <v>0</v>
      </c>
    </row>
    <row r="144" spans="1:11" x14ac:dyDescent="0.4">
      <c r="A144" s="25">
        <v>44343</v>
      </c>
      <c r="B144" s="11">
        <v>419.29</v>
      </c>
      <c r="C144" s="11">
        <v>409.87400000000002</v>
      </c>
      <c r="D144" s="11"/>
      <c r="E144" s="10">
        <f t="shared" si="2"/>
        <v>0</v>
      </c>
      <c r="G144" s="29">
        <v>44341</v>
      </c>
      <c r="H144">
        <v>418.24</v>
      </c>
      <c r="I144">
        <v>408.97019999999998</v>
      </c>
      <c r="K144" s="10">
        <v>0</v>
      </c>
    </row>
    <row r="145" spans="1:11" x14ac:dyDescent="0.4">
      <c r="A145" s="25">
        <v>44344</v>
      </c>
      <c r="B145" s="11">
        <v>420.04</v>
      </c>
      <c r="C145" s="11">
        <v>410.4452</v>
      </c>
      <c r="D145" s="11"/>
      <c r="E145" s="10">
        <f t="shared" si="2"/>
        <v>0</v>
      </c>
      <c r="G145" s="29">
        <v>44342</v>
      </c>
      <c r="H145">
        <v>419.07</v>
      </c>
      <c r="I145">
        <v>409.43340000000001</v>
      </c>
      <c r="K145" s="10">
        <v>0</v>
      </c>
    </row>
    <row r="146" spans="1:11" x14ac:dyDescent="0.4">
      <c r="A146" s="25">
        <v>44348</v>
      </c>
      <c r="B146" s="11">
        <v>419.67</v>
      </c>
      <c r="C146" s="11">
        <v>411.04899999999998</v>
      </c>
      <c r="D146" s="11"/>
      <c r="E146" s="10">
        <f t="shared" si="2"/>
        <v>0</v>
      </c>
      <c r="G146" s="29">
        <v>44343</v>
      </c>
      <c r="H146">
        <v>419.29</v>
      </c>
      <c r="I146">
        <v>409.87400000000002</v>
      </c>
      <c r="K146" s="10">
        <v>0</v>
      </c>
    </row>
    <row r="147" spans="1:11" x14ac:dyDescent="0.4">
      <c r="A147" s="25">
        <v>44349</v>
      </c>
      <c r="B147" s="11">
        <v>420.33</v>
      </c>
      <c r="C147" s="11">
        <v>411.60379999999998</v>
      </c>
      <c r="D147" s="11"/>
      <c r="E147" s="10">
        <f t="shared" si="2"/>
        <v>0</v>
      </c>
      <c r="G147" s="29">
        <v>44344</v>
      </c>
      <c r="H147">
        <v>420.04</v>
      </c>
      <c r="I147">
        <v>410.4452</v>
      </c>
      <c r="K147" s="10">
        <v>0</v>
      </c>
    </row>
    <row r="148" spans="1:11" x14ac:dyDescent="0.4">
      <c r="A148" s="25">
        <v>44350</v>
      </c>
      <c r="B148" s="11">
        <v>418.77</v>
      </c>
      <c r="C148" s="11">
        <v>412.18920000000003</v>
      </c>
      <c r="D148" s="11"/>
      <c r="E148" s="10">
        <f t="shared" si="2"/>
        <v>0</v>
      </c>
      <c r="G148" s="29">
        <v>44348</v>
      </c>
      <c r="H148">
        <v>419.67</v>
      </c>
      <c r="I148">
        <v>411.04899999999998</v>
      </c>
      <c r="K148" s="10">
        <v>0</v>
      </c>
    </row>
    <row r="149" spans="1:11" x14ac:dyDescent="0.4">
      <c r="A149" s="25">
        <v>44351</v>
      </c>
      <c r="B149" s="11">
        <v>422.6</v>
      </c>
      <c r="C149" s="11">
        <v>412.89080000000001</v>
      </c>
      <c r="D149" s="11"/>
      <c r="E149" s="10">
        <f t="shared" si="2"/>
        <v>0</v>
      </c>
      <c r="G149" s="29">
        <v>44349</v>
      </c>
      <c r="H149">
        <v>420.33</v>
      </c>
      <c r="I149">
        <v>411.60379999999998</v>
      </c>
      <c r="K149" s="10">
        <v>0</v>
      </c>
    </row>
    <row r="150" spans="1:11" x14ac:dyDescent="0.4">
      <c r="A150" s="25">
        <v>44354</v>
      </c>
      <c r="B150" s="11">
        <v>422.19</v>
      </c>
      <c r="C150" s="11">
        <v>413.54059999999998</v>
      </c>
      <c r="D150" s="11"/>
      <c r="E150" s="10">
        <f t="shared" si="2"/>
        <v>0</v>
      </c>
      <c r="G150" s="29">
        <v>44350</v>
      </c>
      <c r="H150">
        <v>418.77</v>
      </c>
      <c r="I150">
        <v>412.18920000000003</v>
      </c>
      <c r="K150" s="10">
        <v>0</v>
      </c>
    </row>
    <row r="151" spans="1:11" x14ac:dyDescent="0.4">
      <c r="A151" s="25">
        <v>44355</v>
      </c>
      <c r="B151" s="11">
        <v>422.28</v>
      </c>
      <c r="C151" s="11">
        <v>414.06659999999999</v>
      </c>
      <c r="D151" s="11"/>
      <c r="E151" s="10">
        <f t="shared" si="2"/>
        <v>0</v>
      </c>
      <c r="G151" s="29">
        <v>44351</v>
      </c>
      <c r="H151">
        <v>422.6</v>
      </c>
      <c r="I151">
        <v>412.89080000000001</v>
      </c>
      <c r="K151" s="10">
        <v>0</v>
      </c>
    </row>
    <row r="152" spans="1:11" x14ac:dyDescent="0.4">
      <c r="A152" s="25">
        <v>44356</v>
      </c>
      <c r="B152" s="11">
        <v>421.65</v>
      </c>
      <c r="C152" s="11">
        <v>414.584</v>
      </c>
      <c r="D152" s="11"/>
      <c r="E152" s="10">
        <f t="shared" si="2"/>
        <v>0</v>
      </c>
      <c r="G152" s="29">
        <v>44354</v>
      </c>
      <c r="H152">
        <v>422.19</v>
      </c>
      <c r="I152">
        <v>413.54059999999998</v>
      </c>
      <c r="K152" s="10">
        <v>0</v>
      </c>
    </row>
    <row r="153" spans="1:11" x14ac:dyDescent="0.4">
      <c r="A153" s="25">
        <v>44357</v>
      </c>
      <c r="B153" s="11">
        <v>423.61</v>
      </c>
      <c r="C153" s="11">
        <v>415.16160000000002</v>
      </c>
      <c r="D153" s="11"/>
      <c r="E153" s="10">
        <f t="shared" si="2"/>
        <v>0</v>
      </c>
      <c r="G153" s="29">
        <v>44355</v>
      </c>
      <c r="H153">
        <v>422.28</v>
      </c>
      <c r="I153">
        <v>414.06659999999999</v>
      </c>
      <c r="K153" s="10">
        <v>0</v>
      </c>
    </row>
    <row r="154" spans="1:11" x14ac:dyDescent="0.4">
      <c r="A154" s="25">
        <v>44358</v>
      </c>
      <c r="B154" s="11">
        <v>424.31</v>
      </c>
      <c r="C154" s="11">
        <v>415.72120000000001</v>
      </c>
      <c r="D154" s="11"/>
      <c r="E154" s="10">
        <f t="shared" si="2"/>
        <v>0</v>
      </c>
      <c r="G154" s="29">
        <v>44356</v>
      </c>
      <c r="H154">
        <v>421.65</v>
      </c>
      <c r="I154">
        <v>414.584</v>
      </c>
      <c r="K154" s="10">
        <v>0</v>
      </c>
    </row>
    <row r="155" spans="1:11" x14ac:dyDescent="0.4">
      <c r="A155" s="25">
        <v>44361</v>
      </c>
      <c r="B155" s="11">
        <v>425.26</v>
      </c>
      <c r="C155" s="11">
        <v>416.21420000000001</v>
      </c>
      <c r="D155" s="11"/>
      <c r="E155" s="10">
        <f t="shared" si="2"/>
        <v>0</v>
      </c>
      <c r="G155" s="29">
        <v>44357</v>
      </c>
      <c r="H155">
        <v>423.61</v>
      </c>
      <c r="I155">
        <v>415.16160000000002</v>
      </c>
      <c r="K155" s="10">
        <v>0</v>
      </c>
    </row>
    <row r="156" spans="1:11" x14ac:dyDescent="0.4">
      <c r="A156" s="25">
        <v>44362</v>
      </c>
      <c r="B156" s="11">
        <v>424.48</v>
      </c>
      <c r="C156" s="11">
        <v>416.57659999999998</v>
      </c>
      <c r="D156" s="11"/>
      <c r="E156" s="10">
        <f t="shared" si="2"/>
        <v>0</v>
      </c>
      <c r="G156" s="29">
        <v>44358</v>
      </c>
      <c r="H156">
        <v>424.31</v>
      </c>
      <c r="I156">
        <v>415.72120000000001</v>
      </c>
      <c r="K156" s="10">
        <v>0</v>
      </c>
    </row>
    <row r="157" spans="1:11" x14ac:dyDescent="0.4">
      <c r="A157" s="25">
        <v>44363</v>
      </c>
      <c r="B157" s="11">
        <v>422.11</v>
      </c>
      <c r="C157" s="11">
        <v>416.89640000000003</v>
      </c>
      <c r="D157" s="11"/>
      <c r="E157" s="10">
        <f t="shared" si="2"/>
        <v>0</v>
      </c>
      <c r="G157" s="29">
        <v>44361</v>
      </c>
      <c r="H157">
        <v>425.26</v>
      </c>
      <c r="I157">
        <v>416.21420000000001</v>
      </c>
      <c r="K157" s="10">
        <v>0</v>
      </c>
    </row>
    <row r="158" spans="1:11" x14ac:dyDescent="0.4">
      <c r="A158" s="25">
        <v>44364</v>
      </c>
      <c r="B158" s="11">
        <v>421.97</v>
      </c>
      <c r="C158" s="11">
        <v>417.20400000000001</v>
      </c>
      <c r="D158" s="11"/>
      <c r="E158" s="10">
        <f t="shared" si="2"/>
        <v>0</v>
      </c>
      <c r="G158" s="29">
        <v>44362</v>
      </c>
      <c r="H158">
        <v>424.48</v>
      </c>
      <c r="I158">
        <v>416.57659999999998</v>
      </c>
      <c r="K158" s="10">
        <v>0</v>
      </c>
    </row>
    <row r="159" spans="1:11" x14ac:dyDescent="0.4">
      <c r="A159" s="25">
        <v>44365</v>
      </c>
      <c r="B159" s="11">
        <v>414.92</v>
      </c>
      <c r="C159" s="11">
        <v>417.33199999999999</v>
      </c>
      <c r="D159" s="11"/>
      <c r="E159" s="10">
        <f t="shared" si="2"/>
        <v>0</v>
      </c>
      <c r="G159" s="29">
        <v>44363</v>
      </c>
      <c r="H159">
        <v>422.11</v>
      </c>
      <c r="I159">
        <v>416.89640000000003</v>
      </c>
      <c r="K159" s="10">
        <v>0</v>
      </c>
    </row>
    <row r="160" spans="1:11" x14ac:dyDescent="0.4">
      <c r="A160" s="25">
        <v>44368</v>
      </c>
      <c r="B160" s="11">
        <v>420.86</v>
      </c>
      <c r="C160" s="11">
        <v>417.51940000000002</v>
      </c>
      <c r="D160" s="11"/>
      <c r="E160" s="10">
        <f t="shared" si="2"/>
        <v>0</v>
      </c>
      <c r="G160" s="29">
        <v>44364</v>
      </c>
      <c r="H160">
        <v>421.97</v>
      </c>
      <c r="I160">
        <v>417.20400000000001</v>
      </c>
      <c r="K160" s="10">
        <v>0</v>
      </c>
    </row>
    <row r="161" spans="1:11" x14ac:dyDescent="0.4">
      <c r="A161" s="25">
        <v>44369</v>
      </c>
      <c r="B161" s="11">
        <v>423.11</v>
      </c>
      <c r="C161" s="11">
        <v>417.74880000000002</v>
      </c>
      <c r="D161" s="11"/>
      <c r="E161" s="10">
        <f t="shared" si="2"/>
        <v>0</v>
      </c>
      <c r="G161" s="29">
        <v>44365</v>
      </c>
      <c r="H161">
        <v>414.92</v>
      </c>
      <c r="I161">
        <v>417.33199999999999</v>
      </c>
      <c r="K161" s="10">
        <v>0</v>
      </c>
    </row>
    <row r="162" spans="1:11" x14ac:dyDescent="0.4">
      <c r="A162" s="25">
        <v>44370</v>
      </c>
      <c r="B162" s="11">
        <v>422.6</v>
      </c>
      <c r="C162" s="11">
        <v>417.9436</v>
      </c>
      <c r="D162" s="11"/>
      <c r="E162" s="10">
        <f t="shared" si="2"/>
        <v>0</v>
      </c>
      <c r="G162" s="29">
        <v>44368</v>
      </c>
      <c r="H162">
        <v>420.86</v>
      </c>
      <c r="I162">
        <v>417.51940000000002</v>
      </c>
      <c r="K162" s="10">
        <v>0</v>
      </c>
    </row>
    <row r="163" spans="1:11" x14ac:dyDescent="0.4">
      <c r="A163" s="25">
        <v>44371</v>
      </c>
      <c r="B163" s="11">
        <v>425.1</v>
      </c>
      <c r="C163" s="11">
        <v>418.21660000000003</v>
      </c>
      <c r="D163" s="11"/>
      <c r="E163" s="10">
        <f t="shared" si="2"/>
        <v>0</v>
      </c>
      <c r="G163" s="29">
        <v>44369</v>
      </c>
      <c r="H163">
        <v>423.11</v>
      </c>
      <c r="I163">
        <v>417.74880000000002</v>
      </c>
      <c r="K163" s="10">
        <v>0</v>
      </c>
    </row>
    <row r="164" spans="1:11" x14ac:dyDescent="0.4">
      <c r="A164" s="25">
        <v>44372</v>
      </c>
      <c r="B164" s="11">
        <v>426.61</v>
      </c>
      <c r="C164" s="11">
        <v>418.4314</v>
      </c>
      <c r="D164" s="11"/>
      <c r="E164" s="10">
        <f t="shared" si="2"/>
        <v>0</v>
      </c>
      <c r="G164" s="29">
        <v>44370</v>
      </c>
      <c r="H164">
        <v>422.6</v>
      </c>
      <c r="I164">
        <v>417.9436</v>
      </c>
      <c r="K164" s="10">
        <v>0</v>
      </c>
    </row>
    <row r="165" spans="1:11" x14ac:dyDescent="0.4">
      <c r="A165" s="25">
        <v>44375</v>
      </c>
      <c r="B165" s="11">
        <v>427.47</v>
      </c>
      <c r="C165" s="11">
        <v>418.63560000000001</v>
      </c>
      <c r="D165" s="11"/>
      <c r="E165" s="10">
        <f t="shared" si="2"/>
        <v>0</v>
      </c>
      <c r="G165" s="29">
        <v>44371</v>
      </c>
      <c r="H165">
        <v>425.1</v>
      </c>
      <c r="I165">
        <v>418.21660000000003</v>
      </c>
      <c r="K165" s="10">
        <v>0</v>
      </c>
    </row>
    <row r="166" spans="1:11" x14ac:dyDescent="0.4">
      <c r="A166" s="25">
        <v>44376</v>
      </c>
      <c r="B166" s="11">
        <v>427.7</v>
      </c>
      <c r="C166" s="11">
        <v>418.8854</v>
      </c>
      <c r="D166" s="11"/>
      <c r="E166" s="10">
        <f t="shared" si="2"/>
        <v>0</v>
      </c>
      <c r="G166" s="29">
        <v>44372</v>
      </c>
      <c r="H166">
        <v>426.61</v>
      </c>
      <c r="I166">
        <v>418.4314</v>
      </c>
      <c r="K166" s="10">
        <v>0</v>
      </c>
    </row>
    <row r="167" spans="1:11" x14ac:dyDescent="0.4">
      <c r="A167" s="25">
        <v>44377</v>
      </c>
      <c r="B167" s="11">
        <v>428.06</v>
      </c>
      <c r="C167" s="11">
        <v>419.20319999999998</v>
      </c>
      <c r="D167" s="11"/>
      <c r="E167" s="10">
        <f t="shared" si="2"/>
        <v>0</v>
      </c>
      <c r="G167" s="29">
        <v>44375</v>
      </c>
      <c r="H167">
        <v>427.47</v>
      </c>
      <c r="I167">
        <v>418.63560000000001</v>
      </c>
      <c r="K167" s="10">
        <v>0</v>
      </c>
    </row>
    <row r="168" spans="1:11" x14ac:dyDescent="0.4">
      <c r="A168" s="25">
        <v>44378</v>
      </c>
      <c r="B168" s="11">
        <v>430.43</v>
      </c>
      <c r="C168" s="11">
        <v>419.49040000000002</v>
      </c>
      <c r="D168" s="11"/>
      <c r="E168" s="10">
        <f t="shared" si="2"/>
        <v>0</v>
      </c>
      <c r="G168" s="29">
        <v>44376</v>
      </c>
      <c r="H168">
        <v>427.7</v>
      </c>
      <c r="I168">
        <v>418.8854</v>
      </c>
      <c r="K168" s="10">
        <v>0</v>
      </c>
    </row>
    <row r="169" spans="1:11" x14ac:dyDescent="0.4">
      <c r="A169" s="25">
        <v>44379</v>
      </c>
      <c r="B169" s="11">
        <v>433.72</v>
      </c>
      <c r="C169" s="11">
        <v>419.9194</v>
      </c>
      <c r="D169" s="11"/>
      <c r="E169" s="10">
        <f t="shared" si="2"/>
        <v>0</v>
      </c>
      <c r="G169" s="29">
        <v>44377</v>
      </c>
      <c r="H169">
        <v>428.06</v>
      </c>
      <c r="I169">
        <v>419.20319999999998</v>
      </c>
      <c r="K169" s="10">
        <v>0</v>
      </c>
    </row>
    <row r="170" spans="1:11" x14ac:dyDescent="0.4">
      <c r="A170" s="25">
        <v>44383</v>
      </c>
      <c r="B170" s="11">
        <v>432.93</v>
      </c>
      <c r="C170" s="11">
        <v>420.2432</v>
      </c>
      <c r="D170" s="11"/>
      <c r="E170" s="10">
        <f t="shared" si="2"/>
        <v>0</v>
      </c>
      <c r="G170" s="29">
        <v>44378</v>
      </c>
      <c r="H170">
        <v>430.43</v>
      </c>
      <c r="I170">
        <v>419.49040000000002</v>
      </c>
      <c r="K170" s="10">
        <v>0</v>
      </c>
    </row>
    <row r="171" spans="1:11" x14ac:dyDescent="0.4">
      <c r="A171" s="25">
        <v>44384</v>
      </c>
      <c r="B171" s="11">
        <v>434.46</v>
      </c>
      <c r="C171" s="11">
        <v>420.58019999999999</v>
      </c>
      <c r="D171" s="11"/>
      <c r="E171" s="10">
        <f t="shared" si="2"/>
        <v>0</v>
      </c>
      <c r="G171" s="29">
        <v>44379</v>
      </c>
      <c r="H171">
        <v>433.72</v>
      </c>
      <c r="I171">
        <v>419.9194</v>
      </c>
      <c r="K171" s="10">
        <v>0</v>
      </c>
    </row>
    <row r="172" spans="1:11" x14ac:dyDescent="0.4">
      <c r="A172" s="25">
        <v>44385</v>
      </c>
      <c r="B172" s="11">
        <v>430.92</v>
      </c>
      <c r="C172" s="11">
        <v>420.84820000000002</v>
      </c>
      <c r="D172" s="11"/>
      <c r="E172" s="10">
        <f t="shared" si="2"/>
        <v>0</v>
      </c>
      <c r="G172" s="29">
        <v>44383</v>
      </c>
      <c r="H172">
        <v>432.93</v>
      </c>
      <c r="I172">
        <v>420.2432</v>
      </c>
      <c r="K172" s="10">
        <v>0</v>
      </c>
    </row>
    <row r="173" spans="1:11" x14ac:dyDescent="0.4">
      <c r="A173" s="25">
        <v>44386</v>
      </c>
      <c r="B173" s="11">
        <v>435.52</v>
      </c>
      <c r="C173" s="11">
        <v>421.2106</v>
      </c>
      <c r="D173" s="11"/>
      <c r="E173" s="10">
        <f t="shared" si="2"/>
        <v>0</v>
      </c>
      <c r="G173" s="29">
        <v>44384</v>
      </c>
      <c r="H173">
        <v>434.46</v>
      </c>
      <c r="I173">
        <v>420.58019999999999</v>
      </c>
      <c r="K173" s="10">
        <v>0</v>
      </c>
    </row>
    <row r="174" spans="1:11" x14ac:dyDescent="0.4">
      <c r="A174" s="25">
        <v>44389</v>
      </c>
      <c r="B174" s="11">
        <v>437.08</v>
      </c>
      <c r="C174" s="11">
        <v>421.55099999999999</v>
      </c>
      <c r="D174" s="11"/>
      <c r="E174" s="10">
        <f t="shared" si="2"/>
        <v>0</v>
      </c>
      <c r="G174" s="29">
        <v>44385</v>
      </c>
      <c r="H174">
        <v>430.92</v>
      </c>
      <c r="I174">
        <v>420.84820000000002</v>
      </c>
      <c r="K174" s="10">
        <v>0</v>
      </c>
    </row>
    <row r="175" spans="1:11" x14ac:dyDescent="0.4">
      <c r="A175" s="25">
        <v>44390</v>
      </c>
      <c r="B175" s="11">
        <v>435.59</v>
      </c>
      <c r="C175" s="11">
        <v>421.91680000000002</v>
      </c>
      <c r="D175" s="11"/>
      <c r="E175" s="10">
        <f t="shared" si="2"/>
        <v>0</v>
      </c>
      <c r="G175" s="29">
        <v>44386</v>
      </c>
      <c r="H175">
        <v>435.52</v>
      </c>
      <c r="I175">
        <v>421.2106</v>
      </c>
      <c r="K175" s="10">
        <v>0</v>
      </c>
    </row>
    <row r="176" spans="1:11" x14ac:dyDescent="0.4">
      <c r="A176" s="25">
        <v>44391</v>
      </c>
      <c r="B176" s="11">
        <v>436.24</v>
      </c>
      <c r="C176" s="11">
        <v>422.27760000000001</v>
      </c>
      <c r="D176" s="11"/>
      <c r="E176" s="10">
        <f t="shared" si="2"/>
        <v>0</v>
      </c>
      <c r="G176" s="29">
        <v>44389</v>
      </c>
      <c r="H176">
        <v>437.08</v>
      </c>
      <c r="I176">
        <v>421.55099999999999</v>
      </c>
      <c r="K176" s="10">
        <v>0</v>
      </c>
    </row>
    <row r="177" spans="1:11" x14ac:dyDescent="0.4">
      <c r="A177" s="25">
        <v>44392</v>
      </c>
      <c r="B177" s="11">
        <v>434.75</v>
      </c>
      <c r="C177" s="11">
        <v>422.66019999999997</v>
      </c>
      <c r="D177" s="11"/>
      <c r="E177" s="10">
        <f t="shared" si="2"/>
        <v>0</v>
      </c>
      <c r="G177" s="29">
        <v>44390</v>
      </c>
      <c r="H177">
        <v>435.59</v>
      </c>
      <c r="I177">
        <v>421.91680000000002</v>
      </c>
      <c r="K177" s="10">
        <v>0</v>
      </c>
    </row>
    <row r="178" spans="1:11" x14ac:dyDescent="0.4">
      <c r="A178" s="25">
        <v>44393</v>
      </c>
      <c r="B178" s="11">
        <v>431.34</v>
      </c>
      <c r="C178" s="11">
        <v>422.97199999999998</v>
      </c>
      <c r="D178" s="11"/>
      <c r="E178" s="10">
        <f t="shared" si="2"/>
        <v>0</v>
      </c>
      <c r="G178" s="29">
        <v>44391</v>
      </c>
      <c r="H178">
        <v>436.24</v>
      </c>
      <c r="I178">
        <v>422.27760000000001</v>
      </c>
      <c r="K178" s="10">
        <v>0</v>
      </c>
    </row>
    <row r="179" spans="1:11" x14ac:dyDescent="0.4">
      <c r="A179" s="25">
        <v>44396</v>
      </c>
      <c r="B179" s="11">
        <v>424.97</v>
      </c>
      <c r="C179" s="11">
        <v>423.09</v>
      </c>
      <c r="D179" s="11"/>
      <c r="E179" s="10">
        <f t="shared" si="2"/>
        <v>0</v>
      </c>
      <c r="G179" s="29">
        <v>44392</v>
      </c>
      <c r="H179">
        <v>434.75</v>
      </c>
      <c r="I179">
        <v>422.66019999999997</v>
      </c>
      <c r="K179" s="10">
        <v>0</v>
      </c>
    </row>
    <row r="180" spans="1:11" x14ac:dyDescent="0.4">
      <c r="A180" s="25">
        <v>44397</v>
      </c>
      <c r="B180" s="11">
        <v>431.06</v>
      </c>
      <c r="C180" s="11">
        <v>423.2688</v>
      </c>
      <c r="D180" s="11"/>
      <c r="E180" s="10">
        <f t="shared" si="2"/>
        <v>0</v>
      </c>
      <c r="G180" s="29">
        <v>44393</v>
      </c>
      <c r="H180">
        <v>431.34</v>
      </c>
      <c r="I180">
        <v>422.97199999999998</v>
      </c>
      <c r="K180" s="10">
        <v>0</v>
      </c>
    </row>
    <row r="181" spans="1:11" x14ac:dyDescent="0.4">
      <c r="A181" s="25">
        <v>44398</v>
      </c>
      <c r="B181" s="11">
        <v>434.55</v>
      </c>
      <c r="C181" s="11">
        <v>423.601</v>
      </c>
      <c r="D181" s="11"/>
      <c r="E181" s="10">
        <f t="shared" si="2"/>
        <v>0</v>
      </c>
      <c r="G181" s="29">
        <v>44396</v>
      </c>
      <c r="H181">
        <v>424.97</v>
      </c>
      <c r="I181">
        <v>423.09</v>
      </c>
      <c r="K181" s="10">
        <v>0</v>
      </c>
    </row>
    <row r="182" spans="1:11" x14ac:dyDescent="0.4">
      <c r="A182" s="25">
        <v>44399</v>
      </c>
      <c r="B182" s="11">
        <v>435.46</v>
      </c>
      <c r="C182" s="11">
        <v>424.02600000000001</v>
      </c>
      <c r="D182" s="11"/>
      <c r="E182" s="10">
        <f t="shared" si="2"/>
        <v>0</v>
      </c>
      <c r="G182" s="29">
        <v>44397</v>
      </c>
      <c r="H182">
        <v>431.06</v>
      </c>
      <c r="I182">
        <v>423.2688</v>
      </c>
      <c r="K182" s="10">
        <v>0</v>
      </c>
    </row>
    <row r="183" spans="1:11" x14ac:dyDescent="0.4">
      <c r="A183" s="25">
        <v>44400</v>
      </c>
      <c r="B183" s="11">
        <v>439.94</v>
      </c>
      <c r="C183" s="11">
        <v>424.71660000000003</v>
      </c>
      <c r="D183" s="11"/>
      <c r="E183" s="10">
        <f t="shared" si="2"/>
        <v>0</v>
      </c>
      <c r="G183" s="29">
        <v>44398</v>
      </c>
      <c r="H183">
        <v>434.55</v>
      </c>
      <c r="I183">
        <v>423.601</v>
      </c>
      <c r="K183" s="10">
        <v>0</v>
      </c>
    </row>
    <row r="184" spans="1:11" x14ac:dyDescent="0.4">
      <c r="A184" s="25">
        <v>44403</v>
      </c>
      <c r="B184" s="11">
        <v>441.02</v>
      </c>
      <c r="C184" s="11">
        <v>425.33139999999997</v>
      </c>
      <c r="D184" s="11"/>
      <c r="E184" s="10">
        <f t="shared" si="2"/>
        <v>0</v>
      </c>
      <c r="G184" s="29">
        <v>44399</v>
      </c>
      <c r="H184">
        <v>435.46</v>
      </c>
      <c r="I184">
        <v>424.02600000000001</v>
      </c>
      <c r="K184" s="10">
        <v>0</v>
      </c>
    </row>
    <row r="185" spans="1:11" x14ac:dyDescent="0.4">
      <c r="A185" s="25">
        <v>44404</v>
      </c>
      <c r="B185" s="11">
        <v>439.01</v>
      </c>
      <c r="C185" s="11">
        <v>425.78</v>
      </c>
      <c r="D185" s="11"/>
      <c r="E185" s="10">
        <f t="shared" si="2"/>
        <v>0</v>
      </c>
      <c r="G185" s="29">
        <v>44400</v>
      </c>
      <c r="H185">
        <v>439.94</v>
      </c>
      <c r="I185">
        <v>424.71660000000003</v>
      </c>
      <c r="K185" s="10">
        <v>0</v>
      </c>
    </row>
    <row r="186" spans="1:11" x14ac:dyDescent="0.4">
      <c r="A186" s="25">
        <v>44405</v>
      </c>
      <c r="B186" s="11">
        <v>438.83</v>
      </c>
      <c r="C186" s="11">
        <v>426.24619999999999</v>
      </c>
      <c r="D186" s="11"/>
      <c r="E186" s="10">
        <f t="shared" si="2"/>
        <v>0</v>
      </c>
      <c r="G186" s="29">
        <v>44403</v>
      </c>
      <c r="H186">
        <v>441.02</v>
      </c>
      <c r="I186">
        <v>425.33139999999997</v>
      </c>
      <c r="K186" s="10">
        <v>0</v>
      </c>
    </row>
    <row r="187" spans="1:11" x14ac:dyDescent="0.4">
      <c r="A187" s="25">
        <v>44406</v>
      </c>
      <c r="B187" s="11">
        <v>440.65</v>
      </c>
      <c r="C187" s="11">
        <v>426.82040000000001</v>
      </c>
      <c r="D187" s="11"/>
      <c r="E187" s="10">
        <f t="shared" si="2"/>
        <v>0</v>
      </c>
      <c r="G187" s="29">
        <v>44404</v>
      </c>
      <c r="H187">
        <v>439.01</v>
      </c>
      <c r="I187">
        <v>425.78</v>
      </c>
      <c r="K187" s="10">
        <v>0</v>
      </c>
    </row>
    <row r="188" spans="1:11" x14ac:dyDescent="0.4">
      <c r="A188" s="25">
        <v>44407</v>
      </c>
      <c r="B188" s="11">
        <v>438.51</v>
      </c>
      <c r="C188" s="11">
        <v>427.3734</v>
      </c>
      <c r="D188" s="11"/>
      <c r="E188" s="10">
        <f t="shared" si="2"/>
        <v>0</v>
      </c>
      <c r="G188" s="29">
        <v>44405</v>
      </c>
      <c r="H188">
        <v>438.83</v>
      </c>
      <c r="I188">
        <v>426.24619999999999</v>
      </c>
      <c r="K188" s="10">
        <v>0</v>
      </c>
    </row>
    <row r="189" spans="1:11" x14ac:dyDescent="0.4">
      <c r="A189" s="25">
        <v>44410</v>
      </c>
      <c r="B189" s="11">
        <v>437.59</v>
      </c>
      <c r="C189" s="11">
        <v>427.81959999999998</v>
      </c>
      <c r="D189" s="11"/>
      <c r="E189" s="10">
        <f t="shared" si="2"/>
        <v>0</v>
      </c>
      <c r="G189" s="29">
        <v>44406</v>
      </c>
      <c r="H189">
        <v>440.65</v>
      </c>
      <c r="I189">
        <v>426.82040000000001</v>
      </c>
      <c r="K189" s="10">
        <v>0</v>
      </c>
    </row>
    <row r="190" spans="1:11" x14ac:dyDescent="0.4">
      <c r="A190" s="25">
        <v>44411</v>
      </c>
      <c r="B190" s="11">
        <v>441.15</v>
      </c>
      <c r="C190" s="11">
        <v>428.34379999999999</v>
      </c>
      <c r="D190" s="11"/>
      <c r="E190" s="10">
        <f t="shared" si="2"/>
        <v>0</v>
      </c>
      <c r="G190" s="29">
        <v>44407</v>
      </c>
      <c r="H190">
        <v>438.51</v>
      </c>
      <c r="I190">
        <v>427.3734</v>
      </c>
      <c r="K190" s="10">
        <v>0</v>
      </c>
    </row>
    <row r="191" spans="1:11" x14ac:dyDescent="0.4">
      <c r="A191" s="25">
        <v>44412</v>
      </c>
      <c r="B191" s="11">
        <v>438.98</v>
      </c>
      <c r="C191" s="11">
        <v>428.74</v>
      </c>
      <c r="D191" s="11"/>
      <c r="E191" s="10">
        <f t="shared" si="2"/>
        <v>0</v>
      </c>
      <c r="G191" s="29">
        <v>44410</v>
      </c>
      <c r="H191">
        <v>437.59</v>
      </c>
      <c r="I191">
        <v>427.81959999999998</v>
      </c>
      <c r="K191" s="10">
        <v>0</v>
      </c>
    </row>
    <row r="192" spans="1:11" x14ac:dyDescent="0.4">
      <c r="A192" s="25">
        <v>44413</v>
      </c>
      <c r="B192" s="11">
        <v>441.76</v>
      </c>
      <c r="C192" s="11">
        <v>429.21039999999999</v>
      </c>
      <c r="D192" s="11"/>
      <c r="E192" s="10">
        <f t="shared" si="2"/>
        <v>0</v>
      </c>
      <c r="G192" s="29">
        <v>44411</v>
      </c>
      <c r="H192">
        <v>441.15</v>
      </c>
      <c r="I192">
        <v>428.34379999999999</v>
      </c>
      <c r="K192" s="10">
        <v>0</v>
      </c>
    </row>
    <row r="193" spans="1:11" x14ac:dyDescent="0.4">
      <c r="A193" s="25">
        <v>44414</v>
      </c>
      <c r="B193" s="11">
        <v>442.49</v>
      </c>
      <c r="C193" s="11">
        <v>429.67880000000002</v>
      </c>
      <c r="D193" s="11"/>
      <c r="E193" s="10">
        <f t="shared" si="2"/>
        <v>0</v>
      </c>
      <c r="G193" s="29">
        <v>44412</v>
      </c>
      <c r="H193">
        <v>438.98</v>
      </c>
      <c r="I193">
        <v>428.74</v>
      </c>
      <c r="K193" s="10">
        <v>0</v>
      </c>
    </row>
    <row r="194" spans="1:11" x14ac:dyDescent="0.4">
      <c r="A194" s="25">
        <v>44417</v>
      </c>
      <c r="B194" s="11">
        <v>442.13</v>
      </c>
      <c r="C194" s="11">
        <v>430.13560000000001</v>
      </c>
      <c r="D194" s="11"/>
      <c r="E194" s="10">
        <f t="shared" si="2"/>
        <v>0</v>
      </c>
      <c r="G194" s="29">
        <v>44413</v>
      </c>
      <c r="H194">
        <v>441.76</v>
      </c>
      <c r="I194">
        <v>429.21039999999999</v>
      </c>
      <c r="K194" s="10">
        <v>0</v>
      </c>
    </row>
    <row r="195" spans="1:11" x14ac:dyDescent="0.4">
      <c r="A195" s="25">
        <v>44418</v>
      </c>
      <c r="B195" s="11">
        <v>442.68</v>
      </c>
      <c r="C195" s="11">
        <v>430.58839999999998</v>
      </c>
      <c r="D195" s="11"/>
      <c r="E195" s="10">
        <f t="shared" ref="E195:E258" si="3">IF(AND(C195&gt;D195, C194&lt;D194), 1, 0)</f>
        <v>0</v>
      </c>
      <c r="G195" s="29">
        <v>44414</v>
      </c>
      <c r="H195">
        <v>442.49</v>
      </c>
      <c r="I195">
        <v>429.67880000000002</v>
      </c>
      <c r="K195" s="10">
        <v>0</v>
      </c>
    </row>
    <row r="196" spans="1:11" x14ac:dyDescent="0.4">
      <c r="A196" s="25">
        <v>44419</v>
      </c>
      <c r="B196" s="11">
        <v>443.78</v>
      </c>
      <c r="C196" s="11">
        <v>431.07060000000001</v>
      </c>
      <c r="D196" s="11"/>
      <c r="E196" s="10">
        <f t="shared" si="3"/>
        <v>0</v>
      </c>
      <c r="G196" s="29">
        <v>44417</v>
      </c>
      <c r="H196">
        <v>442.13</v>
      </c>
      <c r="I196">
        <v>430.13560000000001</v>
      </c>
      <c r="K196" s="10">
        <v>0</v>
      </c>
    </row>
    <row r="197" spans="1:11" x14ac:dyDescent="0.4">
      <c r="A197" s="25">
        <v>44420</v>
      </c>
      <c r="B197" s="11">
        <v>445.11</v>
      </c>
      <c r="C197" s="11">
        <v>431.56619999999998</v>
      </c>
      <c r="D197" s="11"/>
      <c r="E197" s="10">
        <f t="shared" si="3"/>
        <v>0</v>
      </c>
      <c r="G197" s="29">
        <v>44418</v>
      </c>
      <c r="H197">
        <v>442.68</v>
      </c>
      <c r="I197">
        <v>430.58839999999998</v>
      </c>
      <c r="K197" s="10">
        <v>0</v>
      </c>
    </row>
    <row r="198" spans="1:11" x14ac:dyDescent="0.4">
      <c r="A198" s="25">
        <v>44421</v>
      </c>
      <c r="B198" s="11">
        <v>445.92</v>
      </c>
      <c r="C198" s="11">
        <v>432.10919999999999</v>
      </c>
      <c r="D198" s="11"/>
      <c r="E198" s="10">
        <f t="shared" si="3"/>
        <v>0</v>
      </c>
      <c r="G198" s="29">
        <v>44419</v>
      </c>
      <c r="H198">
        <v>443.78</v>
      </c>
      <c r="I198">
        <v>431.07060000000001</v>
      </c>
      <c r="K198" s="10">
        <v>0</v>
      </c>
    </row>
    <row r="199" spans="1:11" x14ac:dyDescent="0.4">
      <c r="A199" s="25">
        <v>44424</v>
      </c>
      <c r="B199" s="11">
        <v>446.97</v>
      </c>
      <c r="C199" s="11">
        <v>432.59660000000002</v>
      </c>
      <c r="D199" s="11"/>
      <c r="E199" s="10">
        <f t="shared" si="3"/>
        <v>0</v>
      </c>
      <c r="G199" s="29">
        <v>44420</v>
      </c>
      <c r="H199">
        <v>445.11</v>
      </c>
      <c r="I199">
        <v>431.56619999999998</v>
      </c>
      <c r="K199" s="10">
        <v>0</v>
      </c>
    </row>
    <row r="200" spans="1:11" x14ac:dyDescent="0.4">
      <c r="A200" s="25">
        <v>44425</v>
      </c>
      <c r="B200" s="11">
        <v>444.04</v>
      </c>
      <c r="C200" s="11">
        <v>433.03359999999998</v>
      </c>
      <c r="D200" s="11"/>
      <c r="E200" s="10">
        <f t="shared" si="3"/>
        <v>0</v>
      </c>
      <c r="G200" s="29">
        <v>44421</v>
      </c>
      <c r="H200">
        <v>445.92</v>
      </c>
      <c r="I200">
        <v>432.10919999999999</v>
      </c>
      <c r="K200" s="10">
        <v>0</v>
      </c>
    </row>
    <row r="201" spans="1:11" x14ac:dyDescent="0.4">
      <c r="A201" s="25">
        <v>44426</v>
      </c>
      <c r="B201" s="11">
        <v>439.18</v>
      </c>
      <c r="C201" s="11">
        <v>433.3716</v>
      </c>
      <c r="D201" s="11">
        <v>399.56560000000002</v>
      </c>
      <c r="E201" s="10">
        <f t="shared" si="3"/>
        <v>0</v>
      </c>
      <c r="G201" s="29">
        <v>44424</v>
      </c>
      <c r="H201">
        <v>446.97</v>
      </c>
      <c r="I201">
        <v>432.59660000000002</v>
      </c>
      <c r="K201" s="10">
        <v>0</v>
      </c>
    </row>
    <row r="202" spans="1:11" x14ac:dyDescent="0.4">
      <c r="A202" s="25">
        <v>44427</v>
      </c>
      <c r="B202" s="11">
        <v>439.86</v>
      </c>
      <c r="C202" s="11">
        <v>433.73579999999998</v>
      </c>
      <c r="D202" s="11">
        <v>400.11380000000003</v>
      </c>
      <c r="E202" s="10">
        <f t="shared" si="3"/>
        <v>0</v>
      </c>
      <c r="G202" s="29">
        <v>44425</v>
      </c>
      <c r="H202">
        <v>444.04</v>
      </c>
      <c r="I202">
        <v>433.03359999999998</v>
      </c>
      <c r="K202" s="10">
        <v>0</v>
      </c>
    </row>
    <row r="203" spans="1:11" x14ac:dyDescent="0.4">
      <c r="A203" s="25">
        <v>44428</v>
      </c>
      <c r="B203" s="11">
        <v>443.36</v>
      </c>
      <c r="C203" s="11">
        <v>434.13080000000002</v>
      </c>
      <c r="D203" s="11">
        <v>400.65050000000002</v>
      </c>
      <c r="E203" s="10">
        <f t="shared" si="3"/>
        <v>0</v>
      </c>
      <c r="G203" s="29">
        <v>44426</v>
      </c>
      <c r="H203">
        <v>439.18</v>
      </c>
      <c r="I203">
        <v>433.3716</v>
      </c>
      <c r="J203">
        <v>399.56560000000002</v>
      </c>
      <c r="K203" s="10">
        <v>0</v>
      </c>
    </row>
    <row r="204" spans="1:11" x14ac:dyDescent="0.4">
      <c r="A204" s="25">
        <v>44431</v>
      </c>
      <c r="B204" s="11">
        <v>447.26</v>
      </c>
      <c r="C204" s="11">
        <v>434.58980000000003</v>
      </c>
      <c r="D204" s="11">
        <v>401.16910000000001</v>
      </c>
      <c r="E204" s="10">
        <f t="shared" si="3"/>
        <v>0</v>
      </c>
      <c r="G204" s="29">
        <v>44427</v>
      </c>
      <c r="H204">
        <v>439.86</v>
      </c>
      <c r="I204">
        <v>433.73579999999998</v>
      </c>
      <c r="J204">
        <v>400.11380000000003</v>
      </c>
      <c r="K204" s="10">
        <v>0</v>
      </c>
    </row>
    <row r="205" spans="1:11" x14ac:dyDescent="0.4">
      <c r="A205" s="25">
        <v>44432</v>
      </c>
      <c r="B205" s="11">
        <v>447.97</v>
      </c>
      <c r="C205" s="11">
        <v>435.04399999999998</v>
      </c>
      <c r="D205" s="11">
        <v>401.65780000000001</v>
      </c>
      <c r="E205" s="10">
        <f t="shared" si="3"/>
        <v>0</v>
      </c>
      <c r="G205" s="29">
        <v>44428</v>
      </c>
      <c r="H205">
        <v>443.36</v>
      </c>
      <c r="I205">
        <v>434.13080000000002</v>
      </c>
      <c r="J205">
        <v>400.65050000000002</v>
      </c>
      <c r="K205" s="10">
        <v>0</v>
      </c>
    </row>
    <row r="206" spans="1:11" x14ac:dyDescent="0.4">
      <c r="A206" s="25">
        <v>44433</v>
      </c>
      <c r="B206" s="11">
        <v>448.91</v>
      </c>
      <c r="C206" s="11">
        <v>435.5326</v>
      </c>
      <c r="D206" s="11">
        <v>402.1515</v>
      </c>
      <c r="E206" s="10">
        <f t="shared" si="3"/>
        <v>0</v>
      </c>
      <c r="G206" s="29">
        <v>44431</v>
      </c>
      <c r="H206">
        <v>447.26</v>
      </c>
      <c r="I206">
        <v>434.58980000000003</v>
      </c>
      <c r="J206">
        <v>401.16910000000001</v>
      </c>
      <c r="K206" s="10">
        <v>0</v>
      </c>
    </row>
    <row r="207" spans="1:11" x14ac:dyDescent="0.4">
      <c r="A207" s="25">
        <v>44434</v>
      </c>
      <c r="B207" s="11">
        <v>446.26</v>
      </c>
      <c r="C207" s="11">
        <v>436.01560000000001</v>
      </c>
      <c r="D207" s="11">
        <v>402.61</v>
      </c>
      <c r="E207" s="10">
        <f t="shared" si="3"/>
        <v>0</v>
      </c>
      <c r="G207" s="29">
        <v>44432</v>
      </c>
      <c r="H207">
        <v>447.97</v>
      </c>
      <c r="I207">
        <v>435.04399999999998</v>
      </c>
      <c r="J207">
        <v>401.65780000000001</v>
      </c>
      <c r="K207" s="10">
        <v>0</v>
      </c>
    </row>
    <row r="208" spans="1:11" x14ac:dyDescent="0.4">
      <c r="A208" s="25">
        <v>44435</v>
      </c>
      <c r="B208" s="11">
        <v>450.25</v>
      </c>
      <c r="C208" s="11">
        <v>436.58120000000002</v>
      </c>
      <c r="D208" s="11">
        <v>403.09100000000001</v>
      </c>
      <c r="E208" s="10">
        <f t="shared" si="3"/>
        <v>0</v>
      </c>
      <c r="G208" s="29">
        <v>44433</v>
      </c>
      <c r="H208">
        <v>448.91</v>
      </c>
      <c r="I208">
        <v>435.5326</v>
      </c>
      <c r="J208">
        <v>402.1515</v>
      </c>
      <c r="K208" s="10">
        <v>0</v>
      </c>
    </row>
    <row r="209" spans="1:11" x14ac:dyDescent="0.4">
      <c r="A209" s="25">
        <v>44438</v>
      </c>
      <c r="B209" s="11">
        <v>452.23</v>
      </c>
      <c r="C209" s="11">
        <v>437.32740000000001</v>
      </c>
      <c r="D209" s="11">
        <v>403.56880000000001</v>
      </c>
      <c r="E209" s="10">
        <f t="shared" si="3"/>
        <v>0</v>
      </c>
      <c r="G209" s="29">
        <v>44434</v>
      </c>
      <c r="H209">
        <v>446.26</v>
      </c>
      <c r="I209">
        <v>436.01560000000001</v>
      </c>
      <c r="J209">
        <v>402.61</v>
      </c>
      <c r="K209" s="10">
        <v>0</v>
      </c>
    </row>
    <row r="210" spans="1:11" x14ac:dyDescent="0.4">
      <c r="A210" s="25">
        <v>44439</v>
      </c>
      <c r="B210" s="11">
        <v>451.56</v>
      </c>
      <c r="C210" s="11">
        <v>437.94139999999999</v>
      </c>
      <c r="D210" s="11">
        <v>404.06060000000002</v>
      </c>
      <c r="E210" s="10">
        <f t="shared" si="3"/>
        <v>0</v>
      </c>
      <c r="G210" s="29">
        <v>44435</v>
      </c>
      <c r="H210">
        <v>450.25</v>
      </c>
      <c r="I210">
        <v>436.58120000000002</v>
      </c>
      <c r="J210">
        <v>403.09100000000001</v>
      </c>
      <c r="K210" s="10">
        <v>0</v>
      </c>
    </row>
    <row r="211" spans="1:11" x14ac:dyDescent="0.4">
      <c r="A211" s="25">
        <v>44440</v>
      </c>
      <c r="B211" s="11">
        <v>451.8</v>
      </c>
      <c r="C211" s="11">
        <v>438.51519999999999</v>
      </c>
      <c r="D211" s="11">
        <v>404.52910000000003</v>
      </c>
      <c r="E211" s="10">
        <f t="shared" si="3"/>
        <v>0</v>
      </c>
      <c r="G211" s="29">
        <v>44438</v>
      </c>
      <c r="H211">
        <v>452.23</v>
      </c>
      <c r="I211">
        <v>437.32740000000001</v>
      </c>
      <c r="J211">
        <v>403.56880000000001</v>
      </c>
      <c r="K211" s="10">
        <v>0</v>
      </c>
    </row>
    <row r="212" spans="1:11" x14ac:dyDescent="0.4">
      <c r="A212" s="25">
        <v>44441</v>
      </c>
      <c r="B212" s="11">
        <v>453.19</v>
      </c>
      <c r="C212" s="11">
        <v>439.12700000000001</v>
      </c>
      <c r="D212" s="11">
        <v>404.98219999999998</v>
      </c>
      <c r="E212" s="10">
        <f t="shared" si="3"/>
        <v>0</v>
      </c>
      <c r="G212" s="29">
        <v>44439</v>
      </c>
      <c r="H212">
        <v>451.56</v>
      </c>
      <c r="I212">
        <v>437.94139999999999</v>
      </c>
      <c r="J212">
        <v>404.06060000000002</v>
      </c>
      <c r="K212" s="10">
        <v>0</v>
      </c>
    </row>
    <row r="213" spans="1:11" x14ac:dyDescent="0.4">
      <c r="A213" s="25">
        <v>44442</v>
      </c>
      <c r="B213" s="11">
        <v>453.08</v>
      </c>
      <c r="C213" s="11">
        <v>439.6866</v>
      </c>
      <c r="D213" s="11">
        <v>405.44450000000001</v>
      </c>
      <c r="E213" s="10">
        <f t="shared" si="3"/>
        <v>0</v>
      </c>
      <c r="G213" s="29">
        <v>44440</v>
      </c>
      <c r="H213">
        <v>451.8</v>
      </c>
      <c r="I213">
        <v>438.51519999999999</v>
      </c>
      <c r="J213">
        <v>404.52910000000003</v>
      </c>
      <c r="K213" s="10">
        <v>0</v>
      </c>
    </row>
    <row r="214" spans="1:11" x14ac:dyDescent="0.4">
      <c r="A214" s="25">
        <v>44446</v>
      </c>
      <c r="B214" s="11">
        <v>451.46</v>
      </c>
      <c r="C214" s="11">
        <v>440.18360000000001</v>
      </c>
      <c r="D214" s="11">
        <v>405.92039999999997</v>
      </c>
      <c r="E214" s="10">
        <f t="shared" si="3"/>
        <v>0</v>
      </c>
      <c r="G214" s="29">
        <v>44441</v>
      </c>
      <c r="H214">
        <v>453.19</v>
      </c>
      <c r="I214">
        <v>439.12700000000001</v>
      </c>
      <c r="J214">
        <v>404.98219999999998</v>
      </c>
      <c r="K214" s="10">
        <v>0</v>
      </c>
    </row>
    <row r="215" spans="1:11" x14ac:dyDescent="0.4">
      <c r="A215" s="25">
        <v>44447</v>
      </c>
      <c r="B215" s="11">
        <v>450.91</v>
      </c>
      <c r="C215" s="11">
        <v>440.6524</v>
      </c>
      <c r="D215" s="11">
        <v>406.38600000000002</v>
      </c>
      <c r="E215" s="10">
        <f t="shared" si="3"/>
        <v>0</v>
      </c>
      <c r="G215" s="29">
        <v>44442</v>
      </c>
      <c r="H215">
        <v>453.08</v>
      </c>
      <c r="I215">
        <v>439.6866</v>
      </c>
      <c r="J215">
        <v>405.44450000000001</v>
      </c>
      <c r="K215" s="10">
        <v>0</v>
      </c>
    </row>
    <row r="216" spans="1:11" x14ac:dyDescent="0.4">
      <c r="A216" s="25">
        <v>44448</v>
      </c>
      <c r="B216" s="11">
        <v>448.98</v>
      </c>
      <c r="C216" s="11">
        <v>441.07799999999997</v>
      </c>
      <c r="D216" s="11">
        <v>406.85430000000002</v>
      </c>
      <c r="E216" s="10">
        <f t="shared" si="3"/>
        <v>0</v>
      </c>
      <c r="G216" s="29">
        <v>44446</v>
      </c>
      <c r="H216">
        <v>451.46</v>
      </c>
      <c r="I216">
        <v>440.18360000000001</v>
      </c>
      <c r="J216">
        <v>405.92039999999997</v>
      </c>
      <c r="K216" s="10">
        <v>0</v>
      </c>
    </row>
    <row r="217" spans="1:11" x14ac:dyDescent="0.4">
      <c r="A217" s="25">
        <v>44449</v>
      </c>
      <c r="B217" s="11">
        <v>445.44</v>
      </c>
      <c r="C217" s="11">
        <v>441.42559999999997</v>
      </c>
      <c r="D217" s="11">
        <v>407.29419999999999</v>
      </c>
      <c r="E217" s="10">
        <f t="shared" si="3"/>
        <v>0</v>
      </c>
      <c r="G217" s="29">
        <v>44447</v>
      </c>
      <c r="H217">
        <v>450.91</v>
      </c>
      <c r="I217">
        <v>440.6524</v>
      </c>
      <c r="J217">
        <v>406.38600000000002</v>
      </c>
      <c r="K217" s="10">
        <v>0</v>
      </c>
    </row>
    <row r="218" spans="1:11" x14ac:dyDescent="0.4">
      <c r="A218" s="25">
        <v>44452</v>
      </c>
      <c r="B218" s="11">
        <v>446.58</v>
      </c>
      <c r="C218" s="11">
        <v>441.74860000000001</v>
      </c>
      <c r="D218" s="11">
        <v>407.71100000000001</v>
      </c>
      <c r="E218" s="10">
        <f t="shared" si="3"/>
        <v>0</v>
      </c>
      <c r="G218" s="29">
        <v>44448</v>
      </c>
      <c r="H218">
        <v>448.98</v>
      </c>
      <c r="I218">
        <v>441.07799999999997</v>
      </c>
      <c r="J218">
        <v>406.85430000000002</v>
      </c>
      <c r="K218" s="10">
        <v>0</v>
      </c>
    </row>
    <row r="219" spans="1:11" x14ac:dyDescent="0.4">
      <c r="A219" s="25">
        <v>44453</v>
      </c>
      <c r="B219" s="11">
        <v>444.17</v>
      </c>
      <c r="C219" s="11">
        <v>441.95760000000001</v>
      </c>
      <c r="D219" s="11">
        <v>408.11860000000001</v>
      </c>
      <c r="E219" s="10">
        <f t="shared" si="3"/>
        <v>0</v>
      </c>
      <c r="G219" s="29">
        <v>44449</v>
      </c>
      <c r="H219">
        <v>445.44</v>
      </c>
      <c r="I219">
        <v>441.42559999999997</v>
      </c>
      <c r="J219">
        <v>407.29419999999999</v>
      </c>
      <c r="K219" s="10">
        <v>0</v>
      </c>
    </row>
    <row r="220" spans="1:11" x14ac:dyDescent="0.4">
      <c r="A220" s="25">
        <v>44454</v>
      </c>
      <c r="B220" s="11">
        <v>447.88</v>
      </c>
      <c r="C220" s="11">
        <v>442.25659999999999</v>
      </c>
      <c r="D220" s="11">
        <v>408.53960000000001</v>
      </c>
      <c r="E220" s="10">
        <f t="shared" si="3"/>
        <v>0</v>
      </c>
      <c r="G220" s="29">
        <v>44452</v>
      </c>
      <c r="H220">
        <v>446.58</v>
      </c>
      <c r="I220">
        <v>441.74860000000001</v>
      </c>
      <c r="J220">
        <v>407.71100000000001</v>
      </c>
      <c r="K220" s="10">
        <v>0</v>
      </c>
    </row>
    <row r="221" spans="1:11" x14ac:dyDescent="0.4">
      <c r="A221" s="25">
        <v>44455</v>
      </c>
      <c r="B221" s="11">
        <v>447.17</v>
      </c>
      <c r="C221" s="11">
        <v>442.51080000000002</v>
      </c>
      <c r="D221" s="11">
        <v>408.96519999999998</v>
      </c>
      <c r="E221" s="10">
        <f t="shared" si="3"/>
        <v>0</v>
      </c>
      <c r="G221" s="29">
        <v>44453</v>
      </c>
      <c r="H221">
        <v>444.17</v>
      </c>
      <c r="I221">
        <v>441.95760000000001</v>
      </c>
      <c r="J221">
        <v>408.11860000000001</v>
      </c>
      <c r="K221" s="10">
        <v>0</v>
      </c>
    </row>
    <row r="222" spans="1:11" x14ac:dyDescent="0.4">
      <c r="A222" s="25">
        <v>44456</v>
      </c>
      <c r="B222" s="11">
        <v>441.4</v>
      </c>
      <c r="C222" s="11">
        <v>442.72039999999998</v>
      </c>
      <c r="D222" s="11">
        <v>409.34199999999998</v>
      </c>
      <c r="E222" s="10">
        <f t="shared" si="3"/>
        <v>0</v>
      </c>
      <c r="G222" s="29">
        <v>44454</v>
      </c>
      <c r="H222">
        <v>447.88</v>
      </c>
      <c r="I222">
        <v>442.25659999999999</v>
      </c>
      <c r="J222">
        <v>408.53960000000001</v>
      </c>
      <c r="K222" s="10">
        <v>0</v>
      </c>
    </row>
    <row r="223" spans="1:11" x14ac:dyDescent="0.4">
      <c r="A223" s="25">
        <v>44459</v>
      </c>
      <c r="B223" s="11">
        <v>434.04</v>
      </c>
      <c r="C223" s="11">
        <v>442.69080000000002</v>
      </c>
      <c r="D223" s="11">
        <v>409.67829999999998</v>
      </c>
      <c r="E223" s="10">
        <f t="shared" si="3"/>
        <v>0</v>
      </c>
      <c r="G223" s="29">
        <v>44455</v>
      </c>
      <c r="H223">
        <v>447.17</v>
      </c>
      <c r="I223">
        <v>442.51080000000002</v>
      </c>
      <c r="J223">
        <v>408.96519999999998</v>
      </c>
      <c r="K223" s="10">
        <v>0</v>
      </c>
    </row>
    <row r="224" spans="1:11" x14ac:dyDescent="0.4">
      <c r="A224" s="25">
        <v>44460</v>
      </c>
      <c r="B224" s="11">
        <v>433.63</v>
      </c>
      <c r="C224" s="11">
        <v>442.62180000000001</v>
      </c>
      <c r="D224" s="11">
        <v>410.01299999999998</v>
      </c>
      <c r="E224" s="10">
        <f t="shared" si="3"/>
        <v>0</v>
      </c>
      <c r="G224" s="29">
        <v>44456</v>
      </c>
      <c r="H224">
        <v>441.4</v>
      </c>
      <c r="I224">
        <v>442.72039999999998</v>
      </c>
      <c r="J224">
        <v>409.34199999999998</v>
      </c>
      <c r="K224" s="10">
        <v>0</v>
      </c>
    </row>
    <row r="225" spans="1:11" x14ac:dyDescent="0.4">
      <c r="A225" s="25">
        <v>44461</v>
      </c>
      <c r="B225" s="11">
        <v>437.86</v>
      </c>
      <c r="C225" s="11">
        <v>442.66719999999998</v>
      </c>
      <c r="D225" s="11">
        <v>410.35300000000001</v>
      </c>
      <c r="E225" s="10">
        <f t="shared" si="3"/>
        <v>0</v>
      </c>
      <c r="G225" s="29">
        <v>44459</v>
      </c>
      <c r="H225">
        <v>434.04</v>
      </c>
      <c r="I225">
        <v>442.69080000000002</v>
      </c>
      <c r="J225">
        <v>409.67829999999998</v>
      </c>
      <c r="K225" s="10">
        <v>0</v>
      </c>
    </row>
    <row r="226" spans="1:11" x14ac:dyDescent="0.4">
      <c r="A226" s="25">
        <v>44462</v>
      </c>
      <c r="B226" s="11">
        <v>443.18</v>
      </c>
      <c r="C226" s="11">
        <v>442.80599999999998</v>
      </c>
      <c r="D226" s="11">
        <v>410.7235</v>
      </c>
      <c r="E226" s="10">
        <f t="shared" si="3"/>
        <v>0</v>
      </c>
      <c r="G226" s="29">
        <v>44460</v>
      </c>
      <c r="H226">
        <v>433.63</v>
      </c>
      <c r="I226">
        <v>442.62180000000001</v>
      </c>
      <c r="J226">
        <v>410.01299999999998</v>
      </c>
      <c r="K226" s="10">
        <v>0</v>
      </c>
    </row>
    <row r="227" spans="1:11" x14ac:dyDescent="0.4">
      <c r="A227" s="25">
        <v>44463</v>
      </c>
      <c r="B227" s="11">
        <v>443.91</v>
      </c>
      <c r="C227" s="11">
        <v>442.98919999999998</v>
      </c>
      <c r="D227" s="11">
        <v>411.09219999999999</v>
      </c>
      <c r="E227" s="10">
        <f t="shared" si="3"/>
        <v>0</v>
      </c>
      <c r="G227" s="29">
        <v>44461</v>
      </c>
      <c r="H227">
        <v>437.86</v>
      </c>
      <c r="I227">
        <v>442.66719999999998</v>
      </c>
      <c r="J227">
        <v>410.35300000000001</v>
      </c>
      <c r="K227" s="10">
        <v>0</v>
      </c>
    </row>
    <row r="228" spans="1:11" x14ac:dyDescent="0.4">
      <c r="A228" s="25">
        <v>44466</v>
      </c>
      <c r="B228" s="11">
        <v>442.64</v>
      </c>
      <c r="C228" s="11">
        <v>443.21519999999998</v>
      </c>
      <c r="D228" s="11">
        <v>411.47120000000001</v>
      </c>
      <c r="E228" s="10">
        <f t="shared" si="3"/>
        <v>0</v>
      </c>
      <c r="G228" s="29">
        <v>44462</v>
      </c>
      <c r="H228">
        <v>443.18</v>
      </c>
      <c r="I228">
        <v>442.80599999999998</v>
      </c>
      <c r="J228">
        <v>410.7235</v>
      </c>
      <c r="K228" s="10">
        <v>0</v>
      </c>
    </row>
    <row r="229" spans="1:11" x14ac:dyDescent="0.4">
      <c r="A229" s="25">
        <v>44467</v>
      </c>
      <c r="B229" s="11">
        <v>433.72</v>
      </c>
      <c r="C229" s="11">
        <v>443.39019999999999</v>
      </c>
      <c r="D229" s="11">
        <v>411.80610000000001</v>
      </c>
      <c r="E229" s="10">
        <f t="shared" si="3"/>
        <v>0</v>
      </c>
      <c r="G229" s="29">
        <v>44463</v>
      </c>
      <c r="H229">
        <v>443.91</v>
      </c>
      <c r="I229">
        <v>442.98919999999998</v>
      </c>
      <c r="J229">
        <v>411.09219999999999</v>
      </c>
      <c r="K229" s="10">
        <v>0</v>
      </c>
    </row>
    <row r="230" spans="1:11" x14ac:dyDescent="0.4">
      <c r="A230" s="25">
        <v>44468</v>
      </c>
      <c r="B230" s="11">
        <v>434.45</v>
      </c>
      <c r="C230" s="11">
        <v>443.45800000000003</v>
      </c>
      <c r="D230" s="11">
        <v>412.14679999999998</v>
      </c>
      <c r="E230" s="10">
        <f t="shared" si="3"/>
        <v>0</v>
      </c>
      <c r="G230" s="29">
        <v>44466</v>
      </c>
      <c r="H230">
        <v>442.64</v>
      </c>
      <c r="I230">
        <v>443.21519999999998</v>
      </c>
      <c r="J230">
        <v>411.47120000000001</v>
      </c>
      <c r="K230" s="10">
        <v>0</v>
      </c>
    </row>
    <row r="231" spans="1:11" x14ac:dyDescent="0.4">
      <c r="A231" s="25">
        <v>44469</v>
      </c>
      <c r="B231" s="11">
        <v>429.14</v>
      </c>
      <c r="C231" s="11">
        <v>443.34980000000002</v>
      </c>
      <c r="D231" s="11">
        <v>412.4692</v>
      </c>
      <c r="E231" s="10">
        <f t="shared" si="3"/>
        <v>0</v>
      </c>
      <c r="G231" s="29">
        <v>44467</v>
      </c>
      <c r="H231">
        <v>433.72</v>
      </c>
      <c r="I231">
        <v>443.39019999999999</v>
      </c>
      <c r="J231">
        <v>411.80610000000001</v>
      </c>
      <c r="K231" s="10">
        <v>0</v>
      </c>
    </row>
    <row r="232" spans="1:11" x14ac:dyDescent="0.4">
      <c r="A232" s="25">
        <v>44470</v>
      </c>
      <c r="B232" s="11">
        <v>434.24</v>
      </c>
      <c r="C232" s="11">
        <v>443.3254</v>
      </c>
      <c r="D232" s="11">
        <v>412.79250000000002</v>
      </c>
      <c r="E232" s="10">
        <f t="shared" si="3"/>
        <v>0</v>
      </c>
      <c r="G232" s="29">
        <v>44468</v>
      </c>
      <c r="H232">
        <v>434.45</v>
      </c>
      <c r="I232">
        <v>443.45800000000003</v>
      </c>
      <c r="J232">
        <v>412.14679999999998</v>
      </c>
      <c r="K232" s="10">
        <v>0</v>
      </c>
    </row>
    <row r="233" spans="1:11" x14ac:dyDescent="0.4">
      <c r="A233" s="25">
        <v>44473</v>
      </c>
      <c r="B233" s="11">
        <v>428.64</v>
      </c>
      <c r="C233" s="11">
        <v>443.0994</v>
      </c>
      <c r="D233" s="11">
        <v>413.08479999999997</v>
      </c>
      <c r="E233" s="10">
        <f t="shared" si="3"/>
        <v>0</v>
      </c>
      <c r="G233" s="29">
        <v>44469</v>
      </c>
      <c r="H233">
        <v>429.14</v>
      </c>
      <c r="I233">
        <v>443.34980000000002</v>
      </c>
      <c r="J233">
        <v>412.4692</v>
      </c>
      <c r="K233" s="10">
        <v>0</v>
      </c>
    </row>
    <row r="234" spans="1:11" x14ac:dyDescent="0.4">
      <c r="A234" s="25">
        <v>44474</v>
      </c>
      <c r="B234" s="11">
        <v>433.1</v>
      </c>
      <c r="C234" s="11">
        <v>442.94099999999997</v>
      </c>
      <c r="D234" s="11">
        <v>413.38920000000002</v>
      </c>
      <c r="E234" s="10">
        <f t="shared" si="3"/>
        <v>0</v>
      </c>
      <c r="G234" s="29">
        <v>44470</v>
      </c>
      <c r="H234">
        <v>434.24</v>
      </c>
      <c r="I234">
        <v>443.3254</v>
      </c>
      <c r="J234">
        <v>412.79250000000002</v>
      </c>
      <c r="K234" s="10">
        <v>0</v>
      </c>
    </row>
    <row r="235" spans="1:11" x14ac:dyDescent="0.4">
      <c r="A235" s="25">
        <v>44475</v>
      </c>
      <c r="B235" s="11">
        <v>434.9</v>
      </c>
      <c r="C235" s="11">
        <v>442.85879999999997</v>
      </c>
      <c r="D235" s="11">
        <v>413.71780000000001</v>
      </c>
      <c r="E235" s="10">
        <f t="shared" si="3"/>
        <v>0</v>
      </c>
      <c r="G235" s="29">
        <v>44473</v>
      </c>
      <c r="H235">
        <v>428.64</v>
      </c>
      <c r="I235">
        <v>443.0994</v>
      </c>
      <c r="J235">
        <v>413.08479999999997</v>
      </c>
      <c r="K235" s="10">
        <v>0</v>
      </c>
    </row>
    <row r="236" spans="1:11" x14ac:dyDescent="0.4">
      <c r="A236" s="25">
        <v>44476</v>
      </c>
      <c r="B236" s="11">
        <v>438.66</v>
      </c>
      <c r="C236" s="11">
        <v>442.85539999999997</v>
      </c>
      <c r="D236" s="11">
        <v>414.0718</v>
      </c>
      <c r="E236" s="10">
        <f t="shared" si="3"/>
        <v>0</v>
      </c>
      <c r="G236" s="29">
        <v>44474</v>
      </c>
      <c r="H236">
        <v>433.1</v>
      </c>
      <c r="I236">
        <v>442.94099999999997</v>
      </c>
      <c r="J236">
        <v>413.38920000000002</v>
      </c>
      <c r="K236" s="10">
        <v>0</v>
      </c>
    </row>
    <row r="237" spans="1:11" x14ac:dyDescent="0.4">
      <c r="A237" s="25">
        <v>44477</v>
      </c>
      <c r="B237" s="11">
        <v>437.86</v>
      </c>
      <c r="C237" s="11">
        <v>442.7996</v>
      </c>
      <c r="D237" s="11">
        <v>414.4248</v>
      </c>
      <c r="E237" s="10">
        <f t="shared" si="3"/>
        <v>0</v>
      </c>
      <c r="G237" s="29">
        <v>44475</v>
      </c>
      <c r="H237">
        <v>434.9</v>
      </c>
      <c r="I237">
        <v>442.85879999999997</v>
      </c>
      <c r="J237">
        <v>413.71780000000001</v>
      </c>
      <c r="K237" s="10">
        <v>0</v>
      </c>
    </row>
    <row r="238" spans="1:11" x14ac:dyDescent="0.4">
      <c r="A238" s="25">
        <v>44480</v>
      </c>
      <c r="B238" s="11">
        <v>434.69</v>
      </c>
      <c r="C238" s="11">
        <v>442.72320000000002</v>
      </c>
      <c r="D238" s="11">
        <v>414.7604</v>
      </c>
      <c r="E238" s="10">
        <f t="shared" si="3"/>
        <v>0</v>
      </c>
      <c r="G238" s="29">
        <v>44476</v>
      </c>
      <c r="H238">
        <v>438.66</v>
      </c>
      <c r="I238">
        <v>442.85539999999997</v>
      </c>
      <c r="J238">
        <v>414.0718</v>
      </c>
      <c r="K238" s="10">
        <v>0</v>
      </c>
    </row>
    <row r="239" spans="1:11" x14ac:dyDescent="0.4">
      <c r="A239" s="25">
        <v>44481</v>
      </c>
      <c r="B239" s="11">
        <v>433.62</v>
      </c>
      <c r="C239" s="11">
        <v>442.6438</v>
      </c>
      <c r="D239" s="11">
        <v>415.08359999999999</v>
      </c>
      <c r="E239" s="10">
        <f t="shared" si="3"/>
        <v>0</v>
      </c>
      <c r="G239" s="29">
        <v>44477</v>
      </c>
      <c r="H239">
        <v>437.86</v>
      </c>
      <c r="I239">
        <v>442.7996</v>
      </c>
      <c r="J239">
        <v>414.4248</v>
      </c>
      <c r="K239" s="10">
        <v>0</v>
      </c>
    </row>
    <row r="240" spans="1:11" x14ac:dyDescent="0.4">
      <c r="A240" s="25">
        <v>44482</v>
      </c>
      <c r="B240" s="11">
        <v>435.18</v>
      </c>
      <c r="C240" s="11">
        <v>442.52440000000001</v>
      </c>
      <c r="D240" s="11">
        <v>415.39859999999999</v>
      </c>
      <c r="E240" s="10">
        <f t="shared" si="3"/>
        <v>0</v>
      </c>
      <c r="G240" s="29">
        <v>44480</v>
      </c>
      <c r="H240">
        <v>434.69</v>
      </c>
      <c r="I240">
        <v>442.72320000000002</v>
      </c>
      <c r="J240">
        <v>414.7604</v>
      </c>
      <c r="K240" s="10">
        <v>0</v>
      </c>
    </row>
    <row r="241" spans="1:11" x14ac:dyDescent="0.4">
      <c r="A241" s="25">
        <v>44483</v>
      </c>
      <c r="B241" s="11">
        <v>442.5</v>
      </c>
      <c r="C241" s="11">
        <v>442.59480000000002</v>
      </c>
      <c r="D241" s="11">
        <v>415.75380000000001</v>
      </c>
      <c r="E241" s="10">
        <f t="shared" si="3"/>
        <v>0</v>
      </c>
      <c r="G241" s="29">
        <v>44481</v>
      </c>
      <c r="H241">
        <v>433.62</v>
      </c>
      <c r="I241">
        <v>442.6438</v>
      </c>
      <c r="J241">
        <v>415.08359999999999</v>
      </c>
      <c r="K241" s="10">
        <v>0</v>
      </c>
    </row>
    <row r="242" spans="1:11" x14ac:dyDescent="0.4">
      <c r="A242" s="25">
        <v>44484</v>
      </c>
      <c r="B242" s="11">
        <v>445.87</v>
      </c>
      <c r="C242" s="11">
        <v>442.67700000000002</v>
      </c>
      <c r="D242" s="11">
        <v>416.1232</v>
      </c>
      <c r="E242" s="10">
        <f t="shared" si="3"/>
        <v>0</v>
      </c>
      <c r="G242" s="29">
        <v>44482</v>
      </c>
      <c r="H242">
        <v>435.18</v>
      </c>
      <c r="I242">
        <v>442.52440000000001</v>
      </c>
      <c r="J242">
        <v>415.39859999999999</v>
      </c>
      <c r="K242" s="10">
        <v>0</v>
      </c>
    </row>
    <row r="243" spans="1:11" x14ac:dyDescent="0.4">
      <c r="A243" s="25">
        <v>44487</v>
      </c>
      <c r="B243" s="11">
        <v>447.19</v>
      </c>
      <c r="C243" s="11">
        <v>442.77100000000002</v>
      </c>
      <c r="D243" s="11">
        <v>416.4898</v>
      </c>
      <c r="E243" s="10">
        <f t="shared" si="3"/>
        <v>0</v>
      </c>
      <c r="G243" s="29">
        <v>44483</v>
      </c>
      <c r="H243">
        <v>442.5</v>
      </c>
      <c r="I243">
        <v>442.59480000000002</v>
      </c>
      <c r="J243">
        <v>415.75380000000001</v>
      </c>
      <c r="K243" s="10">
        <v>0</v>
      </c>
    </row>
    <row r="244" spans="1:11" x14ac:dyDescent="0.4">
      <c r="A244" s="25">
        <v>44488</v>
      </c>
      <c r="B244" s="11">
        <v>450.64</v>
      </c>
      <c r="C244" s="11">
        <v>442.94119999999998</v>
      </c>
      <c r="D244" s="11">
        <v>416.899</v>
      </c>
      <c r="E244" s="10">
        <f t="shared" si="3"/>
        <v>0</v>
      </c>
      <c r="G244" s="29">
        <v>44484</v>
      </c>
      <c r="H244">
        <v>445.87</v>
      </c>
      <c r="I244">
        <v>442.67700000000002</v>
      </c>
      <c r="J244">
        <v>416.1232</v>
      </c>
      <c r="K244" s="10">
        <v>0</v>
      </c>
    </row>
    <row r="245" spans="1:11" x14ac:dyDescent="0.4">
      <c r="A245" s="25">
        <v>44489</v>
      </c>
      <c r="B245" s="11">
        <v>452.41</v>
      </c>
      <c r="C245" s="11">
        <v>443.13580000000002</v>
      </c>
      <c r="D245" s="11">
        <v>417.30439999999999</v>
      </c>
      <c r="E245" s="10">
        <f t="shared" si="3"/>
        <v>0</v>
      </c>
      <c r="G245" s="29">
        <v>44487</v>
      </c>
      <c r="H245">
        <v>447.19</v>
      </c>
      <c r="I245">
        <v>442.77100000000002</v>
      </c>
      <c r="J245">
        <v>416.4898</v>
      </c>
      <c r="K245" s="10">
        <v>0</v>
      </c>
    </row>
    <row r="246" spans="1:11" x14ac:dyDescent="0.4">
      <c r="A246" s="25">
        <v>44490</v>
      </c>
      <c r="B246" s="11">
        <v>453.59</v>
      </c>
      <c r="C246" s="11">
        <v>443.33199999999999</v>
      </c>
      <c r="D246" s="11">
        <v>417.70460000000003</v>
      </c>
      <c r="E246" s="10">
        <f t="shared" si="3"/>
        <v>0</v>
      </c>
      <c r="G246" s="29">
        <v>44488</v>
      </c>
      <c r="H246">
        <v>450.64</v>
      </c>
      <c r="I246">
        <v>442.94119999999998</v>
      </c>
      <c r="J246">
        <v>416.899</v>
      </c>
      <c r="K246" s="10">
        <v>0</v>
      </c>
    </row>
    <row r="247" spans="1:11" x14ac:dyDescent="0.4">
      <c r="A247" s="25">
        <v>44491</v>
      </c>
      <c r="B247" s="11">
        <v>453.12</v>
      </c>
      <c r="C247" s="11">
        <v>443.49220000000003</v>
      </c>
      <c r="D247" s="11">
        <v>418.07470000000001</v>
      </c>
      <c r="E247" s="10">
        <f t="shared" si="3"/>
        <v>0</v>
      </c>
      <c r="G247" s="29">
        <v>44489</v>
      </c>
      <c r="H247">
        <v>452.41</v>
      </c>
      <c r="I247">
        <v>443.13580000000002</v>
      </c>
      <c r="J247">
        <v>417.30439999999999</v>
      </c>
      <c r="K247" s="10">
        <v>0</v>
      </c>
    </row>
    <row r="248" spans="1:11" x14ac:dyDescent="0.4">
      <c r="A248" s="25">
        <v>44494</v>
      </c>
      <c r="B248" s="11">
        <v>455.55</v>
      </c>
      <c r="C248" s="11">
        <v>443.6848</v>
      </c>
      <c r="D248" s="11">
        <v>418.44619999999998</v>
      </c>
      <c r="E248" s="10">
        <f t="shared" si="3"/>
        <v>0</v>
      </c>
      <c r="G248" s="29">
        <v>44490</v>
      </c>
      <c r="H248">
        <v>453.59</v>
      </c>
      <c r="I248">
        <v>443.33199999999999</v>
      </c>
      <c r="J248">
        <v>417.70460000000003</v>
      </c>
      <c r="K248" s="10">
        <v>0</v>
      </c>
    </row>
    <row r="249" spans="1:11" x14ac:dyDescent="0.4">
      <c r="A249" s="25">
        <v>44495</v>
      </c>
      <c r="B249" s="11">
        <v>455.96</v>
      </c>
      <c r="C249" s="11">
        <v>443.8646</v>
      </c>
      <c r="D249" s="11">
        <v>418.83249999999998</v>
      </c>
      <c r="E249" s="10">
        <f t="shared" si="3"/>
        <v>0</v>
      </c>
      <c r="G249" s="29">
        <v>44491</v>
      </c>
      <c r="H249">
        <v>453.12</v>
      </c>
      <c r="I249">
        <v>443.49220000000003</v>
      </c>
      <c r="J249">
        <v>418.07470000000001</v>
      </c>
      <c r="K249" s="10">
        <v>0</v>
      </c>
    </row>
    <row r="250" spans="1:11" x14ac:dyDescent="0.4">
      <c r="A250" s="25">
        <v>44496</v>
      </c>
      <c r="B250" s="11">
        <v>453.94</v>
      </c>
      <c r="C250" s="11">
        <v>444.06259999999997</v>
      </c>
      <c r="D250" s="11">
        <v>419.20839999999998</v>
      </c>
      <c r="E250" s="10">
        <f t="shared" si="3"/>
        <v>0</v>
      </c>
      <c r="G250" s="29">
        <v>44494</v>
      </c>
      <c r="H250">
        <v>455.55</v>
      </c>
      <c r="I250">
        <v>443.6848</v>
      </c>
      <c r="J250">
        <v>418.44619999999998</v>
      </c>
      <c r="K250" s="10">
        <v>0</v>
      </c>
    </row>
    <row r="251" spans="1:11" x14ac:dyDescent="0.4">
      <c r="A251" s="25">
        <v>44497</v>
      </c>
      <c r="B251" s="11">
        <v>458.32</v>
      </c>
      <c r="C251" s="11">
        <v>444.44540000000001</v>
      </c>
      <c r="D251" s="11">
        <v>419.601</v>
      </c>
      <c r="E251" s="10">
        <f t="shared" si="3"/>
        <v>0</v>
      </c>
      <c r="G251" s="29">
        <v>44495</v>
      </c>
      <c r="H251">
        <v>455.96</v>
      </c>
      <c r="I251">
        <v>443.8646</v>
      </c>
      <c r="J251">
        <v>418.83249999999998</v>
      </c>
      <c r="K251" s="10">
        <v>0</v>
      </c>
    </row>
    <row r="252" spans="1:11" x14ac:dyDescent="0.4">
      <c r="A252" s="25">
        <v>44498</v>
      </c>
      <c r="B252" s="11">
        <v>459.25</v>
      </c>
      <c r="C252" s="11">
        <v>444.83319999999998</v>
      </c>
      <c r="D252" s="11">
        <v>420.005</v>
      </c>
      <c r="E252" s="10">
        <f t="shared" si="3"/>
        <v>0</v>
      </c>
      <c r="G252" s="29">
        <v>44496</v>
      </c>
      <c r="H252">
        <v>453.94</v>
      </c>
      <c r="I252">
        <v>444.06259999999997</v>
      </c>
      <c r="J252">
        <v>419.20839999999998</v>
      </c>
      <c r="K252" s="10">
        <v>0</v>
      </c>
    </row>
    <row r="253" spans="1:11" x14ac:dyDescent="0.4">
      <c r="A253" s="25">
        <v>44501</v>
      </c>
      <c r="B253" s="11">
        <v>460.04</v>
      </c>
      <c r="C253" s="11">
        <v>445.16680000000002</v>
      </c>
      <c r="D253" s="11">
        <v>420.42660000000001</v>
      </c>
      <c r="E253" s="10">
        <f t="shared" si="3"/>
        <v>0</v>
      </c>
      <c r="G253" s="29">
        <v>44497</v>
      </c>
      <c r="H253">
        <v>458.32</v>
      </c>
      <c r="I253">
        <v>444.44540000000001</v>
      </c>
      <c r="J253">
        <v>419.601</v>
      </c>
      <c r="K253" s="10">
        <v>0</v>
      </c>
    </row>
    <row r="254" spans="1:11" x14ac:dyDescent="0.4">
      <c r="A254" s="25">
        <v>44502</v>
      </c>
      <c r="B254" s="11">
        <v>461.9</v>
      </c>
      <c r="C254" s="11">
        <v>445.45960000000002</v>
      </c>
      <c r="D254" s="11">
        <v>420.84289999999999</v>
      </c>
      <c r="E254" s="10">
        <f t="shared" si="3"/>
        <v>0</v>
      </c>
      <c r="G254" s="29">
        <v>44498</v>
      </c>
      <c r="H254">
        <v>459.25</v>
      </c>
      <c r="I254">
        <v>444.83319999999998</v>
      </c>
      <c r="J254">
        <v>420.005</v>
      </c>
      <c r="K254" s="10">
        <v>0</v>
      </c>
    </row>
    <row r="255" spans="1:11" x14ac:dyDescent="0.4">
      <c r="A255" s="25">
        <v>44503</v>
      </c>
      <c r="B255" s="11">
        <v>464.72</v>
      </c>
      <c r="C255" s="11">
        <v>445.7946</v>
      </c>
      <c r="D255" s="11">
        <v>421.24700000000001</v>
      </c>
      <c r="E255" s="10">
        <f t="shared" si="3"/>
        <v>0</v>
      </c>
      <c r="G255" s="29">
        <v>44501</v>
      </c>
      <c r="H255">
        <v>460.04</v>
      </c>
      <c r="I255">
        <v>445.16680000000002</v>
      </c>
      <c r="J255">
        <v>420.42660000000001</v>
      </c>
      <c r="K255" s="10">
        <v>0</v>
      </c>
    </row>
    <row r="256" spans="1:11" x14ac:dyDescent="0.4">
      <c r="A256" s="25">
        <v>44504</v>
      </c>
      <c r="B256" s="11">
        <v>466.91</v>
      </c>
      <c r="C256" s="11">
        <v>446.15460000000002</v>
      </c>
      <c r="D256" s="11">
        <v>421.66039999999998</v>
      </c>
      <c r="E256" s="10">
        <f t="shared" si="3"/>
        <v>0</v>
      </c>
      <c r="G256" s="29">
        <v>44502</v>
      </c>
      <c r="H256">
        <v>461.9</v>
      </c>
      <c r="I256">
        <v>445.45960000000002</v>
      </c>
      <c r="J256">
        <v>420.84289999999999</v>
      </c>
      <c r="K256" s="10">
        <v>0</v>
      </c>
    </row>
    <row r="257" spans="1:11" x14ac:dyDescent="0.4">
      <c r="A257" s="25">
        <v>44505</v>
      </c>
      <c r="B257" s="11">
        <v>468.53</v>
      </c>
      <c r="C257" s="11">
        <v>446.6</v>
      </c>
      <c r="D257" s="11">
        <v>422.08859999999999</v>
      </c>
      <c r="E257" s="10">
        <f t="shared" si="3"/>
        <v>0</v>
      </c>
      <c r="G257" s="29">
        <v>44503</v>
      </c>
      <c r="H257">
        <v>464.72</v>
      </c>
      <c r="I257">
        <v>445.7946</v>
      </c>
      <c r="J257">
        <v>421.24700000000001</v>
      </c>
      <c r="K257" s="10">
        <v>0</v>
      </c>
    </row>
    <row r="258" spans="1:11" x14ac:dyDescent="0.4">
      <c r="A258" s="25">
        <v>44508</v>
      </c>
      <c r="B258" s="11">
        <v>468.93</v>
      </c>
      <c r="C258" s="11">
        <v>446.97359999999998</v>
      </c>
      <c r="D258" s="11">
        <v>422.51139999999998</v>
      </c>
      <c r="E258" s="10">
        <f t="shared" si="3"/>
        <v>0</v>
      </c>
      <c r="G258" s="29">
        <v>44504</v>
      </c>
      <c r="H258">
        <v>466.91</v>
      </c>
      <c r="I258">
        <v>446.15460000000002</v>
      </c>
      <c r="J258">
        <v>421.66039999999998</v>
      </c>
      <c r="K258" s="10">
        <v>0</v>
      </c>
    </row>
    <row r="259" spans="1:11" x14ac:dyDescent="0.4">
      <c r="A259" s="25">
        <v>44509</v>
      </c>
      <c r="B259" s="11">
        <v>467.38</v>
      </c>
      <c r="C259" s="11">
        <v>447.27659999999997</v>
      </c>
      <c r="D259" s="11">
        <v>422.92930000000001</v>
      </c>
      <c r="E259" s="10">
        <f t="shared" ref="E259:E322" si="4">IF(AND(C259&gt;D259, C258&lt;D258), 1, 0)</f>
        <v>0</v>
      </c>
      <c r="G259" s="29">
        <v>44505</v>
      </c>
      <c r="H259">
        <v>468.53</v>
      </c>
      <c r="I259">
        <v>446.6</v>
      </c>
      <c r="J259">
        <v>422.08859999999999</v>
      </c>
      <c r="K259" s="10">
        <v>0</v>
      </c>
    </row>
    <row r="260" spans="1:11" x14ac:dyDescent="0.4">
      <c r="A260" s="25">
        <v>44510</v>
      </c>
      <c r="B260" s="11">
        <v>463.62</v>
      </c>
      <c r="C260" s="11">
        <v>447.51780000000002</v>
      </c>
      <c r="D260" s="11">
        <v>423.37540000000001</v>
      </c>
      <c r="E260" s="10">
        <f t="shared" si="4"/>
        <v>0</v>
      </c>
      <c r="G260" s="29">
        <v>44508</v>
      </c>
      <c r="H260">
        <v>468.93</v>
      </c>
      <c r="I260">
        <v>446.97359999999998</v>
      </c>
      <c r="J260">
        <v>422.51139999999998</v>
      </c>
      <c r="K260" s="10">
        <v>0</v>
      </c>
    </row>
    <row r="261" spans="1:11" x14ac:dyDescent="0.4">
      <c r="A261" s="25">
        <v>44511</v>
      </c>
      <c r="B261" s="11">
        <v>463.77</v>
      </c>
      <c r="C261" s="11">
        <v>447.75720000000001</v>
      </c>
      <c r="D261" s="11">
        <v>423.80599999999998</v>
      </c>
      <c r="E261" s="10">
        <f t="shared" si="4"/>
        <v>0</v>
      </c>
      <c r="G261" s="29">
        <v>44509</v>
      </c>
      <c r="H261">
        <v>467.38</v>
      </c>
      <c r="I261">
        <v>447.27659999999997</v>
      </c>
      <c r="J261">
        <v>422.92930000000001</v>
      </c>
      <c r="K261" s="10">
        <v>0</v>
      </c>
    </row>
    <row r="262" spans="1:11" x14ac:dyDescent="0.4">
      <c r="A262" s="25">
        <v>44512</v>
      </c>
      <c r="B262" s="11">
        <v>467.27</v>
      </c>
      <c r="C262" s="11">
        <v>448.03879999999998</v>
      </c>
      <c r="D262" s="11">
        <v>424.29199999999997</v>
      </c>
      <c r="E262" s="10">
        <f t="shared" si="4"/>
        <v>0</v>
      </c>
      <c r="G262" s="29">
        <v>44510</v>
      </c>
      <c r="H262">
        <v>463.62</v>
      </c>
      <c r="I262">
        <v>447.51780000000002</v>
      </c>
      <c r="J262">
        <v>423.37540000000001</v>
      </c>
      <c r="K262" s="10">
        <v>0</v>
      </c>
    </row>
    <row r="263" spans="1:11" x14ac:dyDescent="0.4">
      <c r="A263" s="25">
        <v>44515</v>
      </c>
      <c r="B263" s="11">
        <v>467.43</v>
      </c>
      <c r="C263" s="11">
        <v>448.32580000000002</v>
      </c>
      <c r="D263" s="11">
        <v>424.74799999999999</v>
      </c>
      <c r="E263" s="10">
        <f t="shared" si="4"/>
        <v>0</v>
      </c>
      <c r="G263" s="29">
        <v>44511</v>
      </c>
      <c r="H263">
        <v>463.77</v>
      </c>
      <c r="I263">
        <v>447.75720000000001</v>
      </c>
      <c r="J263">
        <v>423.80599999999998</v>
      </c>
      <c r="K263" s="10">
        <v>0</v>
      </c>
    </row>
    <row r="264" spans="1:11" x14ac:dyDescent="0.4">
      <c r="A264" s="25">
        <v>44516</v>
      </c>
      <c r="B264" s="11">
        <v>469.28</v>
      </c>
      <c r="C264" s="11">
        <v>448.68220000000002</v>
      </c>
      <c r="D264" s="11">
        <v>425.18669999999997</v>
      </c>
      <c r="E264" s="10">
        <f t="shared" si="4"/>
        <v>0</v>
      </c>
      <c r="G264" s="29">
        <v>44512</v>
      </c>
      <c r="H264">
        <v>467.27</v>
      </c>
      <c r="I264">
        <v>448.03879999999998</v>
      </c>
      <c r="J264">
        <v>424.29199999999997</v>
      </c>
      <c r="K264" s="10">
        <v>0</v>
      </c>
    </row>
    <row r="265" spans="1:11" x14ac:dyDescent="0.4">
      <c r="A265" s="25">
        <v>44517</v>
      </c>
      <c r="B265" s="11">
        <v>468.14</v>
      </c>
      <c r="C265" s="11">
        <v>449.02679999999998</v>
      </c>
      <c r="D265" s="11">
        <v>425.6182</v>
      </c>
      <c r="E265" s="10">
        <f t="shared" si="4"/>
        <v>0</v>
      </c>
      <c r="G265" s="29">
        <v>44515</v>
      </c>
      <c r="H265">
        <v>467.43</v>
      </c>
      <c r="I265">
        <v>448.32580000000002</v>
      </c>
      <c r="J265">
        <v>424.74799999999999</v>
      </c>
      <c r="K265" s="10">
        <v>0</v>
      </c>
    </row>
    <row r="266" spans="1:11" x14ac:dyDescent="0.4">
      <c r="A266" s="25">
        <v>44518</v>
      </c>
      <c r="B266" s="11">
        <v>469.73</v>
      </c>
      <c r="C266" s="11">
        <v>449.4418</v>
      </c>
      <c r="D266" s="11">
        <v>426.03579999999999</v>
      </c>
      <c r="E266" s="10">
        <f t="shared" si="4"/>
        <v>0</v>
      </c>
      <c r="G266" s="29">
        <v>44516</v>
      </c>
      <c r="H266">
        <v>469.28</v>
      </c>
      <c r="I266">
        <v>448.68220000000002</v>
      </c>
      <c r="J266">
        <v>425.18669999999997</v>
      </c>
      <c r="K266" s="10">
        <v>0</v>
      </c>
    </row>
    <row r="267" spans="1:11" x14ac:dyDescent="0.4">
      <c r="A267" s="25">
        <v>44519</v>
      </c>
      <c r="B267" s="11">
        <v>468.89</v>
      </c>
      <c r="C267" s="11">
        <v>449.91079999999999</v>
      </c>
      <c r="D267" s="11">
        <v>426.4418</v>
      </c>
      <c r="E267" s="10">
        <f t="shared" si="4"/>
        <v>0</v>
      </c>
      <c r="G267" s="29">
        <v>44517</v>
      </c>
      <c r="H267">
        <v>468.14</v>
      </c>
      <c r="I267">
        <v>449.02679999999998</v>
      </c>
      <c r="J267">
        <v>425.6182</v>
      </c>
      <c r="K267" s="10">
        <v>0</v>
      </c>
    </row>
    <row r="268" spans="1:11" x14ac:dyDescent="0.4">
      <c r="A268" s="25">
        <v>44522</v>
      </c>
      <c r="B268" s="11">
        <v>467.57</v>
      </c>
      <c r="C268" s="11">
        <v>450.3306</v>
      </c>
      <c r="D268" s="11">
        <v>426.827</v>
      </c>
      <c r="E268" s="10">
        <f t="shared" si="4"/>
        <v>0</v>
      </c>
      <c r="G268" s="29">
        <v>44518</v>
      </c>
      <c r="H268">
        <v>469.73</v>
      </c>
      <c r="I268">
        <v>449.4418</v>
      </c>
      <c r="J268">
        <v>426.03579999999999</v>
      </c>
      <c r="K268" s="10">
        <v>0</v>
      </c>
    </row>
    <row r="269" spans="1:11" x14ac:dyDescent="0.4">
      <c r="A269" s="25">
        <v>44523</v>
      </c>
      <c r="B269" s="11">
        <v>468.19</v>
      </c>
      <c r="C269" s="11">
        <v>450.81099999999998</v>
      </c>
      <c r="D269" s="11">
        <v>427.21679999999998</v>
      </c>
      <c r="E269" s="10">
        <f t="shared" si="4"/>
        <v>0</v>
      </c>
      <c r="G269" s="29">
        <v>44519</v>
      </c>
      <c r="H269">
        <v>468.89</v>
      </c>
      <c r="I269">
        <v>449.91079999999999</v>
      </c>
      <c r="J269">
        <v>426.4418</v>
      </c>
      <c r="K269" s="10">
        <v>0</v>
      </c>
    </row>
    <row r="270" spans="1:11" x14ac:dyDescent="0.4">
      <c r="A270" s="25">
        <v>44524</v>
      </c>
      <c r="B270" s="11">
        <v>469.44</v>
      </c>
      <c r="C270" s="11">
        <v>451.24220000000003</v>
      </c>
      <c r="D270" s="11">
        <v>427.61360000000002</v>
      </c>
      <c r="E270" s="10">
        <f t="shared" si="4"/>
        <v>0</v>
      </c>
      <c r="G270" s="29">
        <v>44522</v>
      </c>
      <c r="H270">
        <v>467.57</v>
      </c>
      <c r="I270">
        <v>450.3306</v>
      </c>
      <c r="J270">
        <v>426.827</v>
      </c>
      <c r="K270" s="10">
        <v>0</v>
      </c>
    </row>
    <row r="271" spans="1:11" x14ac:dyDescent="0.4">
      <c r="A271" s="25">
        <v>44526</v>
      </c>
      <c r="B271" s="11">
        <v>458.97</v>
      </c>
      <c r="C271" s="11">
        <v>451.47820000000002</v>
      </c>
      <c r="D271" s="11">
        <v>427.95479999999998</v>
      </c>
      <c r="E271" s="10">
        <f t="shared" si="4"/>
        <v>0</v>
      </c>
      <c r="G271" s="29">
        <v>44523</v>
      </c>
      <c r="H271">
        <v>468.19</v>
      </c>
      <c r="I271">
        <v>450.81099999999998</v>
      </c>
      <c r="J271">
        <v>427.21679999999998</v>
      </c>
      <c r="K271" s="10">
        <v>0</v>
      </c>
    </row>
    <row r="272" spans="1:11" x14ac:dyDescent="0.4">
      <c r="A272" s="25">
        <v>44529</v>
      </c>
      <c r="B272" s="11">
        <v>464.6</v>
      </c>
      <c r="C272" s="11">
        <v>451.94220000000001</v>
      </c>
      <c r="D272" s="11">
        <v>428.31459999999998</v>
      </c>
      <c r="E272" s="10">
        <f t="shared" si="4"/>
        <v>0</v>
      </c>
      <c r="G272" s="29">
        <v>44524</v>
      </c>
      <c r="H272">
        <v>469.44</v>
      </c>
      <c r="I272">
        <v>451.24220000000003</v>
      </c>
      <c r="J272">
        <v>427.61360000000002</v>
      </c>
      <c r="K272" s="10">
        <v>0</v>
      </c>
    </row>
    <row r="273" spans="1:11" x14ac:dyDescent="0.4">
      <c r="A273" s="25">
        <v>44530</v>
      </c>
      <c r="B273" s="11">
        <v>455.56</v>
      </c>
      <c r="C273" s="11">
        <v>452.37259999999998</v>
      </c>
      <c r="D273" s="11">
        <v>428.63099999999997</v>
      </c>
      <c r="E273" s="10">
        <f t="shared" si="4"/>
        <v>0</v>
      </c>
      <c r="G273" s="29">
        <v>44526</v>
      </c>
      <c r="H273">
        <v>458.97</v>
      </c>
      <c r="I273">
        <v>451.47820000000002</v>
      </c>
      <c r="J273">
        <v>427.95479999999998</v>
      </c>
      <c r="K273" s="10">
        <v>0</v>
      </c>
    </row>
    <row r="274" spans="1:11" x14ac:dyDescent="0.4">
      <c r="A274" s="25">
        <v>44531</v>
      </c>
      <c r="B274" s="11">
        <v>450.5</v>
      </c>
      <c r="C274" s="11">
        <v>452.71</v>
      </c>
      <c r="D274" s="11">
        <v>428.92149999999998</v>
      </c>
      <c r="E274" s="10">
        <f t="shared" si="4"/>
        <v>0</v>
      </c>
      <c r="G274" s="29">
        <v>44529</v>
      </c>
      <c r="H274">
        <v>464.6</v>
      </c>
      <c r="I274">
        <v>451.94220000000001</v>
      </c>
      <c r="J274">
        <v>428.31459999999998</v>
      </c>
      <c r="K274" s="10">
        <v>0</v>
      </c>
    </row>
    <row r="275" spans="1:11" x14ac:dyDescent="0.4">
      <c r="A275" s="25">
        <v>44532</v>
      </c>
      <c r="B275" s="11">
        <v>457.4</v>
      </c>
      <c r="C275" s="11">
        <v>453.10079999999999</v>
      </c>
      <c r="D275" s="11">
        <v>429.25490000000002</v>
      </c>
      <c r="E275" s="10">
        <f t="shared" si="4"/>
        <v>0</v>
      </c>
      <c r="G275" s="29">
        <v>44530</v>
      </c>
      <c r="H275">
        <v>455.56</v>
      </c>
      <c r="I275">
        <v>452.37259999999998</v>
      </c>
      <c r="J275">
        <v>428.63099999999997</v>
      </c>
      <c r="K275" s="10">
        <v>0</v>
      </c>
    </row>
    <row r="276" spans="1:11" x14ac:dyDescent="0.4">
      <c r="A276" s="25">
        <v>44533</v>
      </c>
      <c r="B276" s="11">
        <v>453.42</v>
      </c>
      <c r="C276" s="11">
        <v>453.30560000000003</v>
      </c>
      <c r="D276" s="11">
        <v>429.5718</v>
      </c>
      <c r="E276" s="10">
        <f t="shared" si="4"/>
        <v>0</v>
      </c>
      <c r="G276" s="29">
        <v>44531</v>
      </c>
      <c r="H276">
        <v>450.5</v>
      </c>
      <c r="I276">
        <v>452.71</v>
      </c>
      <c r="J276">
        <v>428.92149999999998</v>
      </c>
      <c r="K276" s="10">
        <v>0</v>
      </c>
    </row>
    <row r="277" spans="1:11" x14ac:dyDescent="0.4">
      <c r="A277" s="25">
        <v>44536</v>
      </c>
      <c r="B277" s="11">
        <v>458.79</v>
      </c>
      <c r="C277" s="11">
        <v>453.60320000000002</v>
      </c>
      <c r="D277" s="11">
        <v>429.93060000000003</v>
      </c>
      <c r="E277" s="10">
        <f t="shared" si="4"/>
        <v>0</v>
      </c>
      <c r="G277" s="29">
        <v>44532</v>
      </c>
      <c r="H277">
        <v>457.4</v>
      </c>
      <c r="I277">
        <v>453.10079999999999</v>
      </c>
      <c r="J277">
        <v>429.25490000000002</v>
      </c>
      <c r="K277" s="10">
        <v>0</v>
      </c>
    </row>
    <row r="278" spans="1:11" x14ac:dyDescent="0.4">
      <c r="A278" s="25">
        <v>44537</v>
      </c>
      <c r="B278" s="11">
        <v>468.28</v>
      </c>
      <c r="C278" s="11">
        <v>454.11599999999999</v>
      </c>
      <c r="D278" s="11">
        <v>430.33460000000002</v>
      </c>
      <c r="E278" s="10">
        <f t="shared" si="4"/>
        <v>0</v>
      </c>
      <c r="G278" s="29">
        <v>44533</v>
      </c>
      <c r="H278">
        <v>453.42</v>
      </c>
      <c r="I278">
        <v>453.30560000000003</v>
      </c>
      <c r="J278">
        <v>429.5718</v>
      </c>
      <c r="K278" s="10">
        <v>0</v>
      </c>
    </row>
    <row r="279" spans="1:11" x14ac:dyDescent="0.4">
      <c r="A279" s="25">
        <v>44538</v>
      </c>
      <c r="B279" s="11">
        <v>469.52</v>
      </c>
      <c r="C279" s="11">
        <v>454.83199999999999</v>
      </c>
      <c r="D279" s="11">
        <v>430.72329999999999</v>
      </c>
      <c r="E279" s="10">
        <f t="shared" si="4"/>
        <v>0</v>
      </c>
      <c r="G279" s="29">
        <v>44536</v>
      </c>
      <c r="H279">
        <v>458.79</v>
      </c>
      <c r="I279">
        <v>453.60320000000002</v>
      </c>
      <c r="J279">
        <v>429.93060000000003</v>
      </c>
      <c r="K279" s="10">
        <v>0</v>
      </c>
    </row>
    <row r="280" spans="1:11" x14ac:dyDescent="0.4">
      <c r="A280" s="25">
        <v>44539</v>
      </c>
      <c r="B280" s="11">
        <v>466.35</v>
      </c>
      <c r="C280" s="11">
        <v>455.47</v>
      </c>
      <c r="D280" s="11">
        <v>431.14339999999999</v>
      </c>
      <c r="E280" s="10">
        <f t="shared" si="4"/>
        <v>0</v>
      </c>
      <c r="G280" s="29">
        <v>44537</v>
      </c>
      <c r="H280">
        <v>468.28</v>
      </c>
      <c r="I280">
        <v>454.11599999999999</v>
      </c>
      <c r="J280">
        <v>430.33460000000002</v>
      </c>
      <c r="K280" s="10">
        <v>0</v>
      </c>
    </row>
    <row r="281" spans="1:11" x14ac:dyDescent="0.4">
      <c r="A281" s="25">
        <v>44540</v>
      </c>
      <c r="B281" s="11">
        <v>470.74</v>
      </c>
      <c r="C281" s="11">
        <v>456.30200000000002</v>
      </c>
      <c r="D281" s="11">
        <v>431.59530000000001</v>
      </c>
      <c r="E281" s="10">
        <f t="shared" si="4"/>
        <v>0</v>
      </c>
      <c r="G281" s="29">
        <v>44538</v>
      </c>
      <c r="H281">
        <v>469.52</v>
      </c>
      <c r="I281">
        <v>454.83199999999999</v>
      </c>
      <c r="J281">
        <v>430.72329999999999</v>
      </c>
      <c r="K281" s="10">
        <v>0</v>
      </c>
    </row>
    <row r="282" spans="1:11" x14ac:dyDescent="0.4">
      <c r="A282" s="25">
        <v>44543</v>
      </c>
      <c r="B282" s="11">
        <v>466.57</v>
      </c>
      <c r="C282" s="11">
        <v>456.9486</v>
      </c>
      <c r="D282" s="11">
        <v>431.98020000000002</v>
      </c>
      <c r="E282" s="10">
        <f t="shared" si="4"/>
        <v>0</v>
      </c>
      <c r="G282" s="29">
        <v>44539</v>
      </c>
      <c r="H282">
        <v>466.35</v>
      </c>
      <c r="I282">
        <v>455.47</v>
      </c>
      <c r="J282">
        <v>431.14339999999999</v>
      </c>
      <c r="K282" s="10">
        <v>0</v>
      </c>
    </row>
    <row r="283" spans="1:11" x14ac:dyDescent="0.4">
      <c r="A283" s="25">
        <v>44544</v>
      </c>
      <c r="B283" s="11">
        <v>463.36</v>
      </c>
      <c r="C283" s="11">
        <v>457.64299999999997</v>
      </c>
      <c r="D283" s="11">
        <v>432.36439999999999</v>
      </c>
      <c r="E283" s="10">
        <f t="shared" si="4"/>
        <v>0</v>
      </c>
      <c r="G283" s="29">
        <v>44540</v>
      </c>
      <c r="H283">
        <v>470.74</v>
      </c>
      <c r="I283">
        <v>456.30200000000002</v>
      </c>
      <c r="J283">
        <v>431.59530000000001</v>
      </c>
      <c r="K283" s="10">
        <v>0</v>
      </c>
    </row>
    <row r="284" spans="1:11" x14ac:dyDescent="0.4">
      <c r="A284" s="25">
        <v>44545</v>
      </c>
      <c r="B284" s="11">
        <v>470.6</v>
      </c>
      <c r="C284" s="11">
        <v>458.39299999999997</v>
      </c>
      <c r="D284" s="11">
        <v>432.81020000000001</v>
      </c>
      <c r="E284" s="10">
        <f t="shared" si="4"/>
        <v>0</v>
      </c>
      <c r="G284" s="29">
        <v>44543</v>
      </c>
      <c r="H284">
        <v>466.57</v>
      </c>
      <c r="I284">
        <v>456.9486</v>
      </c>
      <c r="J284">
        <v>431.98020000000002</v>
      </c>
      <c r="K284" s="10">
        <v>0</v>
      </c>
    </row>
    <row r="285" spans="1:11" x14ac:dyDescent="0.4">
      <c r="A285" s="25">
        <v>44546</v>
      </c>
      <c r="B285" s="11">
        <v>466.45</v>
      </c>
      <c r="C285" s="11">
        <v>459.024</v>
      </c>
      <c r="D285" s="11">
        <v>433.25900000000001</v>
      </c>
      <c r="E285" s="10">
        <f t="shared" si="4"/>
        <v>0</v>
      </c>
      <c r="G285" s="29">
        <v>44544</v>
      </c>
      <c r="H285">
        <v>463.36</v>
      </c>
      <c r="I285">
        <v>457.64299999999997</v>
      </c>
      <c r="J285">
        <v>432.36439999999999</v>
      </c>
      <c r="K285" s="10">
        <v>0</v>
      </c>
    </row>
    <row r="286" spans="1:11" x14ac:dyDescent="0.4">
      <c r="A286" s="25">
        <v>44547</v>
      </c>
      <c r="B286" s="11">
        <v>459.87</v>
      </c>
      <c r="C286" s="11">
        <v>459.44819999999999</v>
      </c>
      <c r="D286" s="11">
        <v>433.64019999999999</v>
      </c>
      <c r="E286" s="10">
        <f t="shared" si="4"/>
        <v>0</v>
      </c>
      <c r="G286" s="29">
        <v>44545</v>
      </c>
      <c r="H286">
        <v>470.6</v>
      </c>
      <c r="I286">
        <v>458.39299999999997</v>
      </c>
      <c r="J286">
        <v>432.81020000000001</v>
      </c>
      <c r="K286" s="10">
        <v>0</v>
      </c>
    </row>
    <row r="287" spans="1:11" x14ac:dyDescent="0.4">
      <c r="A287" s="25">
        <v>44550</v>
      </c>
      <c r="B287" s="11">
        <v>454.98</v>
      </c>
      <c r="C287" s="11">
        <v>459.79059999999998</v>
      </c>
      <c r="D287" s="11">
        <v>434.00650000000002</v>
      </c>
      <c r="E287" s="10">
        <f t="shared" si="4"/>
        <v>0</v>
      </c>
      <c r="G287" s="29">
        <v>44546</v>
      </c>
      <c r="H287">
        <v>466.45</v>
      </c>
      <c r="I287">
        <v>459.024</v>
      </c>
      <c r="J287">
        <v>433.25900000000001</v>
      </c>
      <c r="K287" s="10">
        <v>0</v>
      </c>
    </row>
    <row r="288" spans="1:11" x14ac:dyDescent="0.4">
      <c r="A288" s="25">
        <v>44551</v>
      </c>
      <c r="B288" s="11">
        <v>463.06</v>
      </c>
      <c r="C288" s="11">
        <v>460.358</v>
      </c>
      <c r="D288" s="11">
        <v>434.38600000000002</v>
      </c>
      <c r="E288" s="10">
        <f t="shared" si="4"/>
        <v>0</v>
      </c>
      <c r="G288" s="29">
        <v>44547</v>
      </c>
      <c r="H288">
        <v>459.87</v>
      </c>
      <c r="I288">
        <v>459.44819999999999</v>
      </c>
      <c r="J288">
        <v>433.64019999999999</v>
      </c>
      <c r="K288" s="10">
        <v>0</v>
      </c>
    </row>
    <row r="289" spans="1:11" x14ac:dyDescent="0.4">
      <c r="A289" s="25">
        <v>44552</v>
      </c>
      <c r="B289" s="11">
        <v>467.69</v>
      </c>
      <c r="C289" s="11">
        <v>461.0394</v>
      </c>
      <c r="D289" s="11">
        <v>434.7765</v>
      </c>
      <c r="E289" s="10">
        <f t="shared" si="4"/>
        <v>0</v>
      </c>
      <c r="G289" s="29">
        <v>44550</v>
      </c>
      <c r="H289">
        <v>454.98</v>
      </c>
      <c r="I289">
        <v>459.79059999999998</v>
      </c>
      <c r="J289">
        <v>434.00650000000002</v>
      </c>
      <c r="K289" s="10">
        <v>0</v>
      </c>
    </row>
    <row r="290" spans="1:11" x14ac:dyDescent="0.4">
      <c r="A290" s="25">
        <v>44553</v>
      </c>
      <c r="B290" s="11">
        <v>470.6</v>
      </c>
      <c r="C290" s="11">
        <v>461.74779999999998</v>
      </c>
      <c r="D290" s="11">
        <v>435.16180000000003</v>
      </c>
      <c r="E290" s="10">
        <f t="shared" si="4"/>
        <v>0</v>
      </c>
      <c r="G290" s="29">
        <v>44551</v>
      </c>
      <c r="H290">
        <v>463.06</v>
      </c>
      <c r="I290">
        <v>460.358</v>
      </c>
      <c r="J290">
        <v>434.38600000000002</v>
      </c>
      <c r="K290" s="10">
        <v>0</v>
      </c>
    </row>
    <row r="291" spans="1:11" x14ac:dyDescent="0.4">
      <c r="A291" s="25">
        <v>44557</v>
      </c>
      <c r="B291" s="11">
        <v>477.26</v>
      </c>
      <c r="C291" s="11">
        <v>462.44299999999998</v>
      </c>
      <c r="D291" s="11">
        <v>435.57780000000002</v>
      </c>
      <c r="E291" s="10">
        <f t="shared" si="4"/>
        <v>0</v>
      </c>
      <c r="G291" s="29">
        <v>44552</v>
      </c>
      <c r="H291">
        <v>467.69</v>
      </c>
      <c r="I291">
        <v>461.0394</v>
      </c>
      <c r="J291">
        <v>434.7765</v>
      </c>
      <c r="K291" s="10">
        <v>0</v>
      </c>
    </row>
    <row r="292" spans="1:11" x14ac:dyDescent="0.4">
      <c r="A292" s="25">
        <v>44558</v>
      </c>
      <c r="B292" s="11">
        <v>476.87</v>
      </c>
      <c r="C292" s="11">
        <v>463.06299999999999</v>
      </c>
      <c r="D292" s="11">
        <v>435.98020000000002</v>
      </c>
      <c r="E292" s="10">
        <f t="shared" si="4"/>
        <v>0</v>
      </c>
      <c r="G292" s="29">
        <v>44553</v>
      </c>
      <c r="H292">
        <v>470.6</v>
      </c>
      <c r="I292">
        <v>461.74779999999998</v>
      </c>
      <c r="J292">
        <v>435.16180000000003</v>
      </c>
      <c r="K292" s="10">
        <v>0</v>
      </c>
    </row>
    <row r="293" spans="1:11" x14ac:dyDescent="0.4">
      <c r="A293" s="25">
        <v>44559</v>
      </c>
      <c r="B293" s="11">
        <v>477.48</v>
      </c>
      <c r="C293" s="11">
        <v>463.66879999999998</v>
      </c>
      <c r="D293" s="11">
        <v>436.38799999999998</v>
      </c>
      <c r="E293" s="10">
        <f t="shared" si="4"/>
        <v>0</v>
      </c>
      <c r="G293" s="29">
        <v>44557</v>
      </c>
      <c r="H293">
        <v>477.26</v>
      </c>
      <c r="I293">
        <v>462.44299999999998</v>
      </c>
      <c r="J293">
        <v>435.57780000000002</v>
      </c>
      <c r="K293" s="10">
        <v>0</v>
      </c>
    </row>
    <row r="294" spans="1:11" x14ac:dyDescent="0.4">
      <c r="A294" s="25">
        <v>44560</v>
      </c>
      <c r="B294" s="11">
        <v>476.16</v>
      </c>
      <c r="C294" s="11">
        <v>464.17919999999998</v>
      </c>
      <c r="D294" s="11">
        <v>436.78250000000003</v>
      </c>
      <c r="E294" s="10">
        <f t="shared" si="4"/>
        <v>0</v>
      </c>
      <c r="G294" s="29">
        <v>44558</v>
      </c>
      <c r="H294">
        <v>476.87</v>
      </c>
      <c r="I294">
        <v>463.06299999999999</v>
      </c>
      <c r="J294">
        <v>435.98020000000002</v>
      </c>
      <c r="K294" s="10">
        <v>0</v>
      </c>
    </row>
    <row r="295" spans="1:11" x14ac:dyDescent="0.4">
      <c r="A295" s="25">
        <v>44561</v>
      </c>
      <c r="B295" s="11">
        <v>474.96</v>
      </c>
      <c r="C295" s="11">
        <v>464.6302</v>
      </c>
      <c r="D295" s="11">
        <v>437.19990000000001</v>
      </c>
      <c r="E295" s="10">
        <f t="shared" si="4"/>
        <v>0</v>
      </c>
      <c r="G295" s="29">
        <v>44559</v>
      </c>
      <c r="H295">
        <v>477.48</v>
      </c>
      <c r="I295">
        <v>463.66879999999998</v>
      </c>
      <c r="J295">
        <v>436.38799999999998</v>
      </c>
      <c r="K295" s="10">
        <v>0</v>
      </c>
    </row>
    <row r="296" spans="1:11" x14ac:dyDescent="0.4">
      <c r="A296" s="25">
        <v>44564</v>
      </c>
      <c r="B296" s="11">
        <v>477.71</v>
      </c>
      <c r="C296" s="11">
        <v>465.11259999999999</v>
      </c>
      <c r="D296" s="11">
        <v>437.64100000000002</v>
      </c>
      <c r="E296" s="10">
        <f t="shared" si="4"/>
        <v>0</v>
      </c>
      <c r="G296" s="29">
        <v>44560</v>
      </c>
      <c r="H296">
        <v>476.16</v>
      </c>
      <c r="I296">
        <v>464.17919999999998</v>
      </c>
      <c r="J296">
        <v>436.78250000000003</v>
      </c>
      <c r="K296" s="10">
        <v>0</v>
      </c>
    </row>
    <row r="297" spans="1:11" x14ac:dyDescent="0.4">
      <c r="A297" s="25">
        <v>44565</v>
      </c>
      <c r="B297" s="11">
        <v>477.55</v>
      </c>
      <c r="C297" s="11">
        <v>465.60120000000001</v>
      </c>
      <c r="D297" s="11">
        <v>438.06580000000002</v>
      </c>
      <c r="E297" s="10">
        <f t="shared" si="4"/>
        <v>0</v>
      </c>
      <c r="G297" s="29">
        <v>44561</v>
      </c>
      <c r="H297">
        <v>474.96</v>
      </c>
      <c r="I297">
        <v>464.6302</v>
      </c>
      <c r="J297">
        <v>437.19990000000001</v>
      </c>
      <c r="K297" s="10">
        <v>0</v>
      </c>
    </row>
    <row r="298" spans="1:11" x14ac:dyDescent="0.4">
      <c r="A298" s="25">
        <v>44566</v>
      </c>
      <c r="B298" s="11">
        <v>468.38</v>
      </c>
      <c r="C298" s="11">
        <v>465.8578</v>
      </c>
      <c r="D298" s="11">
        <v>438.46019999999999</v>
      </c>
      <c r="E298" s="10">
        <f t="shared" si="4"/>
        <v>0</v>
      </c>
      <c r="G298" s="29">
        <v>44564</v>
      </c>
      <c r="H298">
        <v>477.71</v>
      </c>
      <c r="I298">
        <v>465.11259999999999</v>
      </c>
      <c r="J298">
        <v>437.64100000000002</v>
      </c>
      <c r="K298" s="10">
        <v>0</v>
      </c>
    </row>
    <row r="299" spans="1:11" x14ac:dyDescent="0.4">
      <c r="A299" s="25">
        <v>44567</v>
      </c>
      <c r="B299" s="11">
        <v>467.94</v>
      </c>
      <c r="C299" s="11">
        <v>466.09739999999999</v>
      </c>
      <c r="D299" s="11">
        <v>438.86239999999998</v>
      </c>
      <c r="E299" s="10">
        <f t="shared" si="4"/>
        <v>0</v>
      </c>
      <c r="G299" s="29">
        <v>44565</v>
      </c>
      <c r="H299">
        <v>477.55</v>
      </c>
      <c r="I299">
        <v>465.60120000000001</v>
      </c>
      <c r="J299">
        <v>438.06580000000002</v>
      </c>
      <c r="K299" s="10">
        <v>0</v>
      </c>
    </row>
    <row r="300" spans="1:11" x14ac:dyDescent="0.4">
      <c r="A300" s="25">
        <v>44568</v>
      </c>
      <c r="B300" s="11">
        <v>466.09</v>
      </c>
      <c r="C300" s="11">
        <v>466.34039999999999</v>
      </c>
      <c r="D300" s="11">
        <v>439.24430000000001</v>
      </c>
      <c r="E300" s="10">
        <f t="shared" si="4"/>
        <v>0</v>
      </c>
      <c r="G300" s="29">
        <v>44566</v>
      </c>
      <c r="H300">
        <v>468.38</v>
      </c>
      <c r="I300">
        <v>465.8578</v>
      </c>
      <c r="J300">
        <v>438.46019999999999</v>
      </c>
      <c r="K300" s="10">
        <v>0</v>
      </c>
    </row>
    <row r="301" spans="1:11" x14ac:dyDescent="0.4">
      <c r="A301" s="25">
        <v>44571</v>
      </c>
      <c r="B301" s="11">
        <v>465.51</v>
      </c>
      <c r="C301" s="11">
        <v>466.48419999999999</v>
      </c>
      <c r="D301" s="11">
        <v>439.59199999999998</v>
      </c>
      <c r="E301" s="10">
        <f t="shared" si="4"/>
        <v>0</v>
      </c>
      <c r="G301" s="29">
        <v>44567</v>
      </c>
      <c r="H301">
        <v>467.94</v>
      </c>
      <c r="I301">
        <v>466.09739999999999</v>
      </c>
      <c r="J301">
        <v>438.86239999999998</v>
      </c>
      <c r="K301" s="10">
        <v>0</v>
      </c>
    </row>
    <row r="302" spans="1:11" x14ac:dyDescent="0.4">
      <c r="A302" s="25">
        <v>44572</v>
      </c>
      <c r="B302" s="11">
        <v>469.75</v>
      </c>
      <c r="C302" s="11">
        <v>466.69420000000002</v>
      </c>
      <c r="D302" s="11">
        <v>439.96179999999998</v>
      </c>
      <c r="E302" s="10">
        <f t="shared" si="4"/>
        <v>0</v>
      </c>
      <c r="G302" s="29">
        <v>44568</v>
      </c>
      <c r="H302">
        <v>466.09</v>
      </c>
      <c r="I302">
        <v>466.34039999999999</v>
      </c>
      <c r="J302">
        <v>439.24430000000001</v>
      </c>
      <c r="K302" s="10">
        <v>0</v>
      </c>
    </row>
    <row r="303" spans="1:11" x14ac:dyDescent="0.4">
      <c r="A303" s="25">
        <v>44573</v>
      </c>
      <c r="B303" s="11">
        <v>471.02</v>
      </c>
      <c r="C303" s="11">
        <v>466.91379999999998</v>
      </c>
      <c r="D303" s="11">
        <v>440.34320000000002</v>
      </c>
      <c r="E303" s="10">
        <f t="shared" si="4"/>
        <v>0</v>
      </c>
      <c r="G303" s="29">
        <v>44571</v>
      </c>
      <c r="H303">
        <v>465.51</v>
      </c>
      <c r="I303">
        <v>466.48419999999999</v>
      </c>
      <c r="J303">
        <v>439.59199999999998</v>
      </c>
      <c r="K303" s="10">
        <v>0</v>
      </c>
    </row>
    <row r="304" spans="1:11" x14ac:dyDescent="0.4">
      <c r="A304" s="25">
        <v>44574</v>
      </c>
      <c r="B304" s="11">
        <v>464.53</v>
      </c>
      <c r="C304" s="11">
        <v>466.96640000000002</v>
      </c>
      <c r="D304" s="11">
        <v>440.68419999999998</v>
      </c>
      <c r="E304" s="10">
        <f t="shared" si="4"/>
        <v>0</v>
      </c>
      <c r="G304" s="29">
        <v>44572</v>
      </c>
      <c r="H304">
        <v>469.75</v>
      </c>
      <c r="I304">
        <v>466.69420000000002</v>
      </c>
      <c r="J304">
        <v>439.96179999999998</v>
      </c>
      <c r="K304" s="10">
        <v>0</v>
      </c>
    </row>
    <row r="305" spans="1:11" x14ac:dyDescent="0.4">
      <c r="A305" s="25">
        <v>44575</v>
      </c>
      <c r="B305" s="11">
        <v>464.72</v>
      </c>
      <c r="C305" s="11">
        <v>466.96640000000002</v>
      </c>
      <c r="D305" s="11">
        <v>441.00479999999999</v>
      </c>
      <c r="E305" s="10">
        <f t="shared" si="4"/>
        <v>0</v>
      </c>
      <c r="G305" s="29">
        <v>44573</v>
      </c>
      <c r="H305">
        <v>471.02</v>
      </c>
      <c r="I305">
        <v>466.91379999999998</v>
      </c>
      <c r="J305">
        <v>440.34320000000002</v>
      </c>
      <c r="K305" s="10">
        <v>0</v>
      </c>
    </row>
    <row r="306" spans="1:11" x14ac:dyDescent="0.4">
      <c r="A306" s="25">
        <v>44579</v>
      </c>
      <c r="B306" s="11">
        <v>456.49</v>
      </c>
      <c r="C306" s="11">
        <v>466.75799999999998</v>
      </c>
      <c r="D306" s="11">
        <v>441.25540000000001</v>
      </c>
      <c r="E306" s="10">
        <f t="shared" si="4"/>
        <v>0</v>
      </c>
      <c r="G306" s="29">
        <v>44574</v>
      </c>
      <c r="H306">
        <v>464.53</v>
      </c>
      <c r="I306">
        <v>466.96640000000002</v>
      </c>
      <c r="J306">
        <v>440.68419999999998</v>
      </c>
      <c r="K306" s="10">
        <v>0</v>
      </c>
    </row>
    <row r="307" spans="1:11" x14ac:dyDescent="0.4">
      <c r="A307" s="25">
        <v>44580</v>
      </c>
      <c r="B307" s="11">
        <v>451.75</v>
      </c>
      <c r="C307" s="11">
        <v>466.42239999999998</v>
      </c>
      <c r="D307" s="11">
        <v>441.48360000000002</v>
      </c>
      <c r="E307" s="10">
        <f t="shared" si="4"/>
        <v>0</v>
      </c>
      <c r="G307" s="29">
        <v>44575</v>
      </c>
      <c r="H307">
        <v>464.72</v>
      </c>
      <c r="I307">
        <v>466.96640000000002</v>
      </c>
      <c r="J307">
        <v>441.00479999999999</v>
      </c>
      <c r="K307" s="10">
        <v>0</v>
      </c>
    </row>
    <row r="308" spans="1:11" x14ac:dyDescent="0.4">
      <c r="A308" s="25">
        <v>44581</v>
      </c>
      <c r="B308" s="11">
        <v>446.75</v>
      </c>
      <c r="C308" s="11">
        <v>465.97879999999998</v>
      </c>
      <c r="D308" s="11">
        <v>441.68439999999998</v>
      </c>
      <c r="E308" s="10">
        <f t="shared" si="4"/>
        <v>0</v>
      </c>
      <c r="G308" s="29">
        <v>44579</v>
      </c>
      <c r="H308">
        <v>456.49</v>
      </c>
      <c r="I308">
        <v>466.75799999999998</v>
      </c>
      <c r="J308">
        <v>441.25540000000001</v>
      </c>
      <c r="K308" s="10">
        <v>0</v>
      </c>
    </row>
    <row r="309" spans="1:11" x14ac:dyDescent="0.4">
      <c r="A309" s="25">
        <v>44582</v>
      </c>
      <c r="B309" s="11">
        <v>437.98</v>
      </c>
      <c r="C309" s="11">
        <v>465.39080000000001</v>
      </c>
      <c r="D309" s="11">
        <v>441.83170000000001</v>
      </c>
      <c r="E309" s="10">
        <f t="shared" si="4"/>
        <v>0</v>
      </c>
      <c r="G309" s="29">
        <v>44580</v>
      </c>
      <c r="H309">
        <v>451.75</v>
      </c>
      <c r="I309">
        <v>466.42239999999998</v>
      </c>
      <c r="J309">
        <v>441.48360000000002</v>
      </c>
      <c r="K309" s="10">
        <v>0</v>
      </c>
    </row>
    <row r="310" spans="1:11" x14ac:dyDescent="0.4">
      <c r="A310" s="25">
        <v>44585</v>
      </c>
      <c r="B310" s="11">
        <v>439.84</v>
      </c>
      <c r="C310" s="11">
        <v>464.91520000000003</v>
      </c>
      <c r="D310" s="11">
        <v>441.97340000000003</v>
      </c>
      <c r="E310" s="10">
        <f t="shared" si="4"/>
        <v>0</v>
      </c>
      <c r="G310" s="29">
        <v>44581</v>
      </c>
      <c r="H310">
        <v>446.75</v>
      </c>
      <c r="I310">
        <v>465.97879999999998</v>
      </c>
      <c r="J310">
        <v>441.68439999999998</v>
      </c>
      <c r="K310" s="10">
        <v>0</v>
      </c>
    </row>
    <row r="311" spans="1:11" x14ac:dyDescent="0.4">
      <c r="A311" s="25">
        <v>44586</v>
      </c>
      <c r="B311" s="11">
        <v>434.47</v>
      </c>
      <c r="C311" s="11">
        <v>464.32920000000001</v>
      </c>
      <c r="D311" s="11">
        <v>442.08760000000001</v>
      </c>
      <c r="E311" s="10">
        <f t="shared" si="4"/>
        <v>0</v>
      </c>
      <c r="G311" s="29">
        <v>44582</v>
      </c>
      <c r="H311">
        <v>437.98</v>
      </c>
      <c r="I311">
        <v>465.39080000000001</v>
      </c>
      <c r="J311">
        <v>441.83170000000001</v>
      </c>
      <c r="K311" s="10">
        <v>0</v>
      </c>
    </row>
    <row r="312" spans="1:11" x14ac:dyDescent="0.4">
      <c r="A312" s="25">
        <v>44587</v>
      </c>
      <c r="B312" s="11">
        <v>433.38</v>
      </c>
      <c r="C312" s="11">
        <v>463.65140000000002</v>
      </c>
      <c r="D312" s="11">
        <v>442.1902</v>
      </c>
      <c r="E312" s="10">
        <f t="shared" si="4"/>
        <v>0</v>
      </c>
      <c r="G312" s="29">
        <v>44585</v>
      </c>
      <c r="H312">
        <v>439.84</v>
      </c>
      <c r="I312">
        <v>464.91520000000003</v>
      </c>
      <c r="J312">
        <v>441.97340000000003</v>
      </c>
      <c r="K312" s="10">
        <v>0</v>
      </c>
    </row>
    <row r="313" spans="1:11" x14ac:dyDescent="0.4">
      <c r="A313" s="25">
        <v>44588</v>
      </c>
      <c r="B313" s="11">
        <v>431.24</v>
      </c>
      <c r="C313" s="11">
        <v>462.92759999999998</v>
      </c>
      <c r="D313" s="11">
        <v>442.28919999999999</v>
      </c>
      <c r="E313" s="10">
        <f t="shared" si="4"/>
        <v>0</v>
      </c>
      <c r="G313" s="29">
        <v>44586</v>
      </c>
      <c r="H313">
        <v>434.47</v>
      </c>
      <c r="I313">
        <v>464.32920000000001</v>
      </c>
      <c r="J313">
        <v>442.08760000000001</v>
      </c>
      <c r="K313" s="10">
        <v>0</v>
      </c>
    </row>
    <row r="314" spans="1:11" x14ac:dyDescent="0.4">
      <c r="A314" s="25">
        <v>44589</v>
      </c>
      <c r="B314" s="11">
        <v>441.95</v>
      </c>
      <c r="C314" s="11">
        <v>462.38099999999997</v>
      </c>
      <c r="D314" s="11">
        <v>442.4196</v>
      </c>
      <c r="E314" s="10">
        <f t="shared" si="4"/>
        <v>0</v>
      </c>
      <c r="G314" s="29">
        <v>44587</v>
      </c>
      <c r="H314">
        <v>433.38</v>
      </c>
      <c r="I314">
        <v>463.65140000000002</v>
      </c>
      <c r="J314">
        <v>442.1902</v>
      </c>
      <c r="K314" s="10">
        <v>0</v>
      </c>
    </row>
    <row r="315" spans="1:11" x14ac:dyDescent="0.4">
      <c r="A315" s="25">
        <v>44592</v>
      </c>
      <c r="B315" s="11">
        <v>449.91</v>
      </c>
      <c r="C315" s="11">
        <v>462.01639999999998</v>
      </c>
      <c r="D315" s="11">
        <v>442.58280000000002</v>
      </c>
      <c r="E315" s="10">
        <f t="shared" si="4"/>
        <v>0</v>
      </c>
      <c r="G315" s="29">
        <v>44588</v>
      </c>
      <c r="H315">
        <v>431.24</v>
      </c>
      <c r="I315">
        <v>462.92759999999998</v>
      </c>
      <c r="J315">
        <v>442.28919999999999</v>
      </c>
      <c r="K315" s="10">
        <v>0</v>
      </c>
    </row>
    <row r="316" spans="1:11" x14ac:dyDescent="0.4">
      <c r="A316" s="25">
        <v>44593</v>
      </c>
      <c r="B316" s="11">
        <v>452.95</v>
      </c>
      <c r="C316" s="11">
        <v>461.68079999999998</v>
      </c>
      <c r="D316" s="11">
        <v>442.7715</v>
      </c>
      <c r="E316" s="10">
        <f t="shared" si="4"/>
        <v>0</v>
      </c>
      <c r="G316" s="29">
        <v>44589</v>
      </c>
      <c r="H316">
        <v>441.95</v>
      </c>
      <c r="I316">
        <v>462.38099999999997</v>
      </c>
      <c r="J316">
        <v>442.4196</v>
      </c>
      <c r="K316" s="10">
        <v>0</v>
      </c>
    </row>
    <row r="317" spans="1:11" x14ac:dyDescent="0.4">
      <c r="A317" s="25">
        <v>44594</v>
      </c>
      <c r="B317" s="11">
        <v>457.35</v>
      </c>
      <c r="C317" s="11">
        <v>461.45</v>
      </c>
      <c r="D317" s="11">
        <v>442.99740000000003</v>
      </c>
      <c r="E317" s="10">
        <f t="shared" si="4"/>
        <v>0</v>
      </c>
      <c r="G317" s="29">
        <v>44592</v>
      </c>
      <c r="H317">
        <v>449.91</v>
      </c>
      <c r="I317">
        <v>462.01639999999998</v>
      </c>
      <c r="J317">
        <v>442.58280000000002</v>
      </c>
      <c r="K317" s="10">
        <v>0</v>
      </c>
    </row>
    <row r="318" spans="1:11" x14ac:dyDescent="0.4">
      <c r="A318" s="25">
        <v>44595</v>
      </c>
      <c r="B318" s="11">
        <v>446.6</v>
      </c>
      <c r="C318" s="11">
        <v>461.03059999999999</v>
      </c>
      <c r="D318" s="11">
        <v>443.15</v>
      </c>
      <c r="E318" s="10">
        <f t="shared" si="4"/>
        <v>0</v>
      </c>
      <c r="G318" s="29">
        <v>44593</v>
      </c>
      <c r="H318">
        <v>452.95</v>
      </c>
      <c r="I318">
        <v>461.68079999999998</v>
      </c>
      <c r="J318">
        <v>442.7715</v>
      </c>
      <c r="K318" s="10">
        <v>0</v>
      </c>
    </row>
    <row r="319" spans="1:11" x14ac:dyDescent="0.4">
      <c r="A319" s="25">
        <v>44596</v>
      </c>
      <c r="B319" s="11">
        <v>448.7</v>
      </c>
      <c r="C319" s="11">
        <v>460.64080000000001</v>
      </c>
      <c r="D319" s="11">
        <v>443.3322</v>
      </c>
      <c r="E319" s="10">
        <f t="shared" si="4"/>
        <v>0</v>
      </c>
      <c r="G319" s="29">
        <v>44594</v>
      </c>
      <c r="H319">
        <v>457.35</v>
      </c>
      <c r="I319">
        <v>461.45</v>
      </c>
      <c r="J319">
        <v>442.99740000000003</v>
      </c>
      <c r="K319" s="10">
        <v>0</v>
      </c>
    </row>
    <row r="320" spans="1:11" x14ac:dyDescent="0.4">
      <c r="A320" s="25">
        <v>44599</v>
      </c>
      <c r="B320" s="11">
        <v>447.26</v>
      </c>
      <c r="C320" s="11">
        <v>460.19720000000001</v>
      </c>
      <c r="D320" s="11">
        <v>443.48480000000001</v>
      </c>
      <c r="E320" s="10">
        <f t="shared" si="4"/>
        <v>0</v>
      </c>
      <c r="G320" s="29">
        <v>44595</v>
      </c>
      <c r="H320">
        <v>446.6</v>
      </c>
      <c r="I320">
        <v>461.03059999999999</v>
      </c>
      <c r="J320">
        <v>443.15</v>
      </c>
      <c r="K320" s="10">
        <v>0</v>
      </c>
    </row>
    <row r="321" spans="1:11" x14ac:dyDescent="0.4">
      <c r="A321" s="25">
        <v>44600</v>
      </c>
      <c r="B321" s="11">
        <v>450.94</v>
      </c>
      <c r="C321" s="11">
        <v>460.03660000000002</v>
      </c>
      <c r="D321" s="11">
        <v>443.65140000000002</v>
      </c>
      <c r="E321" s="10">
        <f t="shared" si="4"/>
        <v>0</v>
      </c>
      <c r="G321" s="29">
        <v>44596</v>
      </c>
      <c r="H321">
        <v>448.7</v>
      </c>
      <c r="I321">
        <v>460.64080000000001</v>
      </c>
      <c r="J321">
        <v>443.3322</v>
      </c>
      <c r="K321" s="10">
        <v>0</v>
      </c>
    </row>
    <row r="322" spans="1:11" x14ac:dyDescent="0.4">
      <c r="A322" s="25">
        <v>44601</v>
      </c>
      <c r="B322" s="11">
        <v>457.54</v>
      </c>
      <c r="C322" s="11">
        <v>459.8954</v>
      </c>
      <c r="D322" s="11">
        <v>443.85160000000002</v>
      </c>
      <c r="E322" s="10">
        <f t="shared" si="4"/>
        <v>0</v>
      </c>
      <c r="G322" s="29">
        <v>44599</v>
      </c>
      <c r="H322">
        <v>447.26</v>
      </c>
      <c r="I322">
        <v>460.19720000000001</v>
      </c>
      <c r="J322">
        <v>443.48480000000001</v>
      </c>
      <c r="K322" s="10">
        <v>0</v>
      </c>
    </row>
    <row r="323" spans="1:11" x14ac:dyDescent="0.4">
      <c r="A323" s="25">
        <v>44602</v>
      </c>
      <c r="B323" s="11">
        <v>449.32</v>
      </c>
      <c r="C323" s="11">
        <v>459.7706</v>
      </c>
      <c r="D323" s="11">
        <v>444.01119999999997</v>
      </c>
      <c r="E323" s="10">
        <f t="shared" ref="E323:E386" si="5">IF(AND(C323&gt;D323, C322&lt;D322), 1, 0)</f>
        <v>0</v>
      </c>
      <c r="G323" s="29">
        <v>44600</v>
      </c>
      <c r="H323">
        <v>450.94</v>
      </c>
      <c r="I323">
        <v>460.03660000000002</v>
      </c>
      <c r="J323">
        <v>443.65140000000002</v>
      </c>
      <c r="K323" s="10">
        <v>0</v>
      </c>
    </row>
    <row r="324" spans="1:11" x14ac:dyDescent="0.4">
      <c r="A324" s="25">
        <v>44603</v>
      </c>
      <c r="B324" s="11">
        <v>440.46</v>
      </c>
      <c r="C324" s="11">
        <v>459.56979999999999</v>
      </c>
      <c r="D324" s="11">
        <v>444.11320000000001</v>
      </c>
      <c r="E324" s="10">
        <f t="shared" si="5"/>
        <v>0</v>
      </c>
      <c r="G324" s="29">
        <v>44601</v>
      </c>
      <c r="H324">
        <v>457.54</v>
      </c>
      <c r="I324">
        <v>459.8954</v>
      </c>
      <c r="J324">
        <v>443.85160000000002</v>
      </c>
      <c r="K324" s="10">
        <v>0</v>
      </c>
    </row>
    <row r="325" spans="1:11" x14ac:dyDescent="0.4">
      <c r="A325" s="25">
        <v>44606</v>
      </c>
      <c r="B325" s="11">
        <v>439.02</v>
      </c>
      <c r="C325" s="11">
        <v>459.2022</v>
      </c>
      <c r="D325" s="11">
        <v>444.22179999999997</v>
      </c>
      <c r="E325" s="10">
        <f t="shared" si="5"/>
        <v>0</v>
      </c>
      <c r="G325" s="29">
        <v>44602</v>
      </c>
      <c r="H325">
        <v>449.32</v>
      </c>
      <c r="I325">
        <v>459.7706</v>
      </c>
      <c r="J325">
        <v>444.01119999999997</v>
      </c>
      <c r="K325" s="10">
        <v>0</v>
      </c>
    </row>
    <row r="326" spans="1:11" x14ac:dyDescent="0.4">
      <c r="A326" s="25">
        <v>44607</v>
      </c>
      <c r="B326" s="11">
        <v>446.1</v>
      </c>
      <c r="C326" s="11">
        <v>459.05579999999998</v>
      </c>
      <c r="D326" s="11">
        <v>444.3612</v>
      </c>
      <c r="E326" s="10">
        <f t="shared" si="5"/>
        <v>0</v>
      </c>
      <c r="G326" s="29">
        <v>44603</v>
      </c>
      <c r="H326">
        <v>440.46</v>
      </c>
      <c r="I326">
        <v>459.56979999999999</v>
      </c>
      <c r="J326">
        <v>444.11320000000001</v>
      </c>
      <c r="K326" s="10">
        <v>0</v>
      </c>
    </row>
    <row r="327" spans="1:11" x14ac:dyDescent="0.4">
      <c r="A327" s="25">
        <v>44608</v>
      </c>
      <c r="B327" s="11">
        <v>446.6</v>
      </c>
      <c r="C327" s="11">
        <v>458.81200000000001</v>
      </c>
      <c r="D327" s="11">
        <v>444.51620000000003</v>
      </c>
      <c r="E327" s="10">
        <f t="shared" si="5"/>
        <v>0</v>
      </c>
      <c r="G327" s="29">
        <v>44606</v>
      </c>
      <c r="H327">
        <v>439.02</v>
      </c>
      <c r="I327">
        <v>459.2022</v>
      </c>
      <c r="J327">
        <v>444.22179999999997</v>
      </c>
      <c r="K327" s="10">
        <v>0</v>
      </c>
    </row>
    <row r="328" spans="1:11" x14ac:dyDescent="0.4">
      <c r="A328" s="25">
        <v>44609</v>
      </c>
      <c r="B328" s="11">
        <v>437.06</v>
      </c>
      <c r="C328" s="11">
        <v>458.18759999999997</v>
      </c>
      <c r="D328" s="11">
        <v>444.62270000000001</v>
      </c>
      <c r="E328" s="10">
        <f t="shared" si="5"/>
        <v>0</v>
      </c>
      <c r="G328" s="29">
        <v>44607</v>
      </c>
      <c r="H328">
        <v>446.1</v>
      </c>
      <c r="I328">
        <v>459.05579999999998</v>
      </c>
      <c r="J328">
        <v>444.3612</v>
      </c>
      <c r="K328" s="10">
        <v>0</v>
      </c>
    </row>
    <row r="329" spans="1:11" x14ac:dyDescent="0.4">
      <c r="A329" s="25">
        <v>44610</v>
      </c>
      <c r="B329" s="11">
        <v>434.23</v>
      </c>
      <c r="C329" s="11">
        <v>457.48180000000002</v>
      </c>
      <c r="D329" s="11">
        <v>444.69850000000002</v>
      </c>
      <c r="E329" s="10">
        <f t="shared" si="5"/>
        <v>0</v>
      </c>
      <c r="G329" s="29">
        <v>44608</v>
      </c>
      <c r="H329">
        <v>446.6</v>
      </c>
      <c r="I329">
        <v>458.81200000000001</v>
      </c>
      <c r="J329">
        <v>444.51620000000003</v>
      </c>
      <c r="K329" s="10">
        <v>0</v>
      </c>
    </row>
    <row r="330" spans="1:11" x14ac:dyDescent="0.4">
      <c r="A330" s="25">
        <v>44614</v>
      </c>
      <c r="B330" s="11">
        <v>429.57</v>
      </c>
      <c r="C330" s="11">
        <v>456.74619999999999</v>
      </c>
      <c r="D330" s="11">
        <v>444.73579999999998</v>
      </c>
      <c r="E330" s="10">
        <f t="shared" si="5"/>
        <v>0</v>
      </c>
      <c r="G330" s="29">
        <v>44609</v>
      </c>
      <c r="H330">
        <v>437.06</v>
      </c>
      <c r="I330">
        <v>458.18759999999997</v>
      </c>
      <c r="J330">
        <v>444.62270000000001</v>
      </c>
      <c r="K330" s="10">
        <v>0</v>
      </c>
    </row>
    <row r="331" spans="1:11" x14ac:dyDescent="0.4">
      <c r="A331" s="25">
        <v>44615</v>
      </c>
      <c r="B331" s="11">
        <v>421.95</v>
      </c>
      <c r="C331" s="11">
        <v>455.7704</v>
      </c>
      <c r="D331" s="11">
        <v>444.75580000000002</v>
      </c>
      <c r="E331" s="10">
        <f t="shared" si="5"/>
        <v>0</v>
      </c>
      <c r="G331" s="29">
        <v>44610</v>
      </c>
      <c r="H331">
        <v>434.23</v>
      </c>
      <c r="I331">
        <v>457.48180000000002</v>
      </c>
      <c r="J331">
        <v>444.69850000000002</v>
      </c>
      <c r="K331" s="10">
        <v>0</v>
      </c>
    </row>
    <row r="332" spans="1:11" x14ac:dyDescent="0.4">
      <c r="A332" s="25">
        <v>44616</v>
      </c>
      <c r="B332" s="11">
        <v>428.3</v>
      </c>
      <c r="C332" s="11">
        <v>455.005</v>
      </c>
      <c r="D332" s="11">
        <v>444.82619999999997</v>
      </c>
      <c r="E332" s="10">
        <f t="shared" si="5"/>
        <v>0</v>
      </c>
      <c r="G332" s="29">
        <v>44614</v>
      </c>
      <c r="H332">
        <v>429.57</v>
      </c>
      <c r="I332">
        <v>456.74619999999999</v>
      </c>
      <c r="J332">
        <v>444.73579999999998</v>
      </c>
      <c r="K332" s="10">
        <v>0</v>
      </c>
    </row>
    <row r="333" spans="1:11" x14ac:dyDescent="0.4">
      <c r="A333" s="25">
        <v>44617</v>
      </c>
      <c r="B333" s="11">
        <v>437.75</v>
      </c>
      <c r="C333" s="11">
        <v>454.49279999999999</v>
      </c>
      <c r="D333" s="11">
        <v>444.988</v>
      </c>
      <c r="E333" s="10">
        <f t="shared" si="5"/>
        <v>0</v>
      </c>
      <c r="G333" s="29">
        <v>44615</v>
      </c>
      <c r="H333">
        <v>421.95</v>
      </c>
      <c r="I333">
        <v>455.7704</v>
      </c>
      <c r="J333">
        <v>444.75580000000002</v>
      </c>
      <c r="K333" s="10">
        <v>0</v>
      </c>
    </row>
    <row r="334" spans="1:11" x14ac:dyDescent="0.4">
      <c r="A334" s="25">
        <v>44620</v>
      </c>
      <c r="B334" s="11">
        <v>436.63</v>
      </c>
      <c r="C334" s="11">
        <v>453.8134</v>
      </c>
      <c r="D334" s="11">
        <v>445.11970000000002</v>
      </c>
      <c r="E334" s="10">
        <f t="shared" si="5"/>
        <v>0</v>
      </c>
      <c r="G334" s="29">
        <v>44616</v>
      </c>
      <c r="H334">
        <v>428.3</v>
      </c>
      <c r="I334">
        <v>455.005</v>
      </c>
      <c r="J334">
        <v>444.82619999999997</v>
      </c>
      <c r="K334" s="10">
        <v>0</v>
      </c>
    </row>
    <row r="335" spans="1:11" x14ac:dyDescent="0.4">
      <c r="A335" s="25">
        <v>44621</v>
      </c>
      <c r="B335" s="11">
        <v>429.98</v>
      </c>
      <c r="C335" s="11">
        <v>453.084</v>
      </c>
      <c r="D335" s="11">
        <v>445.18669999999997</v>
      </c>
      <c r="E335" s="10">
        <f t="shared" si="5"/>
        <v>0</v>
      </c>
      <c r="G335" s="29">
        <v>44617</v>
      </c>
      <c r="H335">
        <v>437.75</v>
      </c>
      <c r="I335">
        <v>454.49279999999999</v>
      </c>
      <c r="J335">
        <v>444.988</v>
      </c>
      <c r="K335" s="10">
        <v>0</v>
      </c>
    </row>
    <row r="336" spans="1:11" x14ac:dyDescent="0.4">
      <c r="A336" s="25">
        <v>44622</v>
      </c>
      <c r="B336" s="11">
        <v>437.89</v>
      </c>
      <c r="C336" s="11">
        <v>452.64440000000002</v>
      </c>
      <c r="D336" s="11">
        <v>445.29860000000002</v>
      </c>
      <c r="E336" s="10">
        <f t="shared" si="5"/>
        <v>0</v>
      </c>
      <c r="G336" s="29">
        <v>44620</v>
      </c>
      <c r="H336">
        <v>436.63</v>
      </c>
      <c r="I336">
        <v>453.8134</v>
      </c>
      <c r="J336">
        <v>445.11970000000002</v>
      </c>
      <c r="K336" s="10">
        <v>0</v>
      </c>
    </row>
    <row r="337" spans="1:11" x14ac:dyDescent="0.4">
      <c r="A337" s="25">
        <v>44623</v>
      </c>
      <c r="B337" s="11">
        <v>435.71</v>
      </c>
      <c r="C337" s="11">
        <v>452.25900000000001</v>
      </c>
      <c r="D337" s="11">
        <v>445.41739999999999</v>
      </c>
      <c r="E337" s="10">
        <f t="shared" si="5"/>
        <v>0</v>
      </c>
      <c r="G337" s="29">
        <v>44621</v>
      </c>
      <c r="H337">
        <v>429.98</v>
      </c>
      <c r="I337">
        <v>453.084</v>
      </c>
      <c r="J337">
        <v>445.18669999999997</v>
      </c>
      <c r="K337" s="10">
        <v>0</v>
      </c>
    </row>
    <row r="338" spans="1:11" x14ac:dyDescent="0.4">
      <c r="A338" s="25">
        <v>44624</v>
      </c>
      <c r="B338" s="11">
        <v>432.17</v>
      </c>
      <c r="C338" s="11">
        <v>451.64120000000003</v>
      </c>
      <c r="D338" s="11">
        <v>445.524</v>
      </c>
      <c r="E338" s="10">
        <f t="shared" si="5"/>
        <v>0</v>
      </c>
      <c r="G338" s="29">
        <v>44622</v>
      </c>
      <c r="H338">
        <v>437.89</v>
      </c>
      <c r="I338">
        <v>452.64440000000002</v>
      </c>
      <c r="J338">
        <v>445.29860000000002</v>
      </c>
      <c r="K338" s="10">
        <v>0</v>
      </c>
    </row>
    <row r="339" spans="1:11" x14ac:dyDescent="0.4">
      <c r="A339" s="25">
        <v>44627</v>
      </c>
      <c r="B339" s="11">
        <v>419.43</v>
      </c>
      <c r="C339" s="11">
        <v>450.67599999999999</v>
      </c>
      <c r="D339" s="11">
        <v>445.54469999999998</v>
      </c>
      <c r="E339" s="10">
        <f t="shared" si="5"/>
        <v>0</v>
      </c>
      <c r="G339" s="29">
        <v>44623</v>
      </c>
      <c r="H339">
        <v>435.71</v>
      </c>
      <c r="I339">
        <v>452.25900000000001</v>
      </c>
      <c r="J339">
        <v>445.41739999999999</v>
      </c>
      <c r="K339" s="10">
        <v>0</v>
      </c>
    </row>
    <row r="340" spans="1:11" x14ac:dyDescent="0.4">
      <c r="A340" s="25">
        <v>44628</v>
      </c>
      <c r="B340" s="11">
        <v>416.25</v>
      </c>
      <c r="C340" s="11">
        <v>449.589</v>
      </c>
      <c r="D340" s="11">
        <v>445.55119999999999</v>
      </c>
      <c r="E340" s="10">
        <f t="shared" si="5"/>
        <v>0</v>
      </c>
      <c r="G340" s="29">
        <v>44624</v>
      </c>
      <c r="H340">
        <v>432.17</v>
      </c>
      <c r="I340">
        <v>451.64120000000003</v>
      </c>
      <c r="J340">
        <v>445.524</v>
      </c>
      <c r="K340" s="10">
        <v>0</v>
      </c>
    </row>
    <row r="341" spans="1:11" x14ac:dyDescent="0.4">
      <c r="A341" s="25">
        <v>44629</v>
      </c>
      <c r="B341" s="11">
        <v>427.41</v>
      </c>
      <c r="C341" s="11">
        <v>448.59199999999998</v>
      </c>
      <c r="D341" s="11">
        <v>445.5924</v>
      </c>
      <c r="E341" s="10">
        <f t="shared" si="5"/>
        <v>0</v>
      </c>
      <c r="G341" s="29">
        <v>44627</v>
      </c>
      <c r="H341">
        <v>419.43</v>
      </c>
      <c r="I341">
        <v>450.67599999999999</v>
      </c>
      <c r="J341">
        <v>445.54469999999998</v>
      </c>
      <c r="K341" s="10">
        <v>0</v>
      </c>
    </row>
    <row r="342" spans="1:11" x14ac:dyDescent="0.4">
      <c r="A342" s="25">
        <v>44630</v>
      </c>
      <c r="B342" s="11">
        <v>425.48</v>
      </c>
      <c r="C342" s="11">
        <v>447.56420000000003</v>
      </c>
      <c r="D342" s="11">
        <v>445.62860000000001</v>
      </c>
      <c r="E342" s="10">
        <f t="shared" si="5"/>
        <v>0</v>
      </c>
      <c r="G342" s="29">
        <v>44628</v>
      </c>
      <c r="H342">
        <v>416.25</v>
      </c>
      <c r="I342">
        <v>449.589</v>
      </c>
      <c r="J342">
        <v>445.55119999999999</v>
      </c>
      <c r="K342" s="10">
        <v>0</v>
      </c>
    </row>
    <row r="343" spans="1:11" x14ac:dyDescent="0.4">
      <c r="A343" s="25">
        <v>44631</v>
      </c>
      <c r="B343" s="11">
        <v>420.07</v>
      </c>
      <c r="C343" s="11">
        <v>446.416</v>
      </c>
      <c r="D343" s="11">
        <v>445.6336</v>
      </c>
      <c r="E343" s="10">
        <f t="shared" si="5"/>
        <v>0</v>
      </c>
      <c r="G343" s="29">
        <v>44629</v>
      </c>
      <c r="H343">
        <v>427.41</v>
      </c>
      <c r="I343">
        <v>448.59199999999998</v>
      </c>
      <c r="J343">
        <v>445.5924</v>
      </c>
      <c r="K343" s="10">
        <v>0</v>
      </c>
    </row>
    <row r="344" spans="1:11" x14ac:dyDescent="0.4">
      <c r="A344" s="25">
        <v>44634</v>
      </c>
      <c r="B344" s="11">
        <v>417</v>
      </c>
      <c r="C344" s="11">
        <v>445.2328</v>
      </c>
      <c r="D344" s="11">
        <v>445.62220000000002</v>
      </c>
      <c r="E344" s="10">
        <f t="shared" si="5"/>
        <v>0</v>
      </c>
      <c r="G344" s="29">
        <v>44630</v>
      </c>
      <c r="H344">
        <v>425.48</v>
      </c>
      <c r="I344">
        <v>447.56420000000003</v>
      </c>
      <c r="J344">
        <v>445.62860000000001</v>
      </c>
      <c r="K344" s="10">
        <v>0</v>
      </c>
    </row>
    <row r="345" spans="1:11" x14ac:dyDescent="0.4">
      <c r="A345" s="25">
        <v>44635</v>
      </c>
      <c r="B345" s="11">
        <v>426.17</v>
      </c>
      <c r="C345" s="11">
        <v>444.25700000000001</v>
      </c>
      <c r="D345" s="11">
        <v>445.65280000000001</v>
      </c>
      <c r="E345" s="10">
        <f t="shared" si="5"/>
        <v>0</v>
      </c>
      <c r="G345" s="29">
        <v>44631</v>
      </c>
      <c r="H345">
        <v>420.07</v>
      </c>
      <c r="I345">
        <v>446.416</v>
      </c>
      <c r="J345">
        <v>445.6336</v>
      </c>
      <c r="K345" s="10">
        <v>0</v>
      </c>
    </row>
    <row r="346" spans="1:11" x14ac:dyDescent="0.4">
      <c r="A346" s="25">
        <v>44636</v>
      </c>
      <c r="B346" s="11">
        <v>435.62</v>
      </c>
      <c r="C346" s="11">
        <v>443.41520000000003</v>
      </c>
      <c r="D346" s="11">
        <v>445.73259999999999</v>
      </c>
      <c r="E346" s="10">
        <f t="shared" si="5"/>
        <v>0</v>
      </c>
      <c r="G346" s="29">
        <v>44634</v>
      </c>
      <c r="H346">
        <v>417</v>
      </c>
      <c r="I346">
        <v>445.2328</v>
      </c>
      <c r="J346">
        <v>445.62220000000002</v>
      </c>
      <c r="K346" s="10">
        <v>0</v>
      </c>
    </row>
    <row r="347" spans="1:11" x14ac:dyDescent="0.4">
      <c r="A347" s="25">
        <v>44637</v>
      </c>
      <c r="B347" s="11">
        <v>441.07</v>
      </c>
      <c r="C347" s="11">
        <v>442.68560000000002</v>
      </c>
      <c r="D347" s="11">
        <v>445.83629999999999</v>
      </c>
      <c r="E347" s="10">
        <f t="shared" si="5"/>
        <v>0</v>
      </c>
      <c r="G347" s="29">
        <v>44635</v>
      </c>
      <c r="H347">
        <v>426.17</v>
      </c>
      <c r="I347">
        <v>444.25700000000001</v>
      </c>
      <c r="J347">
        <v>445.65280000000001</v>
      </c>
      <c r="K347" s="10">
        <v>0</v>
      </c>
    </row>
    <row r="348" spans="1:11" x14ac:dyDescent="0.4">
      <c r="A348" s="25">
        <v>44638</v>
      </c>
      <c r="B348" s="11">
        <v>444.52</v>
      </c>
      <c r="C348" s="11">
        <v>442.20839999999998</v>
      </c>
      <c r="D348" s="11">
        <v>445.96499999999997</v>
      </c>
      <c r="E348" s="10">
        <f t="shared" si="5"/>
        <v>0</v>
      </c>
      <c r="G348" s="29">
        <v>44636</v>
      </c>
      <c r="H348">
        <v>435.62</v>
      </c>
      <c r="I348">
        <v>443.41520000000003</v>
      </c>
      <c r="J348">
        <v>445.73259999999999</v>
      </c>
      <c r="K348" s="10">
        <v>0</v>
      </c>
    </row>
    <row r="349" spans="1:11" x14ac:dyDescent="0.4">
      <c r="A349" s="25">
        <v>44641</v>
      </c>
      <c r="B349" s="11">
        <v>444.39</v>
      </c>
      <c r="C349" s="11">
        <v>441.73739999999998</v>
      </c>
      <c r="D349" s="11">
        <v>446.07400000000001</v>
      </c>
      <c r="E349" s="10">
        <f t="shared" si="5"/>
        <v>0</v>
      </c>
      <c r="G349" s="29">
        <v>44637</v>
      </c>
      <c r="H349">
        <v>441.07</v>
      </c>
      <c r="I349">
        <v>442.68560000000002</v>
      </c>
      <c r="J349">
        <v>445.83629999999999</v>
      </c>
      <c r="K349" s="10">
        <v>0</v>
      </c>
    </row>
    <row r="350" spans="1:11" x14ac:dyDescent="0.4">
      <c r="A350" s="25">
        <v>44642</v>
      </c>
      <c r="B350" s="11">
        <v>449.59</v>
      </c>
      <c r="C350" s="11">
        <v>441.4074</v>
      </c>
      <c r="D350" s="11">
        <v>446.21100000000001</v>
      </c>
      <c r="E350" s="10">
        <f t="shared" si="5"/>
        <v>0</v>
      </c>
      <c r="G350" s="29">
        <v>44638</v>
      </c>
      <c r="H350">
        <v>444.52</v>
      </c>
      <c r="I350">
        <v>442.20839999999998</v>
      </c>
      <c r="J350">
        <v>445.96499999999997</v>
      </c>
      <c r="K350" s="10">
        <v>0</v>
      </c>
    </row>
    <row r="351" spans="1:11" x14ac:dyDescent="0.4">
      <c r="A351" s="25">
        <v>44643</v>
      </c>
      <c r="B351" s="11">
        <v>443.8</v>
      </c>
      <c r="C351" s="11">
        <v>440.97320000000002</v>
      </c>
      <c r="D351" s="11">
        <v>446.3186</v>
      </c>
      <c r="E351" s="10">
        <f t="shared" si="5"/>
        <v>0</v>
      </c>
      <c r="G351" s="29">
        <v>44641</v>
      </c>
      <c r="H351">
        <v>444.39</v>
      </c>
      <c r="I351">
        <v>441.73739999999998</v>
      </c>
      <c r="J351">
        <v>446.07400000000001</v>
      </c>
      <c r="K351" s="10">
        <v>0</v>
      </c>
    </row>
    <row r="352" spans="1:11" x14ac:dyDescent="0.4">
      <c r="A352" s="25">
        <v>44644</v>
      </c>
      <c r="B352" s="11">
        <v>450.49</v>
      </c>
      <c r="C352" s="11">
        <v>440.58800000000002</v>
      </c>
      <c r="D352" s="11">
        <v>446.46280000000002</v>
      </c>
      <c r="E352" s="10">
        <f t="shared" si="5"/>
        <v>0</v>
      </c>
      <c r="G352" s="29">
        <v>44642</v>
      </c>
      <c r="H352">
        <v>449.59</v>
      </c>
      <c r="I352">
        <v>441.4074</v>
      </c>
      <c r="J352">
        <v>446.21100000000001</v>
      </c>
      <c r="K352" s="10">
        <v>0</v>
      </c>
    </row>
    <row r="353" spans="1:11" x14ac:dyDescent="0.4">
      <c r="A353" s="25">
        <v>44645</v>
      </c>
      <c r="B353" s="11">
        <v>452.69</v>
      </c>
      <c r="C353" s="11">
        <v>440.22140000000002</v>
      </c>
      <c r="D353" s="11">
        <v>446.60820000000001</v>
      </c>
      <c r="E353" s="10">
        <f t="shared" si="5"/>
        <v>0</v>
      </c>
      <c r="G353" s="29">
        <v>44643</v>
      </c>
      <c r="H353">
        <v>443.8</v>
      </c>
      <c r="I353">
        <v>440.97320000000002</v>
      </c>
      <c r="J353">
        <v>446.3186</v>
      </c>
      <c r="K353" s="10">
        <v>0</v>
      </c>
    </row>
    <row r="354" spans="1:11" x14ac:dyDescent="0.4">
      <c r="A354" s="25">
        <v>44648</v>
      </c>
      <c r="B354" s="11">
        <v>455.91</v>
      </c>
      <c r="C354" s="11">
        <v>440.04899999999998</v>
      </c>
      <c r="D354" s="11">
        <v>446.76620000000003</v>
      </c>
      <c r="E354" s="10">
        <f t="shared" si="5"/>
        <v>0</v>
      </c>
      <c r="G354" s="29">
        <v>44644</v>
      </c>
      <c r="H354">
        <v>450.49</v>
      </c>
      <c r="I354">
        <v>440.58800000000002</v>
      </c>
      <c r="J354">
        <v>446.46280000000002</v>
      </c>
      <c r="K354" s="10">
        <v>0</v>
      </c>
    </row>
    <row r="355" spans="1:11" x14ac:dyDescent="0.4">
      <c r="A355" s="25">
        <v>44649</v>
      </c>
      <c r="B355" s="11">
        <v>461.55</v>
      </c>
      <c r="C355" s="11">
        <v>439.98559999999998</v>
      </c>
      <c r="D355" s="11">
        <v>446.94760000000002</v>
      </c>
      <c r="E355" s="10">
        <f t="shared" si="5"/>
        <v>0</v>
      </c>
      <c r="G355" s="29">
        <v>44645</v>
      </c>
      <c r="H355">
        <v>452.69</v>
      </c>
      <c r="I355">
        <v>440.22140000000002</v>
      </c>
      <c r="J355">
        <v>446.60820000000001</v>
      </c>
      <c r="K355" s="10">
        <v>0</v>
      </c>
    </row>
    <row r="356" spans="1:11" x14ac:dyDescent="0.4">
      <c r="A356" s="25">
        <v>44650</v>
      </c>
      <c r="B356" s="11">
        <v>458.7</v>
      </c>
      <c r="C356" s="11">
        <v>440.02980000000002</v>
      </c>
      <c r="D356" s="11">
        <v>447.11880000000002</v>
      </c>
      <c r="E356" s="10">
        <f t="shared" si="5"/>
        <v>0</v>
      </c>
      <c r="G356" s="29">
        <v>44648</v>
      </c>
      <c r="H356">
        <v>455.91</v>
      </c>
      <c r="I356">
        <v>440.04899999999998</v>
      </c>
      <c r="J356">
        <v>446.76620000000003</v>
      </c>
      <c r="K356" s="10">
        <v>0</v>
      </c>
    </row>
    <row r="357" spans="1:11" x14ac:dyDescent="0.4">
      <c r="A357" s="25">
        <v>44651</v>
      </c>
      <c r="B357" s="11">
        <v>451.64</v>
      </c>
      <c r="C357" s="11">
        <v>440.02760000000001</v>
      </c>
      <c r="D357" s="11">
        <v>447.26639999999998</v>
      </c>
      <c r="E357" s="10">
        <f t="shared" si="5"/>
        <v>0</v>
      </c>
      <c r="G357" s="29">
        <v>44649</v>
      </c>
      <c r="H357">
        <v>461.55</v>
      </c>
      <c r="I357">
        <v>439.98559999999998</v>
      </c>
      <c r="J357">
        <v>446.94760000000002</v>
      </c>
      <c r="K357" s="10">
        <v>0</v>
      </c>
    </row>
    <row r="358" spans="1:11" x14ac:dyDescent="0.4">
      <c r="A358" s="25">
        <v>44652</v>
      </c>
      <c r="B358" s="11">
        <v>452.92</v>
      </c>
      <c r="C358" s="11">
        <v>440.15100000000001</v>
      </c>
      <c r="D358" s="11">
        <v>447.4212</v>
      </c>
      <c r="E358" s="10">
        <f t="shared" si="5"/>
        <v>0</v>
      </c>
      <c r="G358" s="29">
        <v>44650</v>
      </c>
      <c r="H358">
        <v>458.7</v>
      </c>
      <c r="I358">
        <v>440.02980000000002</v>
      </c>
      <c r="J358">
        <v>447.11880000000002</v>
      </c>
      <c r="K358" s="10">
        <v>0</v>
      </c>
    </row>
    <row r="359" spans="1:11" x14ac:dyDescent="0.4">
      <c r="A359" s="25">
        <v>44655</v>
      </c>
      <c r="B359" s="11">
        <v>456.8</v>
      </c>
      <c r="C359" s="11">
        <v>440.5274</v>
      </c>
      <c r="D359" s="11">
        <v>447.63060000000002</v>
      </c>
      <c r="E359" s="10">
        <f t="shared" si="5"/>
        <v>0</v>
      </c>
      <c r="G359" s="29">
        <v>44651</v>
      </c>
      <c r="H359">
        <v>451.64</v>
      </c>
      <c r="I359">
        <v>440.02760000000001</v>
      </c>
      <c r="J359">
        <v>447.26639999999998</v>
      </c>
      <c r="K359" s="10">
        <v>0</v>
      </c>
    </row>
    <row r="360" spans="1:11" x14ac:dyDescent="0.4">
      <c r="A360" s="25">
        <v>44656</v>
      </c>
      <c r="B360" s="11">
        <v>451.03</v>
      </c>
      <c r="C360" s="11">
        <v>440.75119999999998</v>
      </c>
      <c r="D360" s="11">
        <v>447.78140000000002</v>
      </c>
      <c r="E360" s="10">
        <f t="shared" si="5"/>
        <v>0</v>
      </c>
      <c r="G360" s="29">
        <v>44652</v>
      </c>
      <c r="H360">
        <v>452.92</v>
      </c>
      <c r="I360">
        <v>440.15100000000001</v>
      </c>
      <c r="J360">
        <v>447.4212</v>
      </c>
      <c r="K360" s="10">
        <v>0</v>
      </c>
    </row>
    <row r="361" spans="1:11" x14ac:dyDescent="0.4">
      <c r="A361" s="25">
        <v>44657</v>
      </c>
      <c r="B361" s="11">
        <v>446.52</v>
      </c>
      <c r="C361" s="11">
        <v>440.99220000000003</v>
      </c>
      <c r="D361" s="11">
        <v>447.89839999999998</v>
      </c>
      <c r="E361" s="10">
        <f t="shared" si="5"/>
        <v>0</v>
      </c>
      <c r="G361" s="29">
        <v>44655</v>
      </c>
      <c r="H361">
        <v>456.8</v>
      </c>
      <c r="I361">
        <v>440.5274</v>
      </c>
      <c r="J361">
        <v>447.63060000000002</v>
      </c>
      <c r="K361" s="10">
        <v>0</v>
      </c>
    </row>
    <row r="362" spans="1:11" x14ac:dyDescent="0.4">
      <c r="A362" s="25">
        <v>44658</v>
      </c>
      <c r="B362" s="11">
        <v>448.77</v>
      </c>
      <c r="C362" s="11">
        <v>441.3</v>
      </c>
      <c r="D362" s="11">
        <v>448.02929999999998</v>
      </c>
      <c r="E362" s="10">
        <f t="shared" si="5"/>
        <v>0</v>
      </c>
      <c r="G362" s="29">
        <v>44656</v>
      </c>
      <c r="H362">
        <v>451.03</v>
      </c>
      <c r="I362">
        <v>440.75119999999998</v>
      </c>
      <c r="J362">
        <v>447.78140000000002</v>
      </c>
      <c r="K362" s="10">
        <v>0</v>
      </c>
    </row>
    <row r="363" spans="1:11" x14ac:dyDescent="0.4">
      <c r="A363" s="25">
        <v>44659</v>
      </c>
      <c r="B363" s="11">
        <v>447.57</v>
      </c>
      <c r="C363" s="11">
        <v>441.6266</v>
      </c>
      <c r="D363" s="11">
        <v>448.14159999999998</v>
      </c>
      <c r="E363" s="10">
        <f t="shared" si="5"/>
        <v>0</v>
      </c>
      <c r="G363" s="29">
        <v>44657</v>
      </c>
      <c r="H363">
        <v>446.52</v>
      </c>
      <c r="I363">
        <v>440.99220000000003</v>
      </c>
      <c r="J363">
        <v>447.89839999999998</v>
      </c>
      <c r="K363" s="10">
        <v>0</v>
      </c>
    </row>
    <row r="364" spans="1:11" x14ac:dyDescent="0.4">
      <c r="A364" s="25">
        <v>44662</v>
      </c>
      <c r="B364" s="11">
        <v>439.92</v>
      </c>
      <c r="C364" s="11">
        <v>441.58600000000001</v>
      </c>
      <c r="D364" s="11">
        <v>448.20819999999998</v>
      </c>
      <c r="E364" s="10">
        <f t="shared" si="5"/>
        <v>0</v>
      </c>
      <c r="G364" s="29">
        <v>44658</v>
      </c>
      <c r="H364">
        <v>448.77</v>
      </c>
      <c r="I364">
        <v>441.3</v>
      </c>
      <c r="J364">
        <v>448.02929999999998</v>
      </c>
      <c r="K364" s="10">
        <v>0</v>
      </c>
    </row>
    <row r="365" spans="1:11" x14ac:dyDescent="0.4">
      <c r="A365" s="25">
        <v>44663</v>
      </c>
      <c r="B365" s="11">
        <v>438.29</v>
      </c>
      <c r="C365" s="11">
        <v>441.35359999999997</v>
      </c>
      <c r="D365" s="11">
        <v>448.26229999999998</v>
      </c>
      <c r="E365" s="10">
        <f t="shared" si="5"/>
        <v>0</v>
      </c>
      <c r="G365" s="29">
        <v>44659</v>
      </c>
      <c r="H365">
        <v>447.57</v>
      </c>
      <c r="I365">
        <v>441.6266</v>
      </c>
      <c r="J365">
        <v>448.14159999999998</v>
      </c>
      <c r="K365" s="10">
        <v>0</v>
      </c>
    </row>
    <row r="366" spans="1:11" x14ac:dyDescent="0.4">
      <c r="A366" s="25">
        <v>44664</v>
      </c>
      <c r="B366" s="11">
        <v>443.31</v>
      </c>
      <c r="C366" s="11">
        <v>441.16079999999999</v>
      </c>
      <c r="D366" s="11">
        <v>448.34039999999999</v>
      </c>
      <c r="E366" s="10">
        <f t="shared" si="5"/>
        <v>0</v>
      </c>
      <c r="G366" s="29">
        <v>44662</v>
      </c>
      <c r="H366">
        <v>439.92</v>
      </c>
      <c r="I366">
        <v>441.58600000000001</v>
      </c>
      <c r="J366">
        <v>448.20819999999998</v>
      </c>
      <c r="K366" s="10">
        <v>0</v>
      </c>
    </row>
    <row r="367" spans="1:11" x14ac:dyDescent="0.4">
      <c r="A367" s="25">
        <v>44665</v>
      </c>
      <c r="B367" s="11">
        <v>437.79</v>
      </c>
      <c r="C367" s="11">
        <v>440.76960000000003</v>
      </c>
      <c r="D367" s="11">
        <v>448.38900000000001</v>
      </c>
      <c r="E367" s="10">
        <f t="shared" si="5"/>
        <v>0</v>
      </c>
      <c r="G367" s="29">
        <v>44663</v>
      </c>
      <c r="H367">
        <v>438.29</v>
      </c>
      <c r="I367">
        <v>441.35359999999997</v>
      </c>
      <c r="J367">
        <v>448.26229999999998</v>
      </c>
      <c r="K367" s="10">
        <v>0</v>
      </c>
    </row>
    <row r="368" spans="1:11" x14ac:dyDescent="0.4">
      <c r="A368" s="25">
        <v>44669</v>
      </c>
      <c r="B368" s="11">
        <v>437.97</v>
      </c>
      <c r="C368" s="11">
        <v>440.59699999999998</v>
      </c>
      <c r="D368" s="11">
        <v>448.42669999999998</v>
      </c>
      <c r="E368" s="10">
        <f t="shared" si="5"/>
        <v>0</v>
      </c>
      <c r="G368" s="29">
        <v>44664</v>
      </c>
      <c r="H368">
        <v>443.31</v>
      </c>
      <c r="I368">
        <v>441.16079999999999</v>
      </c>
      <c r="J368">
        <v>448.34039999999999</v>
      </c>
      <c r="K368" s="10">
        <v>0</v>
      </c>
    </row>
    <row r="369" spans="1:11" x14ac:dyDescent="0.4">
      <c r="A369" s="25">
        <v>44670</v>
      </c>
      <c r="B369" s="11">
        <v>445.04</v>
      </c>
      <c r="C369" s="11">
        <v>440.52379999999999</v>
      </c>
      <c r="D369" s="11">
        <v>448.48329999999999</v>
      </c>
      <c r="E369" s="10">
        <f t="shared" si="5"/>
        <v>0</v>
      </c>
      <c r="G369" s="29">
        <v>44665</v>
      </c>
      <c r="H369">
        <v>437.79</v>
      </c>
      <c r="I369">
        <v>440.76960000000003</v>
      </c>
      <c r="J369">
        <v>448.38900000000001</v>
      </c>
      <c r="K369" s="10">
        <v>0</v>
      </c>
    </row>
    <row r="370" spans="1:11" x14ac:dyDescent="0.4">
      <c r="A370" s="25">
        <v>44671</v>
      </c>
      <c r="B370" s="11">
        <v>444.71</v>
      </c>
      <c r="C370" s="11">
        <v>440.47280000000001</v>
      </c>
      <c r="D370" s="11">
        <v>448.54219999999998</v>
      </c>
      <c r="E370" s="10">
        <f t="shared" si="5"/>
        <v>0</v>
      </c>
      <c r="G370" s="29">
        <v>44669</v>
      </c>
      <c r="H370">
        <v>437.97</v>
      </c>
      <c r="I370">
        <v>440.59699999999998</v>
      </c>
      <c r="J370">
        <v>448.42669999999998</v>
      </c>
      <c r="K370" s="10">
        <v>0</v>
      </c>
    </row>
    <row r="371" spans="1:11" x14ac:dyDescent="0.4">
      <c r="A371" s="25">
        <v>44672</v>
      </c>
      <c r="B371" s="11">
        <v>438.06</v>
      </c>
      <c r="C371" s="11">
        <v>440.21519999999998</v>
      </c>
      <c r="D371" s="11">
        <v>448.56020000000001</v>
      </c>
      <c r="E371" s="10">
        <f t="shared" si="5"/>
        <v>0</v>
      </c>
      <c r="G371" s="29">
        <v>44670</v>
      </c>
      <c r="H371">
        <v>445.04</v>
      </c>
      <c r="I371">
        <v>440.52379999999999</v>
      </c>
      <c r="J371">
        <v>448.48329999999999</v>
      </c>
      <c r="K371" s="10">
        <v>0</v>
      </c>
    </row>
    <row r="372" spans="1:11" x14ac:dyDescent="0.4">
      <c r="A372" s="25">
        <v>44673</v>
      </c>
      <c r="B372" s="11">
        <v>426.04</v>
      </c>
      <c r="C372" s="11">
        <v>439.58519999999999</v>
      </c>
      <c r="D372" s="11">
        <v>448.53579999999999</v>
      </c>
      <c r="E372" s="10">
        <f t="shared" si="5"/>
        <v>0</v>
      </c>
      <c r="G372" s="29">
        <v>44671</v>
      </c>
      <c r="H372">
        <v>444.71</v>
      </c>
      <c r="I372">
        <v>440.47280000000001</v>
      </c>
      <c r="J372">
        <v>448.54219999999998</v>
      </c>
      <c r="K372" s="10">
        <v>0</v>
      </c>
    </row>
    <row r="373" spans="1:11" x14ac:dyDescent="0.4">
      <c r="A373" s="25">
        <v>44676</v>
      </c>
      <c r="B373" s="11">
        <v>428.51</v>
      </c>
      <c r="C373" s="11">
        <v>439.16899999999998</v>
      </c>
      <c r="D373" s="11">
        <v>448.50080000000003</v>
      </c>
      <c r="E373" s="10">
        <f t="shared" si="5"/>
        <v>0</v>
      </c>
      <c r="G373" s="29">
        <v>44672</v>
      </c>
      <c r="H373">
        <v>438.06</v>
      </c>
      <c r="I373">
        <v>440.21519999999998</v>
      </c>
      <c r="J373">
        <v>448.56020000000001</v>
      </c>
      <c r="K373" s="10">
        <v>0</v>
      </c>
    </row>
    <row r="374" spans="1:11" x14ac:dyDescent="0.4">
      <c r="A374" s="25">
        <v>44677</v>
      </c>
      <c r="B374" s="11">
        <v>416.1</v>
      </c>
      <c r="C374" s="11">
        <v>438.68180000000001</v>
      </c>
      <c r="D374" s="11">
        <v>448.39580000000001</v>
      </c>
      <c r="E374" s="10">
        <f t="shared" si="5"/>
        <v>0</v>
      </c>
      <c r="G374" s="29">
        <v>44673</v>
      </c>
      <c r="H374">
        <v>426.04</v>
      </c>
      <c r="I374">
        <v>439.58519999999999</v>
      </c>
      <c r="J374">
        <v>448.53579999999999</v>
      </c>
      <c r="K374" s="10">
        <v>0</v>
      </c>
    </row>
    <row r="375" spans="1:11" x14ac:dyDescent="0.4">
      <c r="A375" s="25">
        <v>44678</v>
      </c>
      <c r="B375" s="11">
        <v>417.27</v>
      </c>
      <c r="C375" s="11">
        <v>438.24680000000001</v>
      </c>
      <c r="D375" s="11">
        <v>448.30419999999998</v>
      </c>
      <c r="E375" s="10">
        <f t="shared" si="5"/>
        <v>0</v>
      </c>
      <c r="G375" s="29">
        <v>44676</v>
      </c>
      <c r="H375">
        <v>428.51</v>
      </c>
      <c r="I375">
        <v>439.16899999999998</v>
      </c>
      <c r="J375">
        <v>448.50080000000003</v>
      </c>
      <c r="K375" s="10">
        <v>0</v>
      </c>
    </row>
    <row r="376" spans="1:11" x14ac:dyDescent="0.4">
      <c r="A376" s="25">
        <v>44679</v>
      </c>
      <c r="B376" s="11">
        <v>427.81</v>
      </c>
      <c r="C376" s="11">
        <v>437.88099999999997</v>
      </c>
      <c r="D376" s="11">
        <v>448.26209999999998</v>
      </c>
      <c r="E376" s="10">
        <f t="shared" si="5"/>
        <v>0</v>
      </c>
      <c r="G376" s="29">
        <v>44677</v>
      </c>
      <c r="H376">
        <v>416.1</v>
      </c>
      <c r="I376">
        <v>438.68180000000001</v>
      </c>
      <c r="J376">
        <v>448.39580000000001</v>
      </c>
      <c r="K376" s="10">
        <v>0</v>
      </c>
    </row>
    <row r="377" spans="1:11" x14ac:dyDescent="0.4">
      <c r="A377" s="25">
        <v>44680</v>
      </c>
      <c r="B377" s="11">
        <v>412</v>
      </c>
      <c r="C377" s="11">
        <v>437.18900000000002</v>
      </c>
      <c r="D377" s="11">
        <v>448.14839999999998</v>
      </c>
      <c r="E377" s="10">
        <f t="shared" si="5"/>
        <v>0</v>
      </c>
      <c r="G377" s="29">
        <v>44678</v>
      </c>
      <c r="H377">
        <v>417.27</v>
      </c>
      <c r="I377">
        <v>438.24680000000001</v>
      </c>
      <c r="J377">
        <v>448.30419999999998</v>
      </c>
      <c r="K377" s="10">
        <v>0</v>
      </c>
    </row>
    <row r="378" spans="1:11" x14ac:dyDescent="0.4">
      <c r="A378" s="25">
        <v>44683</v>
      </c>
      <c r="B378" s="11">
        <v>414.48</v>
      </c>
      <c r="C378" s="11">
        <v>436.73739999999998</v>
      </c>
      <c r="D378" s="11">
        <v>448.06400000000002</v>
      </c>
      <c r="E378" s="10">
        <f t="shared" si="5"/>
        <v>0</v>
      </c>
      <c r="G378" s="29">
        <v>44679</v>
      </c>
      <c r="H378">
        <v>427.81</v>
      </c>
      <c r="I378">
        <v>437.88099999999997</v>
      </c>
      <c r="J378">
        <v>448.26209999999998</v>
      </c>
      <c r="K378" s="10">
        <v>0</v>
      </c>
    </row>
    <row r="379" spans="1:11" x14ac:dyDescent="0.4">
      <c r="A379" s="25">
        <v>44684</v>
      </c>
      <c r="B379" s="11">
        <v>416.38</v>
      </c>
      <c r="C379" s="11">
        <v>436.38040000000001</v>
      </c>
      <c r="D379" s="11">
        <v>448.02109999999999</v>
      </c>
      <c r="E379" s="10">
        <f t="shared" si="5"/>
        <v>0</v>
      </c>
      <c r="G379" s="29">
        <v>44680</v>
      </c>
      <c r="H379">
        <v>412</v>
      </c>
      <c r="I379">
        <v>437.18900000000002</v>
      </c>
      <c r="J379">
        <v>448.14839999999998</v>
      </c>
      <c r="K379" s="10">
        <v>0</v>
      </c>
    </row>
    <row r="380" spans="1:11" x14ac:dyDescent="0.4">
      <c r="A380" s="25">
        <v>44685</v>
      </c>
      <c r="B380" s="11">
        <v>429.06</v>
      </c>
      <c r="C380" s="11">
        <v>436.37020000000001</v>
      </c>
      <c r="D380" s="11">
        <v>448.0111</v>
      </c>
      <c r="E380" s="10">
        <f t="shared" si="5"/>
        <v>0</v>
      </c>
      <c r="G380" s="29">
        <v>44683</v>
      </c>
      <c r="H380">
        <v>414.48</v>
      </c>
      <c r="I380">
        <v>436.73739999999998</v>
      </c>
      <c r="J380">
        <v>448.06400000000002</v>
      </c>
      <c r="K380" s="10">
        <v>0</v>
      </c>
    </row>
    <row r="381" spans="1:11" x14ac:dyDescent="0.4">
      <c r="A381" s="25">
        <v>44686</v>
      </c>
      <c r="B381" s="11">
        <v>413.81</v>
      </c>
      <c r="C381" s="11">
        <v>436.20740000000001</v>
      </c>
      <c r="D381" s="11">
        <v>447.9074</v>
      </c>
      <c r="E381" s="10">
        <f t="shared" si="5"/>
        <v>0</v>
      </c>
      <c r="G381" s="29">
        <v>44684</v>
      </c>
      <c r="H381">
        <v>416.38</v>
      </c>
      <c r="I381">
        <v>436.38040000000001</v>
      </c>
      <c r="J381">
        <v>448.02109999999999</v>
      </c>
      <c r="K381" s="10">
        <v>0</v>
      </c>
    </row>
    <row r="382" spans="1:11" x14ac:dyDescent="0.4">
      <c r="A382" s="25">
        <v>44687</v>
      </c>
      <c r="B382" s="11">
        <v>411.34</v>
      </c>
      <c r="C382" s="11">
        <v>435.8682</v>
      </c>
      <c r="D382" s="11">
        <v>447.78680000000003</v>
      </c>
      <c r="E382" s="10">
        <f t="shared" si="5"/>
        <v>0</v>
      </c>
      <c r="G382" s="29">
        <v>44685</v>
      </c>
      <c r="H382">
        <v>429.06</v>
      </c>
      <c r="I382">
        <v>436.37020000000001</v>
      </c>
      <c r="J382">
        <v>448.0111</v>
      </c>
      <c r="K382" s="10">
        <v>0</v>
      </c>
    </row>
    <row r="383" spans="1:11" x14ac:dyDescent="0.4">
      <c r="A383" s="25">
        <v>44690</v>
      </c>
      <c r="B383" s="11">
        <v>398.17</v>
      </c>
      <c r="C383" s="11">
        <v>435.07659999999998</v>
      </c>
      <c r="D383" s="11">
        <v>447.57799999999997</v>
      </c>
      <c r="E383" s="10">
        <f t="shared" si="5"/>
        <v>0</v>
      </c>
      <c r="G383" s="29">
        <v>44686</v>
      </c>
      <c r="H383">
        <v>413.81</v>
      </c>
      <c r="I383">
        <v>436.20740000000001</v>
      </c>
      <c r="J383">
        <v>447.9074</v>
      </c>
      <c r="K383" s="10">
        <v>0</v>
      </c>
    </row>
    <row r="384" spans="1:11" x14ac:dyDescent="0.4">
      <c r="A384" s="25">
        <v>44691</v>
      </c>
      <c r="B384" s="11">
        <v>399.09</v>
      </c>
      <c r="C384" s="11">
        <v>434.32580000000002</v>
      </c>
      <c r="D384" s="11">
        <v>447.36829999999998</v>
      </c>
      <c r="E384" s="10">
        <f t="shared" si="5"/>
        <v>0</v>
      </c>
      <c r="G384" s="29">
        <v>44687</v>
      </c>
      <c r="H384">
        <v>411.34</v>
      </c>
      <c r="I384">
        <v>435.8682</v>
      </c>
      <c r="J384">
        <v>447.78680000000003</v>
      </c>
      <c r="K384" s="10">
        <v>0</v>
      </c>
    </row>
    <row r="385" spans="1:11" x14ac:dyDescent="0.4">
      <c r="A385" s="25">
        <v>44692</v>
      </c>
      <c r="B385" s="11">
        <v>392.75</v>
      </c>
      <c r="C385" s="11">
        <v>433.58120000000002</v>
      </c>
      <c r="D385" s="11">
        <v>447.137</v>
      </c>
      <c r="E385" s="10">
        <f t="shared" si="5"/>
        <v>0</v>
      </c>
      <c r="G385" s="29">
        <v>44690</v>
      </c>
      <c r="H385">
        <v>398.17</v>
      </c>
      <c r="I385">
        <v>435.07659999999998</v>
      </c>
      <c r="J385">
        <v>447.57799999999997</v>
      </c>
      <c r="K385" s="10">
        <v>0</v>
      </c>
    </row>
    <row r="386" spans="1:11" x14ac:dyDescent="0.4">
      <c r="A386" s="25">
        <v>44693</v>
      </c>
      <c r="B386" s="11">
        <v>392.34</v>
      </c>
      <c r="C386" s="11">
        <v>432.67020000000002</v>
      </c>
      <c r="D386" s="11">
        <v>446.90460000000002</v>
      </c>
      <c r="E386" s="10">
        <f t="shared" si="5"/>
        <v>0</v>
      </c>
      <c r="G386" s="29">
        <v>44691</v>
      </c>
      <c r="H386">
        <v>399.09</v>
      </c>
      <c r="I386">
        <v>434.32580000000002</v>
      </c>
      <c r="J386">
        <v>447.36829999999998</v>
      </c>
      <c r="K386" s="10">
        <v>0</v>
      </c>
    </row>
    <row r="387" spans="1:11" x14ac:dyDescent="0.4">
      <c r="A387" s="25">
        <v>44694</v>
      </c>
      <c r="B387" s="11">
        <v>401.72</v>
      </c>
      <c r="C387" s="11">
        <v>431.99040000000002</v>
      </c>
      <c r="D387" s="11">
        <v>446.7099</v>
      </c>
      <c r="E387" s="10">
        <f t="shared" ref="E387:E450" si="6">IF(AND(C387&gt;D387, C386&lt;D386), 1, 0)</f>
        <v>0</v>
      </c>
      <c r="G387" s="29">
        <v>44692</v>
      </c>
      <c r="H387">
        <v>392.75</v>
      </c>
      <c r="I387">
        <v>433.58120000000002</v>
      </c>
      <c r="J387">
        <v>447.137</v>
      </c>
      <c r="K387" s="10">
        <v>0</v>
      </c>
    </row>
    <row r="388" spans="1:11" x14ac:dyDescent="0.4">
      <c r="A388" s="25">
        <v>44697</v>
      </c>
      <c r="B388" s="11">
        <v>400.09</v>
      </c>
      <c r="C388" s="11">
        <v>431.34879999999998</v>
      </c>
      <c r="D388" s="11">
        <v>446.51780000000002</v>
      </c>
      <c r="E388" s="10">
        <f t="shared" si="6"/>
        <v>0</v>
      </c>
      <c r="G388" s="29">
        <v>44693</v>
      </c>
      <c r="H388">
        <v>392.34</v>
      </c>
      <c r="I388">
        <v>432.67020000000002</v>
      </c>
      <c r="J388">
        <v>446.90460000000002</v>
      </c>
      <c r="K388" s="10">
        <v>0</v>
      </c>
    </row>
    <row r="389" spans="1:11" x14ac:dyDescent="0.4">
      <c r="A389" s="25">
        <v>44698</v>
      </c>
      <c r="B389" s="11">
        <v>408.32</v>
      </c>
      <c r="C389" s="11">
        <v>431.1266</v>
      </c>
      <c r="D389" s="11">
        <v>446.37139999999999</v>
      </c>
      <c r="E389" s="10">
        <f t="shared" si="6"/>
        <v>0</v>
      </c>
      <c r="G389" s="29">
        <v>44694</v>
      </c>
      <c r="H389">
        <v>401.72</v>
      </c>
      <c r="I389">
        <v>431.99040000000002</v>
      </c>
      <c r="J389">
        <v>446.7099</v>
      </c>
      <c r="K389" s="10">
        <v>0</v>
      </c>
    </row>
    <row r="390" spans="1:11" x14ac:dyDescent="0.4">
      <c r="A390" s="25">
        <v>44699</v>
      </c>
      <c r="B390" s="11">
        <v>391.86</v>
      </c>
      <c r="C390" s="11">
        <v>430.6388</v>
      </c>
      <c r="D390" s="11">
        <v>446.125</v>
      </c>
      <c r="E390" s="10">
        <f t="shared" si="6"/>
        <v>0</v>
      </c>
      <c r="G390" s="29">
        <v>44697</v>
      </c>
      <c r="H390">
        <v>400.09</v>
      </c>
      <c r="I390">
        <v>431.34879999999998</v>
      </c>
      <c r="J390">
        <v>446.51780000000002</v>
      </c>
      <c r="K390" s="10">
        <v>0</v>
      </c>
    </row>
    <row r="391" spans="1:11" x14ac:dyDescent="0.4">
      <c r="A391" s="25">
        <v>44700</v>
      </c>
      <c r="B391" s="11">
        <v>389.46</v>
      </c>
      <c r="C391" s="11">
        <v>429.87979999999999</v>
      </c>
      <c r="D391" s="11">
        <v>445.87740000000002</v>
      </c>
      <c r="E391" s="10">
        <f t="shared" si="6"/>
        <v>0</v>
      </c>
      <c r="G391" s="29">
        <v>44698</v>
      </c>
      <c r="H391">
        <v>408.32</v>
      </c>
      <c r="I391">
        <v>431.1266</v>
      </c>
      <c r="J391">
        <v>446.37139999999999</v>
      </c>
      <c r="K391" s="10">
        <v>0</v>
      </c>
    </row>
    <row r="392" spans="1:11" x14ac:dyDescent="0.4">
      <c r="A392" s="25">
        <v>44701</v>
      </c>
      <c r="B392" s="11">
        <v>389.63</v>
      </c>
      <c r="C392" s="11">
        <v>429.1628</v>
      </c>
      <c r="D392" s="11">
        <v>445.61680000000001</v>
      </c>
      <c r="E392" s="10">
        <f t="shared" si="6"/>
        <v>0</v>
      </c>
      <c r="G392" s="29">
        <v>44699</v>
      </c>
      <c r="H392">
        <v>391.86</v>
      </c>
      <c r="I392">
        <v>430.6388</v>
      </c>
      <c r="J392">
        <v>446.125</v>
      </c>
      <c r="K392" s="10">
        <v>0</v>
      </c>
    </row>
    <row r="393" spans="1:11" x14ac:dyDescent="0.4">
      <c r="A393" s="25">
        <v>44704</v>
      </c>
      <c r="B393" s="11">
        <v>396.92</v>
      </c>
      <c r="C393" s="11">
        <v>428.69979999999998</v>
      </c>
      <c r="D393" s="11">
        <v>445.38889999999998</v>
      </c>
      <c r="E393" s="10">
        <f t="shared" si="6"/>
        <v>0</v>
      </c>
      <c r="G393" s="29">
        <v>44700</v>
      </c>
      <c r="H393">
        <v>389.46</v>
      </c>
      <c r="I393">
        <v>429.87979999999999</v>
      </c>
      <c r="J393">
        <v>445.87740000000002</v>
      </c>
      <c r="K393" s="10">
        <v>0</v>
      </c>
    </row>
    <row r="394" spans="1:11" x14ac:dyDescent="0.4">
      <c r="A394" s="25">
        <v>44705</v>
      </c>
      <c r="B394" s="11">
        <v>393.89</v>
      </c>
      <c r="C394" s="11">
        <v>428.23759999999999</v>
      </c>
      <c r="D394" s="11">
        <v>445.14769999999999</v>
      </c>
      <c r="E394" s="10">
        <f t="shared" si="6"/>
        <v>0</v>
      </c>
      <c r="G394" s="29">
        <v>44701</v>
      </c>
      <c r="H394">
        <v>389.63</v>
      </c>
      <c r="I394">
        <v>429.1628</v>
      </c>
      <c r="J394">
        <v>445.61680000000001</v>
      </c>
      <c r="K394" s="10">
        <v>0</v>
      </c>
    </row>
    <row r="395" spans="1:11" x14ac:dyDescent="0.4">
      <c r="A395" s="25">
        <v>44706</v>
      </c>
      <c r="B395" s="11">
        <v>397.37</v>
      </c>
      <c r="C395" s="11">
        <v>427.66160000000002</v>
      </c>
      <c r="D395" s="11">
        <v>444.9212</v>
      </c>
      <c r="E395" s="10">
        <f t="shared" si="6"/>
        <v>0</v>
      </c>
      <c r="G395" s="29">
        <v>44704</v>
      </c>
      <c r="H395">
        <v>396.92</v>
      </c>
      <c r="I395">
        <v>428.69979999999998</v>
      </c>
      <c r="J395">
        <v>445.38889999999998</v>
      </c>
      <c r="K395" s="10">
        <v>0</v>
      </c>
    </row>
    <row r="396" spans="1:11" x14ac:dyDescent="0.4">
      <c r="A396" s="25">
        <v>44707</v>
      </c>
      <c r="B396" s="11">
        <v>405.31</v>
      </c>
      <c r="C396" s="11">
        <v>427.05540000000002</v>
      </c>
      <c r="D396" s="11">
        <v>444.72879999999998</v>
      </c>
      <c r="E396" s="10">
        <f t="shared" si="6"/>
        <v>0</v>
      </c>
      <c r="G396" s="29">
        <v>44705</v>
      </c>
      <c r="H396">
        <v>393.89</v>
      </c>
      <c r="I396">
        <v>428.23759999999999</v>
      </c>
      <c r="J396">
        <v>445.14769999999999</v>
      </c>
      <c r="K396" s="10">
        <v>0</v>
      </c>
    </row>
    <row r="397" spans="1:11" x14ac:dyDescent="0.4">
      <c r="A397" s="25">
        <v>44708</v>
      </c>
      <c r="B397" s="11">
        <v>415.26</v>
      </c>
      <c r="C397" s="11">
        <v>426.53919999999999</v>
      </c>
      <c r="D397" s="11">
        <v>444.57960000000003</v>
      </c>
      <c r="E397" s="10">
        <f t="shared" si="6"/>
        <v>0</v>
      </c>
      <c r="G397" s="29">
        <v>44706</v>
      </c>
      <c r="H397">
        <v>397.37</v>
      </c>
      <c r="I397">
        <v>427.66160000000002</v>
      </c>
      <c r="J397">
        <v>444.9212</v>
      </c>
      <c r="K397" s="10">
        <v>0</v>
      </c>
    </row>
    <row r="398" spans="1:11" x14ac:dyDescent="0.4">
      <c r="A398" s="25">
        <v>44712</v>
      </c>
      <c r="B398" s="11">
        <v>412.93</v>
      </c>
      <c r="C398" s="11">
        <v>425.9074</v>
      </c>
      <c r="D398" s="11">
        <v>444.41460000000001</v>
      </c>
      <c r="E398" s="10">
        <f t="shared" si="6"/>
        <v>0</v>
      </c>
      <c r="G398" s="29">
        <v>44707</v>
      </c>
      <c r="H398">
        <v>405.31</v>
      </c>
      <c r="I398">
        <v>427.05540000000002</v>
      </c>
      <c r="J398">
        <v>444.72879999999998</v>
      </c>
      <c r="K398" s="10">
        <v>0</v>
      </c>
    </row>
    <row r="399" spans="1:11" x14ac:dyDescent="0.4">
      <c r="A399" s="25">
        <v>44713</v>
      </c>
      <c r="B399" s="11">
        <v>409.59</v>
      </c>
      <c r="C399" s="11">
        <v>425.21140000000003</v>
      </c>
      <c r="D399" s="11">
        <v>444.22770000000003</v>
      </c>
      <c r="E399" s="10">
        <f t="shared" si="6"/>
        <v>0</v>
      </c>
      <c r="G399" s="29">
        <v>44708</v>
      </c>
      <c r="H399">
        <v>415.26</v>
      </c>
      <c r="I399">
        <v>426.53919999999999</v>
      </c>
      <c r="J399">
        <v>444.57960000000003</v>
      </c>
      <c r="K399" s="10">
        <v>0</v>
      </c>
    </row>
    <row r="400" spans="1:11" x14ac:dyDescent="0.4">
      <c r="A400" s="25">
        <v>44714</v>
      </c>
      <c r="B400" s="11">
        <v>417.39</v>
      </c>
      <c r="C400" s="11">
        <v>424.56740000000002</v>
      </c>
      <c r="D400" s="11">
        <v>444.09440000000001</v>
      </c>
      <c r="E400" s="10">
        <f t="shared" si="6"/>
        <v>0</v>
      </c>
      <c r="G400" s="29">
        <v>44712</v>
      </c>
      <c r="H400">
        <v>412.93</v>
      </c>
      <c r="I400">
        <v>425.9074</v>
      </c>
      <c r="J400">
        <v>444.41460000000001</v>
      </c>
      <c r="K400" s="10">
        <v>0</v>
      </c>
    </row>
    <row r="401" spans="1:11" x14ac:dyDescent="0.4">
      <c r="A401" s="25">
        <v>44715</v>
      </c>
      <c r="B401" s="11">
        <v>410.54</v>
      </c>
      <c r="C401" s="11">
        <v>423.90219999999999</v>
      </c>
      <c r="D401" s="11">
        <v>443.95119999999997</v>
      </c>
      <c r="E401" s="10">
        <f t="shared" si="6"/>
        <v>0</v>
      </c>
      <c r="G401" s="29">
        <v>44713</v>
      </c>
      <c r="H401">
        <v>409.59</v>
      </c>
      <c r="I401">
        <v>425.21140000000003</v>
      </c>
      <c r="J401">
        <v>444.22770000000003</v>
      </c>
      <c r="K401" s="10">
        <v>0</v>
      </c>
    </row>
    <row r="402" spans="1:11" x14ac:dyDescent="0.4">
      <c r="A402" s="25">
        <v>44718</v>
      </c>
      <c r="B402" s="11">
        <v>411.79</v>
      </c>
      <c r="C402" s="11">
        <v>423.12819999999999</v>
      </c>
      <c r="D402" s="11">
        <v>443.8109</v>
      </c>
      <c r="E402" s="10">
        <f t="shared" si="6"/>
        <v>0</v>
      </c>
      <c r="G402" s="29">
        <v>44714</v>
      </c>
      <c r="H402">
        <v>417.39</v>
      </c>
      <c r="I402">
        <v>424.56740000000002</v>
      </c>
      <c r="J402">
        <v>444.09440000000001</v>
      </c>
      <c r="K402" s="10">
        <v>0</v>
      </c>
    </row>
    <row r="403" spans="1:11" x14ac:dyDescent="0.4">
      <c r="A403" s="25">
        <v>44719</v>
      </c>
      <c r="B403" s="11">
        <v>415.74</v>
      </c>
      <c r="C403" s="11">
        <v>422.38920000000002</v>
      </c>
      <c r="D403" s="11">
        <v>443.6728</v>
      </c>
      <c r="E403" s="10">
        <f t="shared" si="6"/>
        <v>0</v>
      </c>
      <c r="G403" s="29">
        <v>44715</v>
      </c>
      <c r="H403">
        <v>410.54</v>
      </c>
      <c r="I403">
        <v>423.90219999999999</v>
      </c>
      <c r="J403">
        <v>443.95119999999997</v>
      </c>
      <c r="K403" s="10">
        <v>0</v>
      </c>
    </row>
    <row r="404" spans="1:11" x14ac:dyDescent="0.4">
      <c r="A404" s="25">
        <v>44720</v>
      </c>
      <c r="B404" s="11">
        <v>411.22</v>
      </c>
      <c r="C404" s="11">
        <v>421.49540000000002</v>
      </c>
      <c r="D404" s="11">
        <v>443.49259999999998</v>
      </c>
      <c r="E404" s="10">
        <f t="shared" si="6"/>
        <v>0</v>
      </c>
      <c r="G404" s="29">
        <v>44718</v>
      </c>
      <c r="H404">
        <v>411.79</v>
      </c>
      <c r="I404">
        <v>423.12819999999999</v>
      </c>
      <c r="J404">
        <v>443.8109</v>
      </c>
      <c r="K404" s="10">
        <v>0</v>
      </c>
    </row>
    <row r="405" spans="1:11" x14ac:dyDescent="0.4">
      <c r="A405" s="25">
        <v>44721</v>
      </c>
      <c r="B405" s="11">
        <v>401.44</v>
      </c>
      <c r="C405" s="11">
        <v>420.29320000000001</v>
      </c>
      <c r="D405" s="11">
        <v>443.26</v>
      </c>
      <c r="E405" s="10">
        <f t="shared" si="6"/>
        <v>0</v>
      </c>
      <c r="G405" s="29">
        <v>44719</v>
      </c>
      <c r="H405">
        <v>415.74</v>
      </c>
      <c r="I405">
        <v>422.38920000000002</v>
      </c>
      <c r="J405">
        <v>443.6728</v>
      </c>
      <c r="K405" s="10">
        <v>0</v>
      </c>
    </row>
    <row r="406" spans="1:11" x14ac:dyDescent="0.4">
      <c r="A406" s="25">
        <v>44722</v>
      </c>
      <c r="B406" s="11">
        <v>389.8</v>
      </c>
      <c r="C406" s="11">
        <v>418.91520000000003</v>
      </c>
      <c r="D406" s="11">
        <v>442.96440000000001</v>
      </c>
      <c r="E406" s="10">
        <f t="shared" si="6"/>
        <v>0</v>
      </c>
      <c r="G406" s="29">
        <v>44720</v>
      </c>
      <c r="H406">
        <v>411.22</v>
      </c>
      <c r="I406">
        <v>421.49540000000002</v>
      </c>
      <c r="J406">
        <v>443.49259999999998</v>
      </c>
      <c r="K406" s="10">
        <v>0</v>
      </c>
    </row>
    <row r="407" spans="1:11" x14ac:dyDescent="0.4">
      <c r="A407" s="25">
        <v>44725</v>
      </c>
      <c r="B407" s="11">
        <v>375</v>
      </c>
      <c r="C407" s="11">
        <v>417.38240000000002</v>
      </c>
      <c r="D407" s="11">
        <v>442.60809999999998</v>
      </c>
      <c r="E407" s="10">
        <f t="shared" si="6"/>
        <v>0</v>
      </c>
      <c r="G407" s="29">
        <v>44721</v>
      </c>
      <c r="H407">
        <v>401.44</v>
      </c>
      <c r="I407">
        <v>420.29320000000001</v>
      </c>
      <c r="J407">
        <v>443.26</v>
      </c>
      <c r="K407" s="10">
        <v>0</v>
      </c>
    </row>
    <row r="408" spans="1:11" x14ac:dyDescent="0.4">
      <c r="A408" s="25">
        <v>44726</v>
      </c>
      <c r="B408" s="11">
        <v>373.87</v>
      </c>
      <c r="C408" s="11">
        <v>415.8014</v>
      </c>
      <c r="D408" s="11">
        <v>442.22620000000001</v>
      </c>
      <c r="E408" s="10">
        <f t="shared" si="6"/>
        <v>0</v>
      </c>
      <c r="G408" s="29">
        <v>44722</v>
      </c>
      <c r="H408">
        <v>389.8</v>
      </c>
      <c r="I408">
        <v>418.91520000000003</v>
      </c>
      <c r="J408">
        <v>442.96440000000001</v>
      </c>
      <c r="K408" s="10">
        <v>0</v>
      </c>
    </row>
    <row r="409" spans="1:11" x14ac:dyDescent="0.4">
      <c r="A409" s="25">
        <v>44727</v>
      </c>
      <c r="B409" s="11">
        <v>379.2</v>
      </c>
      <c r="C409" s="11">
        <v>414.24939999999998</v>
      </c>
      <c r="D409" s="11">
        <v>441.86099999999999</v>
      </c>
      <c r="E409" s="10">
        <f t="shared" si="6"/>
        <v>0</v>
      </c>
      <c r="G409" s="29">
        <v>44725</v>
      </c>
      <c r="H409">
        <v>375</v>
      </c>
      <c r="I409">
        <v>417.38240000000002</v>
      </c>
      <c r="J409">
        <v>442.60809999999998</v>
      </c>
      <c r="K409" s="10">
        <v>0</v>
      </c>
    </row>
    <row r="410" spans="1:11" x14ac:dyDescent="0.4">
      <c r="A410" s="25">
        <v>44728</v>
      </c>
      <c r="B410" s="11">
        <v>366.65</v>
      </c>
      <c r="C410" s="11">
        <v>412.56180000000001</v>
      </c>
      <c r="D410" s="11">
        <v>441.43650000000002</v>
      </c>
      <c r="E410" s="10">
        <f t="shared" si="6"/>
        <v>0</v>
      </c>
      <c r="G410" s="29">
        <v>44726</v>
      </c>
      <c r="H410">
        <v>373.87</v>
      </c>
      <c r="I410">
        <v>415.8014</v>
      </c>
      <c r="J410">
        <v>442.22620000000001</v>
      </c>
      <c r="K410" s="10">
        <v>0</v>
      </c>
    </row>
    <row r="411" spans="1:11" x14ac:dyDescent="0.4">
      <c r="A411" s="25">
        <v>44729</v>
      </c>
      <c r="B411" s="11">
        <v>365.86</v>
      </c>
      <c r="C411" s="11">
        <v>410.9486</v>
      </c>
      <c r="D411" s="11">
        <v>441.0068</v>
      </c>
      <c r="E411" s="10">
        <f t="shared" si="6"/>
        <v>0</v>
      </c>
      <c r="G411" s="29">
        <v>44727</v>
      </c>
      <c r="H411">
        <v>379.2</v>
      </c>
      <c r="I411">
        <v>414.24939999999998</v>
      </c>
      <c r="J411">
        <v>441.86099999999999</v>
      </c>
      <c r="K411" s="10">
        <v>0</v>
      </c>
    </row>
    <row r="412" spans="1:11" x14ac:dyDescent="0.4">
      <c r="A412" s="25">
        <v>44733</v>
      </c>
      <c r="B412" s="11">
        <v>375.07</v>
      </c>
      <c r="C412" s="11">
        <v>409.47460000000001</v>
      </c>
      <c r="D412" s="11">
        <v>440.61619999999999</v>
      </c>
      <c r="E412" s="10">
        <f t="shared" si="6"/>
        <v>0</v>
      </c>
      <c r="G412" s="29">
        <v>44728</v>
      </c>
      <c r="H412">
        <v>366.65</v>
      </c>
      <c r="I412">
        <v>412.56180000000001</v>
      </c>
      <c r="J412">
        <v>441.43650000000002</v>
      </c>
      <c r="K412" s="10">
        <v>0</v>
      </c>
    </row>
    <row r="413" spans="1:11" x14ac:dyDescent="0.4">
      <c r="A413" s="25">
        <v>44734</v>
      </c>
      <c r="B413" s="11">
        <v>374.39</v>
      </c>
      <c r="C413" s="11">
        <v>408.01100000000002</v>
      </c>
      <c r="D413" s="11">
        <v>440.22280000000001</v>
      </c>
      <c r="E413" s="10">
        <f t="shared" si="6"/>
        <v>0</v>
      </c>
      <c r="G413" s="29">
        <v>44729</v>
      </c>
      <c r="H413">
        <v>365.86</v>
      </c>
      <c r="I413">
        <v>410.9486</v>
      </c>
      <c r="J413">
        <v>441.0068</v>
      </c>
      <c r="K413" s="10">
        <v>0</v>
      </c>
    </row>
    <row r="414" spans="1:11" x14ac:dyDescent="0.4">
      <c r="A414" s="25">
        <v>44735</v>
      </c>
      <c r="B414" s="11">
        <v>378.06</v>
      </c>
      <c r="C414" s="11">
        <v>406.77379999999999</v>
      </c>
      <c r="D414" s="11">
        <v>439.85579999999999</v>
      </c>
      <c r="E414" s="10">
        <f t="shared" si="6"/>
        <v>0</v>
      </c>
      <c r="G414" s="29">
        <v>44733</v>
      </c>
      <c r="H414">
        <v>375.07</v>
      </c>
      <c r="I414">
        <v>409.47460000000001</v>
      </c>
      <c r="J414">
        <v>440.61619999999999</v>
      </c>
      <c r="K414" s="10">
        <v>0</v>
      </c>
    </row>
    <row r="415" spans="1:11" x14ac:dyDescent="0.4">
      <c r="A415" s="25">
        <v>44736</v>
      </c>
      <c r="B415" s="11">
        <v>390.08</v>
      </c>
      <c r="C415" s="11">
        <v>405.80959999999999</v>
      </c>
      <c r="D415" s="11">
        <v>439.55160000000001</v>
      </c>
      <c r="E415" s="10">
        <f t="shared" si="6"/>
        <v>0</v>
      </c>
      <c r="G415" s="29">
        <v>44734</v>
      </c>
      <c r="H415">
        <v>374.39</v>
      </c>
      <c r="I415">
        <v>408.01100000000002</v>
      </c>
      <c r="J415">
        <v>440.22280000000001</v>
      </c>
      <c r="K415" s="10">
        <v>0</v>
      </c>
    </row>
    <row r="416" spans="1:11" x14ac:dyDescent="0.4">
      <c r="A416" s="25">
        <v>44739</v>
      </c>
      <c r="B416" s="11">
        <v>388.59</v>
      </c>
      <c r="C416" s="11">
        <v>404.71519999999998</v>
      </c>
      <c r="D416" s="11">
        <v>439.24959999999999</v>
      </c>
      <c r="E416" s="10">
        <f t="shared" si="6"/>
        <v>0</v>
      </c>
      <c r="G416" s="29">
        <v>44735</v>
      </c>
      <c r="H416">
        <v>378.06</v>
      </c>
      <c r="I416">
        <v>406.77379999999999</v>
      </c>
      <c r="J416">
        <v>439.85579999999999</v>
      </c>
      <c r="K416" s="10">
        <v>0</v>
      </c>
    </row>
    <row r="417" spans="1:11" x14ac:dyDescent="0.4">
      <c r="A417" s="25">
        <v>44740</v>
      </c>
      <c r="B417" s="11">
        <v>380.65</v>
      </c>
      <c r="C417" s="11">
        <v>403.57240000000002</v>
      </c>
      <c r="D417" s="11">
        <v>438.92570000000001</v>
      </c>
      <c r="E417" s="10">
        <f t="shared" si="6"/>
        <v>0</v>
      </c>
      <c r="G417" s="29">
        <v>44736</v>
      </c>
      <c r="H417">
        <v>390.08</v>
      </c>
      <c r="I417">
        <v>405.80959999999999</v>
      </c>
      <c r="J417">
        <v>439.55160000000001</v>
      </c>
      <c r="K417" s="10">
        <v>0</v>
      </c>
    </row>
    <row r="418" spans="1:11" x14ac:dyDescent="0.4">
      <c r="A418" s="25">
        <v>44741</v>
      </c>
      <c r="B418" s="11">
        <v>380.34</v>
      </c>
      <c r="C418" s="11">
        <v>402.41980000000001</v>
      </c>
      <c r="D418" s="11">
        <v>438.59449999999998</v>
      </c>
      <c r="E418" s="10">
        <f t="shared" si="6"/>
        <v>0</v>
      </c>
      <c r="G418" s="29">
        <v>44739</v>
      </c>
      <c r="H418">
        <v>388.59</v>
      </c>
      <c r="I418">
        <v>404.71519999999998</v>
      </c>
      <c r="J418">
        <v>439.24959999999999</v>
      </c>
      <c r="K418" s="10">
        <v>0</v>
      </c>
    </row>
    <row r="419" spans="1:11" x14ac:dyDescent="0.4">
      <c r="A419" s="25">
        <v>44742</v>
      </c>
      <c r="B419" s="11">
        <v>377.25</v>
      </c>
      <c r="C419" s="11">
        <v>401.06400000000002</v>
      </c>
      <c r="D419" s="11">
        <v>438.25990000000002</v>
      </c>
      <c r="E419" s="10">
        <f t="shared" si="6"/>
        <v>0</v>
      </c>
      <c r="G419" s="29">
        <v>44740</v>
      </c>
      <c r="H419">
        <v>380.65</v>
      </c>
      <c r="I419">
        <v>403.57240000000002</v>
      </c>
      <c r="J419">
        <v>438.92570000000001</v>
      </c>
      <c r="K419" s="10">
        <v>0</v>
      </c>
    </row>
    <row r="420" spans="1:11" x14ac:dyDescent="0.4">
      <c r="A420" s="25">
        <v>44743</v>
      </c>
      <c r="B420" s="11">
        <v>381.24</v>
      </c>
      <c r="C420" s="11">
        <v>399.7946</v>
      </c>
      <c r="D420" s="11">
        <v>437.92669999999998</v>
      </c>
      <c r="E420" s="10">
        <f t="shared" si="6"/>
        <v>0</v>
      </c>
      <c r="G420" s="29">
        <v>44741</v>
      </c>
      <c r="H420">
        <v>380.34</v>
      </c>
      <c r="I420">
        <v>402.41980000000001</v>
      </c>
      <c r="J420">
        <v>438.59449999999998</v>
      </c>
      <c r="K420" s="10">
        <v>0</v>
      </c>
    </row>
    <row r="421" spans="1:11" x14ac:dyDescent="0.4">
      <c r="A421" s="25">
        <v>44747</v>
      </c>
      <c r="B421" s="11">
        <v>381.96</v>
      </c>
      <c r="C421" s="11">
        <v>398.67259999999999</v>
      </c>
      <c r="D421" s="11">
        <v>437.60059999999999</v>
      </c>
      <c r="E421" s="10">
        <f t="shared" si="6"/>
        <v>0</v>
      </c>
      <c r="G421" s="29">
        <v>44742</v>
      </c>
      <c r="H421">
        <v>377.25</v>
      </c>
      <c r="I421">
        <v>401.06400000000002</v>
      </c>
      <c r="J421">
        <v>438.25990000000002</v>
      </c>
      <c r="K421" s="10">
        <v>0</v>
      </c>
    </row>
    <row r="422" spans="1:11" x14ac:dyDescent="0.4">
      <c r="A422" s="25">
        <v>44748</v>
      </c>
      <c r="B422" s="11">
        <v>383.25</v>
      </c>
      <c r="C422" s="11">
        <v>397.8168</v>
      </c>
      <c r="D422" s="11">
        <v>437.30990000000003</v>
      </c>
      <c r="E422" s="10">
        <f t="shared" si="6"/>
        <v>0</v>
      </c>
      <c r="G422" s="29">
        <v>44743</v>
      </c>
      <c r="H422">
        <v>381.24</v>
      </c>
      <c r="I422">
        <v>399.7946</v>
      </c>
      <c r="J422">
        <v>437.92669999999998</v>
      </c>
      <c r="K422" s="10">
        <v>0</v>
      </c>
    </row>
    <row r="423" spans="1:11" x14ac:dyDescent="0.4">
      <c r="A423" s="25">
        <v>44749</v>
      </c>
      <c r="B423" s="11">
        <v>388.99</v>
      </c>
      <c r="C423" s="11">
        <v>397.02640000000002</v>
      </c>
      <c r="D423" s="11">
        <v>437.08460000000002</v>
      </c>
      <c r="E423" s="10">
        <f t="shared" si="6"/>
        <v>0</v>
      </c>
      <c r="G423" s="29">
        <v>44747</v>
      </c>
      <c r="H423">
        <v>381.96</v>
      </c>
      <c r="I423">
        <v>398.67259999999999</v>
      </c>
      <c r="J423">
        <v>437.60059999999999</v>
      </c>
      <c r="K423" s="10">
        <v>0</v>
      </c>
    </row>
    <row r="424" spans="1:11" x14ac:dyDescent="0.4">
      <c r="A424" s="25">
        <v>44750</v>
      </c>
      <c r="B424" s="11">
        <v>388.67</v>
      </c>
      <c r="C424" s="11">
        <v>396.4778</v>
      </c>
      <c r="D424" s="11">
        <v>436.85980000000001</v>
      </c>
      <c r="E424" s="10">
        <f t="shared" si="6"/>
        <v>0</v>
      </c>
      <c r="G424" s="29">
        <v>44748</v>
      </c>
      <c r="H424">
        <v>383.25</v>
      </c>
      <c r="I424">
        <v>397.8168</v>
      </c>
      <c r="J424">
        <v>437.30990000000003</v>
      </c>
      <c r="K424" s="10">
        <v>0</v>
      </c>
    </row>
    <row r="425" spans="1:11" x14ac:dyDescent="0.4">
      <c r="A425" s="25">
        <v>44753</v>
      </c>
      <c r="B425" s="11">
        <v>384.23</v>
      </c>
      <c r="C425" s="11">
        <v>395.81700000000001</v>
      </c>
      <c r="D425" s="11">
        <v>436.5917</v>
      </c>
      <c r="E425" s="10">
        <f t="shared" si="6"/>
        <v>0</v>
      </c>
      <c r="G425" s="29">
        <v>44749</v>
      </c>
      <c r="H425">
        <v>388.99</v>
      </c>
      <c r="I425">
        <v>397.02640000000002</v>
      </c>
      <c r="J425">
        <v>437.08460000000002</v>
      </c>
      <c r="K425" s="10">
        <v>0</v>
      </c>
    </row>
    <row r="426" spans="1:11" x14ac:dyDescent="0.4">
      <c r="A426" s="25">
        <v>44754</v>
      </c>
      <c r="B426" s="11">
        <v>380.83</v>
      </c>
      <c r="C426" s="11">
        <v>394.87740000000002</v>
      </c>
      <c r="D426" s="11">
        <v>436.28</v>
      </c>
      <c r="E426" s="10">
        <f t="shared" si="6"/>
        <v>0</v>
      </c>
      <c r="G426" s="29">
        <v>44750</v>
      </c>
      <c r="H426">
        <v>388.67</v>
      </c>
      <c r="I426">
        <v>396.4778</v>
      </c>
      <c r="J426">
        <v>436.85980000000001</v>
      </c>
      <c r="K426" s="10">
        <v>0</v>
      </c>
    </row>
    <row r="427" spans="1:11" x14ac:dyDescent="0.4">
      <c r="A427" s="25">
        <v>44755</v>
      </c>
      <c r="B427" s="11">
        <v>378.83</v>
      </c>
      <c r="C427" s="11">
        <v>394.214</v>
      </c>
      <c r="D427" s="11">
        <v>435.95460000000003</v>
      </c>
      <c r="E427" s="10">
        <f t="shared" si="6"/>
        <v>0</v>
      </c>
      <c r="G427" s="29">
        <v>44753</v>
      </c>
      <c r="H427">
        <v>384.23</v>
      </c>
      <c r="I427">
        <v>395.81700000000001</v>
      </c>
      <c r="J427">
        <v>436.5917</v>
      </c>
      <c r="K427" s="10">
        <v>0</v>
      </c>
    </row>
    <row r="428" spans="1:11" x14ac:dyDescent="0.4">
      <c r="A428" s="25">
        <v>44756</v>
      </c>
      <c r="B428" s="11">
        <v>377.91</v>
      </c>
      <c r="C428" s="11">
        <v>393.48259999999999</v>
      </c>
      <c r="D428" s="11">
        <v>435.6309</v>
      </c>
      <c r="E428" s="10">
        <f t="shared" si="6"/>
        <v>0</v>
      </c>
      <c r="G428" s="29">
        <v>44754</v>
      </c>
      <c r="H428">
        <v>380.83</v>
      </c>
      <c r="I428">
        <v>394.87740000000002</v>
      </c>
      <c r="J428">
        <v>436.28</v>
      </c>
      <c r="K428" s="10">
        <v>0</v>
      </c>
    </row>
    <row r="429" spans="1:11" x14ac:dyDescent="0.4">
      <c r="A429" s="25">
        <v>44757</v>
      </c>
      <c r="B429" s="11">
        <v>385.13</v>
      </c>
      <c r="C429" s="11">
        <v>392.85759999999999</v>
      </c>
      <c r="D429" s="11">
        <v>435.38799999999998</v>
      </c>
      <c r="E429" s="10">
        <f t="shared" si="6"/>
        <v>0</v>
      </c>
      <c r="G429" s="29">
        <v>44755</v>
      </c>
      <c r="H429">
        <v>378.83</v>
      </c>
      <c r="I429">
        <v>394.214</v>
      </c>
      <c r="J429">
        <v>435.95460000000003</v>
      </c>
      <c r="K429" s="10">
        <v>0</v>
      </c>
    </row>
    <row r="430" spans="1:11" x14ac:dyDescent="0.4">
      <c r="A430" s="25">
        <v>44760</v>
      </c>
      <c r="B430" s="11">
        <v>381.95</v>
      </c>
      <c r="C430" s="11">
        <v>391.91539999999998</v>
      </c>
      <c r="D430" s="11">
        <v>435.12540000000001</v>
      </c>
      <c r="E430" s="10">
        <f t="shared" si="6"/>
        <v>0</v>
      </c>
      <c r="G430" s="29">
        <v>44756</v>
      </c>
      <c r="H430">
        <v>377.91</v>
      </c>
      <c r="I430">
        <v>393.48259999999999</v>
      </c>
      <c r="J430">
        <v>435.6309</v>
      </c>
      <c r="K430" s="10">
        <v>0</v>
      </c>
    </row>
    <row r="431" spans="1:11" x14ac:dyDescent="0.4">
      <c r="A431" s="25">
        <v>44761</v>
      </c>
      <c r="B431" s="11">
        <v>392.27</v>
      </c>
      <c r="C431" s="11">
        <v>391.4846</v>
      </c>
      <c r="D431" s="11">
        <v>434.94110000000001</v>
      </c>
      <c r="E431" s="10">
        <f t="shared" si="6"/>
        <v>0</v>
      </c>
      <c r="G431" s="29">
        <v>44757</v>
      </c>
      <c r="H431">
        <v>385.13</v>
      </c>
      <c r="I431">
        <v>392.85759999999999</v>
      </c>
      <c r="J431">
        <v>435.38799999999998</v>
      </c>
      <c r="K431" s="10">
        <v>0</v>
      </c>
    </row>
    <row r="432" spans="1:11" x14ac:dyDescent="0.4">
      <c r="A432" s="25">
        <v>44762</v>
      </c>
      <c r="B432" s="11">
        <v>394.77</v>
      </c>
      <c r="C432" s="11">
        <v>391.15320000000003</v>
      </c>
      <c r="D432" s="11">
        <v>434.74380000000002</v>
      </c>
      <c r="E432" s="10">
        <f t="shared" si="6"/>
        <v>0</v>
      </c>
      <c r="G432" s="29">
        <v>44760</v>
      </c>
      <c r="H432">
        <v>381.95</v>
      </c>
      <c r="I432">
        <v>391.91539999999998</v>
      </c>
      <c r="J432">
        <v>435.12540000000001</v>
      </c>
      <c r="K432" s="10">
        <v>0</v>
      </c>
    </row>
    <row r="433" spans="1:11" x14ac:dyDescent="0.4">
      <c r="A433" s="25">
        <v>44763</v>
      </c>
      <c r="B433" s="11">
        <v>398.79</v>
      </c>
      <c r="C433" s="11">
        <v>391.16559999999998</v>
      </c>
      <c r="D433" s="11">
        <v>434.59449999999998</v>
      </c>
      <c r="E433" s="10">
        <f t="shared" si="6"/>
        <v>0</v>
      </c>
      <c r="G433" s="29">
        <v>44761</v>
      </c>
      <c r="H433">
        <v>392.27</v>
      </c>
      <c r="I433">
        <v>391.4846</v>
      </c>
      <c r="J433">
        <v>434.94110000000001</v>
      </c>
      <c r="K433" s="10">
        <v>0</v>
      </c>
    </row>
    <row r="434" spans="1:11" x14ac:dyDescent="0.4">
      <c r="A434" s="25">
        <v>44764</v>
      </c>
      <c r="B434" s="11">
        <v>395.09</v>
      </c>
      <c r="C434" s="11">
        <v>391.0856</v>
      </c>
      <c r="D434" s="11">
        <v>434.40440000000001</v>
      </c>
      <c r="E434" s="10">
        <f t="shared" si="6"/>
        <v>0</v>
      </c>
      <c r="G434" s="29">
        <v>44762</v>
      </c>
      <c r="H434">
        <v>394.77</v>
      </c>
      <c r="I434">
        <v>391.15320000000003</v>
      </c>
      <c r="J434">
        <v>434.74380000000002</v>
      </c>
      <c r="K434" s="10">
        <v>0</v>
      </c>
    </row>
    <row r="435" spans="1:11" x14ac:dyDescent="0.4">
      <c r="A435" s="25">
        <v>44767</v>
      </c>
      <c r="B435" s="11">
        <v>395.57</v>
      </c>
      <c r="C435" s="11">
        <v>391.142</v>
      </c>
      <c r="D435" s="11">
        <v>434.20780000000002</v>
      </c>
      <c r="E435" s="10">
        <f t="shared" si="6"/>
        <v>0</v>
      </c>
      <c r="G435" s="29">
        <v>44763</v>
      </c>
      <c r="H435">
        <v>398.79</v>
      </c>
      <c r="I435">
        <v>391.16559999999998</v>
      </c>
      <c r="J435">
        <v>434.59449999999998</v>
      </c>
      <c r="K435" s="10">
        <v>0</v>
      </c>
    </row>
    <row r="436" spans="1:11" x14ac:dyDescent="0.4">
      <c r="A436" s="25">
        <v>44768</v>
      </c>
      <c r="B436" s="11">
        <v>390.89</v>
      </c>
      <c r="C436" s="11">
        <v>391.113</v>
      </c>
      <c r="D436" s="11">
        <v>433.96899999999999</v>
      </c>
      <c r="E436" s="10">
        <f t="shared" si="6"/>
        <v>0</v>
      </c>
      <c r="G436" s="29">
        <v>44764</v>
      </c>
      <c r="H436">
        <v>395.09</v>
      </c>
      <c r="I436">
        <v>391.0856</v>
      </c>
      <c r="J436">
        <v>434.40440000000001</v>
      </c>
      <c r="K436" s="10">
        <v>0</v>
      </c>
    </row>
    <row r="437" spans="1:11" x14ac:dyDescent="0.4">
      <c r="A437" s="25">
        <v>44769</v>
      </c>
      <c r="B437" s="11">
        <v>401.04</v>
      </c>
      <c r="C437" s="11">
        <v>391.0994</v>
      </c>
      <c r="D437" s="11">
        <v>433.78480000000002</v>
      </c>
      <c r="E437" s="10">
        <f t="shared" si="6"/>
        <v>0</v>
      </c>
      <c r="G437" s="29">
        <v>44767</v>
      </c>
      <c r="H437">
        <v>395.57</v>
      </c>
      <c r="I437">
        <v>391.142</v>
      </c>
      <c r="J437">
        <v>434.20780000000002</v>
      </c>
      <c r="K437" s="10">
        <v>0</v>
      </c>
    </row>
    <row r="438" spans="1:11" x14ac:dyDescent="0.4">
      <c r="A438" s="25">
        <v>44770</v>
      </c>
      <c r="B438" s="11">
        <v>406.07</v>
      </c>
      <c r="C438" s="11">
        <v>391.21899999999999</v>
      </c>
      <c r="D438" s="11">
        <v>433.64179999999999</v>
      </c>
      <c r="E438" s="10">
        <f t="shared" si="6"/>
        <v>0</v>
      </c>
      <c r="G438" s="29">
        <v>44768</v>
      </c>
      <c r="H438">
        <v>390.89</v>
      </c>
      <c r="I438">
        <v>391.113</v>
      </c>
      <c r="J438">
        <v>433.96899999999999</v>
      </c>
      <c r="K438" s="10">
        <v>0</v>
      </c>
    </row>
    <row r="439" spans="1:11" x14ac:dyDescent="0.4">
      <c r="A439" s="25">
        <v>44771</v>
      </c>
      <c r="B439" s="11">
        <v>411.99</v>
      </c>
      <c r="C439" s="11">
        <v>391.29239999999999</v>
      </c>
      <c r="D439" s="11">
        <v>433.53359999999998</v>
      </c>
      <c r="E439" s="10">
        <f t="shared" si="6"/>
        <v>0</v>
      </c>
      <c r="G439" s="29">
        <v>44769</v>
      </c>
      <c r="H439">
        <v>401.04</v>
      </c>
      <c r="I439">
        <v>391.0994</v>
      </c>
      <c r="J439">
        <v>433.78480000000002</v>
      </c>
      <c r="K439" s="10">
        <v>0</v>
      </c>
    </row>
    <row r="440" spans="1:11" x14ac:dyDescent="0.4">
      <c r="A440" s="25">
        <v>44774</v>
      </c>
      <c r="B440" s="11">
        <v>410.77</v>
      </c>
      <c r="C440" s="11">
        <v>391.67059999999998</v>
      </c>
      <c r="D440" s="11">
        <v>433.41160000000002</v>
      </c>
      <c r="E440" s="10">
        <f t="shared" si="6"/>
        <v>0</v>
      </c>
      <c r="G440" s="29">
        <v>44770</v>
      </c>
      <c r="H440">
        <v>406.07</v>
      </c>
      <c r="I440">
        <v>391.21899999999999</v>
      </c>
      <c r="J440">
        <v>433.64179999999999</v>
      </c>
      <c r="K440" s="10">
        <v>0</v>
      </c>
    </row>
    <row r="441" spans="1:11" x14ac:dyDescent="0.4">
      <c r="A441" s="25">
        <v>44775</v>
      </c>
      <c r="B441" s="11">
        <v>408.06</v>
      </c>
      <c r="C441" s="11">
        <v>392.04259999999999</v>
      </c>
      <c r="D441" s="11">
        <v>433.23939999999999</v>
      </c>
      <c r="E441" s="10">
        <f t="shared" si="6"/>
        <v>0</v>
      </c>
      <c r="G441" s="29">
        <v>44771</v>
      </c>
      <c r="H441">
        <v>411.99</v>
      </c>
      <c r="I441">
        <v>391.29239999999999</v>
      </c>
      <c r="J441">
        <v>433.53359999999998</v>
      </c>
      <c r="K441" s="10">
        <v>0</v>
      </c>
    </row>
    <row r="442" spans="1:11" x14ac:dyDescent="0.4">
      <c r="A442" s="25">
        <v>44776</v>
      </c>
      <c r="B442" s="11">
        <v>414.45</v>
      </c>
      <c r="C442" s="11">
        <v>392.53899999999999</v>
      </c>
      <c r="D442" s="11">
        <v>433.0822</v>
      </c>
      <c r="E442" s="10">
        <f t="shared" si="6"/>
        <v>0</v>
      </c>
      <c r="G442" s="29">
        <v>44774</v>
      </c>
      <c r="H442">
        <v>410.77</v>
      </c>
      <c r="I442">
        <v>391.67059999999998</v>
      </c>
      <c r="J442">
        <v>433.41160000000002</v>
      </c>
      <c r="K442" s="10">
        <v>0</v>
      </c>
    </row>
    <row r="443" spans="1:11" x14ac:dyDescent="0.4">
      <c r="A443" s="25">
        <v>44777</v>
      </c>
      <c r="B443" s="11">
        <v>414.17</v>
      </c>
      <c r="C443" s="11">
        <v>392.88400000000001</v>
      </c>
      <c r="D443" s="11">
        <v>432.91719999999998</v>
      </c>
      <c r="E443" s="10">
        <f t="shared" si="6"/>
        <v>0</v>
      </c>
      <c r="G443" s="29">
        <v>44775</v>
      </c>
      <c r="H443">
        <v>408.06</v>
      </c>
      <c r="I443">
        <v>392.04259999999999</v>
      </c>
      <c r="J443">
        <v>433.23939999999999</v>
      </c>
      <c r="K443" s="10">
        <v>0</v>
      </c>
    </row>
    <row r="444" spans="1:11" x14ac:dyDescent="0.4">
      <c r="A444" s="25">
        <v>44778</v>
      </c>
      <c r="B444" s="11">
        <v>413.47</v>
      </c>
      <c r="C444" s="11">
        <v>393.2756</v>
      </c>
      <c r="D444" s="11">
        <v>432.73129999999998</v>
      </c>
      <c r="E444" s="10">
        <f t="shared" si="6"/>
        <v>0</v>
      </c>
      <c r="G444" s="29">
        <v>44776</v>
      </c>
      <c r="H444">
        <v>414.45</v>
      </c>
      <c r="I444">
        <v>392.53899999999999</v>
      </c>
      <c r="J444">
        <v>433.0822</v>
      </c>
      <c r="K444" s="10">
        <v>0</v>
      </c>
    </row>
    <row r="445" spans="1:11" x14ac:dyDescent="0.4">
      <c r="A445" s="25">
        <v>44781</v>
      </c>
      <c r="B445" s="11">
        <v>412.99</v>
      </c>
      <c r="C445" s="11">
        <v>393.58800000000002</v>
      </c>
      <c r="D445" s="11">
        <v>432.5342</v>
      </c>
      <c r="E445" s="10">
        <f t="shared" si="6"/>
        <v>0</v>
      </c>
      <c r="G445" s="29">
        <v>44777</v>
      </c>
      <c r="H445">
        <v>414.17</v>
      </c>
      <c r="I445">
        <v>392.88400000000001</v>
      </c>
      <c r="J445">
        <v>432.91719999999998</v>
      </c>
      <c r="K445" s="10">
        <v>0</v>
      </c>
    </row>
    <row r="446" spans="1:11" x14ac:dyDescent="0.4">
      <c r="A446" s="25">
        <v>44782</v>
      </c>
      <c r="B446" s="11">
        <v>411.35</v>
      </c>
      <c r="C446" s="11">
        <v>393.7088</v>
      </c>
      <c r="D446" s="11">
        <v>432.32299999999998</v>
      </c>
      <c r="E446" s="10">
        <f t="shared" si="6"/>
        <v>0</v>
      </c>
      <c r="G446" s="29">
        <v>44778</v>
      </c>
      <c r="H446">
        <v>413.47</v>
      </c>
      <c r="I446">
        <v>393.2756</v>
      </c>
      <c r="J446">
        <v>432.73129999999998</v>
      </c>
      <c r="K446" s="10">
        <v>0</v>
      </c>
    </row>
    <row r="447" spans="1:11" x14ac:dyDescent="0.4">
      <c r="A447" s="25">
        <v>44783</v>
      </c>
      <c r="B447" s="11">
        <v>419.99</v>
      </c>
      <c r="C447" s="11">
        <v>393.80340000000001</v>
      </c>
      <c r="D447" s="11">
        <v>432.1574</v>
      </c>
      <c r="E447" s="10">
        <f t="shared" si="6"/>
        <v>0</v>
      </c>
      <c r="G447" s="29">
        <v>44781</v>
      </c>
      <c r="H447">
        <v>412.99</v>
      </c>
      <c r="I447">
        <v>393.58800000000002</v>
      </c>
      <c r="J447">
        <v>432.5342</v>
      </c>
      <c r="K447" s="10">
        <v>0</v>
      </c>
    </row>
    <row r="448" spans="1:11" x14ac:dyDescent="0.4">
      <c r="A448" s="25">
        <v>44784</v>
      </c>
      <c r="B448" s="11">
        <v>419.99</v>
      </c>
      <c r="C448" s="11">
        <v>393.94459999999998</v>
      </c>
      <c r="D448" s="11">
        <v>431.9796</v>
      </c>
      <c r="E448" s="10">
        <f t="shared" si="6"/>
        <v>0</v>
      </c>
      <c r="G448" s="29">
        <v>44782</v>
      </c>
      <c r="H448">
        <v>411.35</v>
      </c>
      <c r="I448">
        <v>393.7088</v>
      </c>
      <c r="J448">
        <v>432.32299999999998</v>
      </c>
      <c r="K448" s="10">
        <v>0</v>
      </c>
    </row>
    <row r="449" spans="1:11" x14ac:dyDescent="0.4">
      <c r="A449" s="25">
        <v>44785</v>
      </c>
      <c r="B449" s="11">
        <v>427.1</v>
      </c>
      <c r="C449" s="11">
        <v>394.29480000000001</v>
      </c>
      <c r="D449" s="11">
        <v>431.83519999999999</v>
      </c>
      <c r="E449" s="10">
        <f t="shared" si="6"/>
        <v>0</v>
      </c>
      <c r="G449" s="29">
        <v>44783</v>
      </c>
      <c r="H449">
        <v>419.99</v>
      </c>
      <c r="I449">
        <v>393.80340000000001</v>
      </c>
      <c r="J449">
        <v>432.1574</v>
      </c>
      <c r="K449" s="10">
        <v>0</v>
      </c>
    </row>
    <row r="450" spans="1:11" x14ac:dyDescent="0.4">
      <c r="A450" s="25">
        <v>44788</v>
      </c>
      <c r="B450" s="11">
        <v>428.86</v>
      </c>
      <c r="C450" s="11">
        <v>394.52420000000001</v>
      </c>
      <c r="D450" s="11">
        <v>431.70979999999997</v>
      </c>
      <c r="E450" s="10">
        <f t="shared" si="6"/>
        <v>0</v>
      </c>
      <c r="G450" s="29">
        <v>44784</v>
      </c>
      <c r="H450">
        <v>419.99</v>
      </c>
      <c r="I450">
        <v>393.94459999999998</v>
      </c>
      <c r="J450">
        <v>431.9796</v>
      </c>
      <c r="K450" s="10">
        <v>0</v>
      </c>
    </row>
    <row r="451" spans="1:11" x14ac:dyDescent="0.4">
      <c r="A451" s="25">
        <v>44789</v>
      </c>
      <c r="B451" s="11">
        <v>429.7</v>
      </c>
      <c r="C451" s="11">
        <v>394.9074</v>
      </c>
      <c r="D451" s="11">
        <v>431.5668</v>
      </c>
      <c r="E451" s="10">
        <f t="shared" ref="E451:E514" si="7">IF(AND(C451&gt;D451, C450&lt;D450), 1, 0)</f>
        <v>0</v>
      </c>
      <c r="G451" s="29">
        <v>44785</v>
      </c>
      <c r="H451">
        <v>427.1</v>
      </c>
      <c r="I451">
        <v>394.29480000000001</v>
      </c>
      <c r="J451">
        <v>431.83519999999999</v>
      </c>
      <c r="K451" s="10">
        <v>0</v>
      </c>
    </row>
    <row r="452" spans="1:11" x14ac:dyDescent="0.4">
      <c r="A452" s="25">
        <v>44790</v>
      </c>
      <c r="B452" s="11">
        <v>426.65</v>
      </c>
      <c r="C452" s="11">
        <v>395.20460000000003</v>
      </c>
      <c r="D452" s="11">
        <v>431.40379999999999</v>
      </c>
      <c r="E452" s="10">
        <f t="shared" si="7"/>
        <v>0</v>
      </c>
      <c r="G452" s="29">
        <v>44788</v>
      </c>
      <c r="H452">
        <v>428.86</v>
      </c>
      <c r="I452">
        <v>394.52420000000001</v>
      </c>
      <c r="J452">
        <v>431.70979999999997</v>
      </c>
      <c r="K452" s="10">
        <v>0</v>
      </c>
    </row>
    <row r="453" spans="1:11" x14ac:dyDescent="0.4">
      <c r="A453" s="25">
        <v>44791</v>
      </c>
      <c r="B453" s="11">
        <v>427.89</v>
      </c>
      <c r="C453" s="11">
        <v>395.44760000000002</v>
      </c>
      <c r="D453" s="11">
        <v>431.24299999999999</v>
      </c>
      <c r="E453" s="10">
        <f t="shared" si="7"/>
        <v>0</v>
      </c>
      <c r="G453" s="29">
        <v>44789</v>
      </c>
      <c r="H453">
        <v>429.7</v>
      </c>
      <c r="I453">
        <v>394.9074</v>
      </c>
      <c r="J453">
        <v>431.5668</v>
      </c>
      <c r="K453" s="10">
        <v>0</v>
      </c>
    </row>
    <row r="454" spans="1:11" x14ac:dyDescent="0.4">
      <c r="A454" s="25">
        <v>44792</v>
      </c>
      <c r="B454" s="11">
        <v>422.14</v>
      </c>
      <c r="C454" s="11">
        <v>395.666</v>
      </c>
      <c r="D454" s="11">
        <v>431.04419999999999</v>
      </c>
      <c r="E454" s="10">
        <f t="shared" si="7"/>
        <v>0</v>
      </c>
      <c r="G454" s="29">
        <v>44790</v>
      </c>
      <c r="H454">
        <v>426.65</v>
      </c>
      <c r="I454">
        <v>395.20460000000003</v>
      </c>
      <c r="J454">
        <v>431.40379999999999</v>
      </c>
      <c r="K454" s="10">
        <v>0</v>
      </c>
    </row>
    <row r="455" spans="1:11" x14ac:dyDescent="0.4">
      <c r="A455" s="25">
        <v>44795</v>
      </c>
      <c r="B455" s="11">
        <v>413.35</v>
      </c>
      <c r="C455" s="11">
        <v>395.9042</v>
      </c>
      <c r="D455" s="11">
        <v>430.78739999999999</v>
      </c>
      <c r="E455" s="10">
        <f t="shared" si="7"/>
        <v>0</v>
      </c>
      <c r="G455" s="29">
        <v>44791</v>
      </c>
      <c r="H455">
        <v>427.89</v>
      </c>
      <c r="I455">
        <v>395.44760000000002</v>
      </c>
      <c r="J455">
        <v>431.24299999999999</v>
      </c>
      <c r="K455" s="10">
        <v>0</v>
      </c>
    </row>
    <row r="456" spans="1:11" x14ac:dyDescent="0.4">
      <c r="A456" s="25">
        <v>44796</v>
      </c>
      <c r="B456" s="11">
        <v>412.35</v>
      </c>
      <c r="C456" s="11">
        <v>396.35520000000002</v>
      </c>
      <c r="D456" s="11">
        <v>430.51459999999997</v>
      </c>
      <c r="E456" s="10">
        <f t="shared" si="7"/>
        <v>0</v>
      </c>
      <c r="G456" s="29">
        <v>44792</v>
      </c>
      <c r="H456">
        <v>422.14</v>
      </c>
      <c r="I456">
        <v>395.666</v>
      </c>
      <c r="J456">
        <v>431.04419999999999</v>
      </c>
      <c r="K456" s="10">
        <v>0</v>
      </c>
    </row>
    <row r="457" spans="1:11" x14ac:dyDescent="0.4">
      <c r="A457" s="25">
        <v>44797</v>
      </c>
      <c r="B457" s="11">
        <v>413.67</v>
      </c>
      <c r="C457" s="11">
        <v>397.12860000000001</v>
      </c>
      <c r="D457" s="11">
        <v>430.24020000000002</v>
      </c>
      <c r="E457" s="10">
        <f t="shared" si="7"/>
        <v>0</v>
      </c>
      <c r="G457" s="29">
        <v>44795</v>
      </c>
      <c r="H457">
        <v>413.35</v>
      </c>
      <c r="I457">
        <v>395.9042</v>
      </c>
      <c r="J457">
        <v>430.78739999999999</v>
      </c>
      <c r="K457" s="10">
        <v>0</v>
      </c>
    </row>
    <row r="458" spans="1:11" x14ac:dyDescent="0.4">
      <c r="A458" s="25">
        <v>44798</v>
      </c>
      <c r="B458" s="11">
        <v>419.51</v>
      </c>
      <c r="C458" s="11">
        <v>398.04140000000001</v>
      </c>
      <c r="D458" s="11">
        <v>429.9932</v>
      </c>
      <c r="E458" s="10">
        <f t="shared" si="7"/>
        <v>0</v>
      </c>
      <c r="G458" s="29">
        <v>44796</v>
      </c>
      <c r="H458">
        <v>412.35</v>
      </c>
      <c r="I458">
        <v>396.35520000000002</v>
      </c>
      <c r="J458">
        <v>430.51459999999997</v>
      </c>
      <c r="K458" s="10">
        <v>0</v>
      </c>
    </row>
    <row r="459" spans="1:11" x14ac:dyDescent="0.4">
      <c r="A459" s="25">
        <v>44799</v>
      </c>
      <c r="B459" s="11">
        <v>405.31</v>
      </c>
      <c r="C459" s="11">
        <v>398.56360000000001</v>
      </c>
      <c r="D459" s="11">
        <v>429.68279999999999</v>
      </c>
      <c r="E459" s="10">
        <f t="shared" si="7"/>
        <v>0</v>
      </c>
      <c r="G459" s="29">
        <v>44797</v>
      </c>
      <c r="H459">
        <v>413.67</v>
      </c>
      <c r="I459">
        <v>397.12860000000001</v>
      </c>
      <c r="J459">
        <v>430.24020000000002</v>
      </c>
      <c r="K459" s="10">
        <v>0</v>
      </c>
    </row>
    <row r="460" spans="1:11" x14ac:dyDescent="0.4">
      <c r="A460" s="25">
        <v>44802</v>
      </c>
      <c r="B460" s="11">
        <v>402.63</v>
      </c>
      <c r="C460" s="11">
        <v>399.28320000000002</v>
      </c>
      <c r="D460" s="11">
        <v>429.37779999999998</v>
      </c>
      <c r="E460" s="10">
        <f t="shared" si="7"/>
        <v>0</v>
      </c>
      <c r="G460" s="29">
        <v>44798</v>
      </c>
      <c r="H460">
        <v>419.51</v>
      </c>
      <c r="I460">
        <v>398.04140000000001</v>
      </c>
      <c r="J460">
        <v>429.9932</v>
      </c>
      <c r="K460" s="10">
        <v>0</v>
      </c>
    </row>
    <row r="461" spans="1:11" x14ac:dyDescent="0.4">
      <c r="A461" s="25">
        <v>44803</v>
      </c>
      <c r="B461" s="11">
        <v>398.21</v>
      </c>
      <c r="C461" s="11">
        <v>399.93020000000001</v>
      </c>
      <c r="D461" s="11">
        <v>429.05</v>
      </c>
      <c r="E461" s="10">
        <f t="shared" si="7"/>
        <v>0</v>
      </c>
      <c r="G461" s="29">
        <v>44799</v>
      </c>
      <c r="H461">
        <v>405.31</v>
      </c>
      <c r="I461">
        <v>398.56360000000001</v>
      </c>
      <c r="J461">
        <v>429.68279999999999</v>
      </c>
      <c r="K461" s="10">
        <v>0</v>
      </c>
    </row>
    <row r="462" spans="1:11" x14ac:dyDescent="0.4">
      <c r="A462" s="25">
        <v>44804</v>
      </c>
      <c r="B462" s="11">
        <v>395.18</v>
      </c>
      <c r="C462" s="11">
        <v>400.33240000000001</v>
      </c>
      <c r="D462" s="11">
        <v>428.68959999999998</v>
      </c>
      <c r="E462" s="10">
        <f t="shared" si="7"/>
        <v>0</v>
      </c>
      <c r="G462" s="29">
        <v>44802</v>
      </c>
      <c r="H462">
        <v>402.63</v>
      </c>
      <c r="I462">
        <v>399.28320000000002</v>
      </c>
      <c r="J462">
        <v>429.37779999999998</v>
      </c>
      <c r="K462" s="10">
        <v>0</v>
      </c>
    </row>
    <row r="463" spans="1:11" x14ac:dyDescent="0.4">
      <c r="A463" s="25">
        <v>44805</v>
      </c>
      <c r="B463" s="11">
        <v>396.42</v>
      </c>
      <c r="C463" s="11">
        <v>400.77300000000002</v>
      </c>
      <c r="D463" s="11">
        <v>428.33460000000002</v>
      </c>
      <c r="E463" s="10">
        <f t="shared" si="7"/>
        <v>0</v>
      </c>
      <c r="G463" s="29">
        <v>44803</v>
      </c>
      <c r="H463">
        <v>398.21</v>
      </c>
      <c r="I463">
        <v>399.93020000000001</v>
      </c>
      <c r="J463">
        <v>429.05</v>
      </c>
      <c r="K463" s="10">
        <v>0</v>
      </c>
    </row>
    <row r="464" spans="1:11" x14ac:dyDescent="0.4">
      <c r="A464" s="25">
        <v>44806</v>
      </c>
      <c r="B464" s="11">
        <v>392.24</v>
      </c>
      <c r="C464" s="11">
        <v>401.0566</v>
      </c>
      <c r="D464" s="11">
        <v>427.94940000000003</v>
      </c>
      <c r="E464" s="10">
        <f t="shared" si="7"/>
        <v>0</v>
      </c>
      <c r="G464" s="29">
        <v>44804</v>
      </c>
      <c r="H464">
        <v>395.18</v>
      </c>
      <c r="I464">
        <v>400.33240000000001</v>
      </c>
      <c r="J464">
        <v>428.68959999999998</v>
      </c>
      <c r="K464" s="10">
        <v>0</v>
      </c>
    </row>
    <row r="465" spans="1:11" x14ac:dyDescent="0.4">
      <c r="A465" s="25">
        <v>44810</v>
      </c>
      <c r="B465" s="11">
        <v>390.76</v>
      </c>
      <c r="C465" s="11">
        <v>401.0702</v>
      </c>
      <c r="D465" s="11">
        <v>427.56240000000003</v>
      </c>
      <c r="E465" s="10">
        <f t="shared" si="7"/>
        <v>0</v>
      </c>
      <c r="G465" s="29">
        <v>44805</v>
      </c>
      <c r="H465">
        <v>396.42</v>
      </c>
      <c r="I465">
        <v>400.77300000000002</v>
      </c>
      <c r="J465">
        <v>428.33460000000002</v>
      </c>
      <c r="K465" s="10">
        <v>0</v>
      </c>
    </row>
    <row r="466" spans="1:11" x14ac:dyDescent="0.4">
      <c r="A466" s="25">
        <v>44811</v>
      </c>
      <c r="B466" s="11">
        <v>397.78</v>
      </c>
      <c r="C466" s="11">
        <v>401.25400000000002</v>
      </c>
      <c r="D466" s="11">
        <v>427.20269999999999</v>
      </c>
      <c r="E466" s="10">
        <f t="shared" si="7"/>
        <v>0</v>
      </c>
      <c r="G466" s="29">
        <v>44806</v>
      </c>
      <c r="H466">
        <v>392.24</v>
      </c>
      <c r="I466">
        <v>401.0566</v>
      </c>
      <c r="J466">
        <v>427.94940000000003</v>
      </c>
      <c r="K466" s="10">
        <v>0</v>
      </c>
    </row>
    <row r="467" spans="1:11" x14ac:dyDescent="0.4">
      <c r="A467" s="25">
        <v>44812</v>
      </c>
      <c r="B467" s="11">
        <v>400.38</v>
      </c>
      <c r="C467" s="11">
        <v>401.64859999999999</v>
      </c>
      <c r="D467" s="11">
        <v>426.86020000000002</v>
      </c>
      <c r="E467" s="10">
        <f t="shared" si="7"/>
        <v>0</v>
      </c>
      <c r="G467" s="29">
        <v>44810</v>
      </c>
      <c r="H467">
        <v>390.76</v>
      </c>
      <c r="I467">
        <v>401.0702</v>
      </c>
      <c r="J467">
        <v>427.56240000000003</v>
      </c>
      <c r="K467" s="10">
        <v>0</v>
      </c>
    </row>
    <row r="468" spans="1:11" x14ac:dyDescent="0.4">
      <c r="A468" s="25">
        <v>44813</v>
      </c>
      <c r="B468" s="11">
        <v>406.6</v>
      </c>
      <c r="C468" s="11">
        <v>402.17380000000003</v>
      </c>
      <c r="D468" s="11">
        <v>426.55529999999999</v>
      </c>
      <c r="E468" s="10">
        <f t="shared" si="7"/>
        <v>0</v>
      </c>
      <c r="G468" s="29">
        <v>44811</v>
      </c>
      <c r="H468">
        <v>397.78</v>
      </c>
      <c r="I468">
        <v>401.25400000000002</v>
      </c>
      <c r="J468">
        <v>427.20269999999999</v>
      </c>
      <c r="K468" s="10">
        <v>0</v>
      </c>
    </row>
    <row r="469" spans="1:11" x14ac:dyDescent="0.4">
      <c r="A469" s="25">
        <v>44816</v>
      </c>
      <c r="B469" s="11">
        <v>410.97</v>
      </c>
      <c r="C469" s="11">
        <v>402.84820000000002</v>
      </c>
      <c r="D469" s="11">
        <v>426.26920000000001</v>
      </c>
      <c r="E469" s="10">
        <f t="shared" si="7"/>
        <v>0</v>
      </c>
      <c r="G469" s="29">
        <v>44812</v>
      </c>
      <c r="H469">
        <v>400.38</v>
      </c>
      <c r="I469">
        <v>401.64859999999999</v>
      </c>
      <c r="J469">
        <v>426.86020000000002</v>
      </c>
      <c r="K469" s="10">
        <v>0</v>
      </c>
    </row>
    <row r="470" spans="1:11" x14ac:dyDescent="0.4">
      <c r="A470" s="25">
        <v>44817</v>
      </c>
      <c r="B470" s="11">
        <v>393.1</v>
      </c>
      <c r="C470" s="11">
        <v>403.08539999999999</v>
      </c>
      <c r="D470" s="11">
        <v>425.88749999999999</v>
      </c>
      <c r="E470" s="10">
        <f t="shared" si="7"/>
        <v>0</v>
      </c>
      <c r="G470" s="29">
        <v>44813</v>
      </c>
      <c r="H470">
        <v>406.6</v>
      </c>
      <c r="I470">
        <v>402.17380000000003</v>
      </c>
      <c r="J470">
        <v>426.55529999999999</v>
      </c>
      <c r="K470" s="10">
        <v>0</v>
      </c>
    </row>
    <row r="471" spans="1:11" x14ac:dyDescent="0.4">
      <c r="A471" s="25">
        <v>44818</v>
      </c>
      <c r="B471" s="11">
        <v>394.6</v>
      </c>
      <c r="C471" s="11">
        <v>403.33819999999997</v>
      </c>
      <c r="D471" s="11">
        <v>425.56560000000002</v>
      </c>
      <c r="E471" s="10">
        <f t="shared" si="7"/>
        <v>0</v>
      </c>
      <c r="G471" s="29">
        <v>44816</v>
      </c>
      <c r="H471">
        <v>410.97</v>
      </c>
      <c r="I471">
        <v>402.84820000000002</v>
      </c>
      <c r="J471">
        <v>426.26920000000001</v>
      </c>
      <c r="K471" s="10">
        <v>0</v>
      </c>
    </row>
    <row r="472" spans="1:11" x14ac:dyDescent="0.4">
      <c r="A472" s="25">
        <v>44819</v>
      </c>
      <c r="B472" s="11">
        <v>390.12</v>
      </c>
      <c r="C472" s="11">
        <v>403.47559999999999</v>
      </c>
      <c r="D472" s="11">
        <v>425.19319999999999</v>
      </c>
      <c r="E472" s="10">
        <f t="shared" si="7"/>
        <v>0</v>
      </c>
      <c r="G472" s="29">
        <v>44817</v>
      </c>
      <c r="H472">
        <v>393.1</v>
      </c>
      <c r="I472">
        <v>403.08539999999999</v>
      </c>
      <c r="J472">
        <v>425.88749999999999</v>
      </c>
      <c r="K472" s="10">
        <v>0</v>
      </c>
    </row>
    <row r="473" spans="1:11" x14ac:dyDescent="0.4">
      <c r="A473" s="25">
        <v>44820</v>
      </c>
      <c r="B473" s="11">
        <v>385.56</v>
      </c>
      <c r="C473" s="11">
        <v>403.40699999999998</v>
      </c>
      <c r="D473" s="11">
        <v>424.84320000000002</v>
      </c>
      <c r="E473" s="10">
        <f t="shared" si="7"/>
        <v>0</v>
      </c>
      <c r="G473" s="29">
        <v>44818</v>
      </c>
      <c r="H473">
        <v>394.6</v>
      </c>
      <c r="I473">
        <v>403.33819999999997</v>
      </c>
      <c r="J473">
        <v>425.56560000000002</v>
      </c>
      <c r="K473" s="10">
        <v>0</v>
      </c>
    </row>
    <row r="474" spans="1:11" x14ac:dyDescent="0.4">
      <c r="A474" s="25">
        <v>44823</v>
      </c>
      <c r="B474" s="11">
        <v>388.55</v>
      </c>
      <c r="C474" s="11">
        <v>403.40460000000002</v>
      </c>
      <c r="D474" s="11">
        <v>424.5335</v>
      </c>
      <c r="E474" s="10">
        <f t="shared" si="7"/>
        <v>0</v>
      </c>
      <c r="G474" s="29">
        <v>44819</v>
      </c>
      <c r="H474">
        <v>390.12</v>
      </c>
      <c r="I474">
        <v>403.47559999999999</v>
      </c>
      <c r="J474">
        <v>425.19319999999999</v>
      </c>
      <c r="K474" s="10">
        <v>0</v>
      </c>
    </row>
    <row r="475" spans="1:11" x14ac:dyDescent="0.4">
      <c r="A475" s="25">
        <v>44824</v>
      </c>
      <c r="B475" s="11">
        <v>384.09</v>
      </c>
      <c r="C475" s="11">
        <v>403.40179999999998</v>
      </c>
      <c r="D475" s="11">
        <v>424.16699999999997</v>
      </c>
      <c r="E475" s="10">
        <f t="shared" si="7"/>
        <v>0</v>
      </c>
      <c r="G475" s="29">
        <v>44820</v>
      </c>
      <c r="H475">
        <v>385.56</v>
      </c>
      <c r="I475">
        <v>403.40699999999998</v>
      </c>
      <c r="J475">
        <v>424.84320000000002</v>
      </c>
      <c r="K475" s="10">
        <v>0</v>
      </c>
    </row>
    <row r="476" spans="1:11" x14ac:dyDescent="0.4">
      <c r="A476" s="25">
        <v>44825</v>
      </c>
      <c r="B476" s="11">
        <v>377.39</v>
      </c>
      <c r="C476" s="11">
        <v>403.33300000000003</v>
      </c>
      <c r="D476" s="11">
        <v>423.78680000000003</v>
      </c>
      <c r="E476" s="10">
        <f t="shared" si="7"/>
        <v>0</v>
      </c>
      <c r="G476" s="29">
        <v>44823</v>
      </c>
      <c r="H476">
        <v>388.55</v>
      </c>
      <c r="I476">
        <v>403.40460000000002</v>
      </c>
      <c r="J476">
        <v>424.5335</v>
      </c>
      <c r="K476" s="10">
        <v>0</v>
      </c>
    </row>
    <row r="477" spans="1:11" x14ac:dyDescent="0.4">
      <c r="A477" s="25">
        <v>44826</v>
      </c>
      <c r="B477" s="11">
        <v>374.22</v>
      </c>
      <c r="C477" s="11">
        <v>403.24079999999998</v>
      </c>
      <c r="D477" s="11">
        <v>423.36399999999998</v>
      </c>
      <c r="E477" s="10">
        <f t="shared" si="7"/>
        <v>0</v>
      </c>
      <c r="G477" s="29">
        <v>44824</v>
      </c>
      <c r="H477">
        <v>384.09</v>
      </c>
      <c r="I477">
        <v>403.40179999999998</v>
      </c>
      <c r="J477">
        <v>424.16699999999997</v>
      </c>
      <c r="K477" s="10">
        <v>0</v>
      </c>
    </row>
    <row r="478" spans="1:11" x14ac:dyDescent="0.4">
      <c r="A478" s="25">
        <v>44827</v>
      </c>
      <c r="B478" s="11">
        <v>367.95</v>
      </c>
      <c r="C478" s="11">
        <v>403.04160000000002</v>
      </c>
      <c r="D478" s="11">
        <v>422.8623</v>
      </c>
      <c r="E478" s="10">
        <f t="shared" si="7"/>
        <v>0</v>
      </c>
      <c r="G478" s="29">
        <v>44825</v>
      </c>
      <c r="H478">
        <v>377.39</v>
      </c>
      <c r="I478">
        <v>403.33300000000003</v>
      </c>
      <c r="J478">
        <v>423.78680000000003</v>
      </c>
      <c r="K478" s="10">
        <v>0</v>
      </c>
    </row>
    <row r="479" spans="1:11" x14ac:dyDescent="0.4">
      <c r="A479" s="25">
        <v>44830</v>
      </c>
      <c r="B479" s="11">
        <v>364.31</v>
      </c>
      <c r="C479" s="11">
        <v>402.62520000000001</v>
      </c>
      <c r="D479" s="11">
        <v>422.33620000000002</v>
      </c>
      <c r="E479" s="10">
        <f t="shared" si="7"/>
        <v>0</v>
      </c>
      <c r="G479" s="29">
        <v>44826</v>
      </c>
      <c r="H479">
        <v>374.22</v>
      </c>
      <c r="I479">
        <v>403.24079999999998</v>
      </c>
      <c r="J479">
        <v>423.36399999999998</v>
      </c>
      <c r="K479" s="10">
        <v>0</v>
      </c>
    </row>
    <row r="480" spans="1:11" x14ac:dyDescent="0.4">
      <c r="A480" s="25">
        <v>44831</v>
      </c>
      <c r="B480" s="11">
        <v>363.38</v>
      </c>
      <c r="C480" s="11">
        <v>402.25380000000001</v>
      </c>
      <c r="D480" s="11">
        <v>421.82139999999998</v>
      </c>
      <c r="E480" s="10">
        <f t="shared" si="7"/>
        <v>0</v>
      </c>
      <c r="G480" s="29">
        <v>44827</v>
      </c>
      <c r="H480">
        <v>367.95</v>
      </c>
      <c r="I480">
        <v>403.04160000000002</v>
      </c>
      <c r="J480">
        <v>422.8623</v>
      </c>
      <c r="K480" s="10">
        <v>0</v>
      </c>
    </row>
    <row r="481" spans="1:11" x14ac:dyDescent="0.4">
      <c r="A481" s="25">
        <v>44832</v>
      </c>
      <c r="B481" s="11">
        <v>370.53</v>
      </c>
      <c r="C481" s="11">
        <v>401.81900000000002</v>
      </c>
      <c r="D481" s="11">
        <v>421.32040000000001</v>
      </c>
      <c r="E481" s="10">
        <f t="shared" si="7"/>
        <v>0</v>
      </c>
      <c r="G481" s="29">
        <v>44830</v>
      </c>
      <c r="H481">
        <v>364.31</v>
      </c>
      <c r="I481">
        <v>402.62520000000001</v>
      </c>
      <c r="J481">
        <v>422.33620000000002</v>
      </c>
      <c r="K481" s="10">
        <v>0</v>
      </c>
    </row>
    <row r="482" spans="1:11" x14ac:dyDescent="0.4">
      <c r="A482" s="25">
        <v>44833</v>
      </c>
      <c r="B482" s="11">
        <v>362.79</v>
      </c>
      <c r="C482" s="11">
        <v>401.17939999999999</v>
      </c>
      <c r="D482" s="11">
        <v>420.8014</v>
      </c>
      <c r="E482" s="10">
        <f t="shared" si="7"/>
        <v>0</v>
      </c>
      <c r="G482" s="29">
        <v>44831</v>
      </c>
      <c r="H482">
        <v>363.38</v>
      </c>
      <c r="I482">
        <v>402.25380000000001</v>
      </c>
      <c r="J482">
        <v>421.82139999999998</v>
      </c>
      <c r="K482" s="10">
        <v>0</v>
      </c>
    </row>
    <row r="483" spans="1:11" x14ac:dyDescent="0.4">
      <c r="A483" s="25">
        <v>44834</v>
      </c>
      <c r="B483" s="11">
        <v>357.18</v>
      </c>
      <c r="C483" s="11">
        <v>400.34719999999999</v>
      </c>
      <c r="D483" s="11">
        <v>420.2706</v>
      </c>
      <c r="E483" s="10">
        <f t="shared" si="7"/>
        <v>0</v>
      </c>
      <c r="G483" s="29">
        <v>44832</v>
      </c>
      <c r="H483">
        <v>370.53</v>
      </c>
      <c r="I483">
        <v>401.81900000000002</v>
      </c>
      <c r="J483">
        <v>421.32040000000001</v>
      </c>
      <c r="K483" s="10">
        <v>0</v>
      </c>
    </row>
    <row r="484" spans="1:11" x14ac:dyDescent="0.4">
      <c r="A484" s="25">
        <v>44837</v>
      </c>
      <c r="B484" s="11">
        <v>366.61</v>
      </c>
      <c r="C484" s="11">
        <v>399.77760000000001</v>
      </c>
      <c r="D484" s="11">
        <v>419.75060000000002</v>
      </c>
      <c r="E484" s="10">
        <f t="shared" si="7"/>
        <v>0</v>
      </c>
      <c r="G484" s="29">
        <v>44833</v>
      </c>
      <c r="H484">
        <v>362.79</v>
      </c>
      <c r="I484">
        <v>401.17939999999999</v>
      </c>
      <c r="J484">
        <v>420.8014</v>
      </c>
      <c r="K484" s="10">
        <v>0</v>
      </c>
    </row>
    <row r="485" spans="1:11" x14ac:dyDescent="0.4">
      <c r="A485" s="25">
        <v>44838</v>
      </c>
      <c r="B485" s="11">
        <v>377.97</v>
      </c>
      <c r="C485" s="11">
        <v>399.42559999999997</v>
      </c>
      <c r="D485" s="11">
        <v>419.3082</v>
      </c>
      <c r="E485" s="10">
        <f t="shared" si="7"/>
        <v>0</v>
      </c>
      <c r="G485" s="29">
        <v>44834</v>
      </c>
      <c r="H485">
        <v>357.18</v>
      </c>
      <c r="I485">
        <v>400.34719999999999</v>
      </c>
      <c r="J485">
        <v>420.2706</v>
      </c>
      <c r="K485" s="10">
        <v>0</v>
      </c>
    </row>
    <row r="486" spans="1:11" x14ac:dyDescent="0.4">
      <c r="A486" s="25">
        <v>44839</v>
      </c>
      <c r="B486" s="11">
        <v>377.09</v>
      </c>
      <c r="C486" s="11">
        <v>399.14960000000002</v>
      </c>
      <c r="D486" s="11">
        <v>418.89429999999999</v>
      </c>
      <c r="E486" s="10">
        <f t="shared" si="7"/>
        <v>0</v>
      </c>
      <c r="G486" s="29">
        <v>44837</v>
      </c>
      <c r="H486">
        <v>366.61</v>
      </c>
      <c r="I486">
        <v>399.77760000000001</v>
      </c>
      <c r="J486">
        <v>419.75060000000002</v>
      </c>
      <c r="K486" s="10">
        <v>0</v>
      </c>
    </row>
    <row r="487" spans="1:11" x14ac:dyDescent="0.4">
      <c r="A487" s="25">
        <v>44840</v>
      </c>
      <c r="B487" s="11">
        <v>373.2</v>
      </c>
      <c r="C487" s="11">
        <v>398.59280000000001</v>
      </c>
      <c r="D487" s="11">
        <v>418.48540000000003</v>
      </c>
      <c r="E487" s="10">
        <f t="shared" si="7"/>
        <v>0</v>
      </c>
      <c r="G487" s="29">
        <v>44838</v>
      </c>
      <c r="H487">
        <v>377.97</v>
      </c>
      <c r="I487">
        <v>399.42559999999997</v>
      </c>
      <c r="J487">
        <v>419.3082</v>
      </c>
      <c r="K487" s="10">
        <v>0</v>
      </c>
    </row>
    <row r="488" spans="1:11" x14ac:dyDescent="0.4">
      <c r="A488" s="25">
        <v>44841</v>
      </c>
      <c r="B488" s="11">
        <v>362.79</v>
      </c>
      <c r="C488" s="11">
        <v>397.72719999999998</v>
      </c>
      <c r="D488" s="11">
        <v>417.98399999999998</v>
      </c>
      <c r="E488" s="10">
        <f t="shared" si="7"/>
        <v>0</v>
      </c>
      <c r="G488" s="29">
        <v>44839</v>
      </c>
      <c r="H488">
        <v>377.09</v>
      </c>
      <c r="I488">
        <v>399.14960000000002</v>
      </c>
      <c r="J488">
        <v>418.89429999999999</v>
      </c>
      <c r="K488" s="10">
        <v>0</v>
      </c>
    </row>
    <row r="489" spans="1:11" x14ac:dyDescent="0.4">
      <c r="A489" s="25">
        <v>44844</v>
      </c>
      <c r="B489" s="11">
        <v>360.02</v>
      </c>
      <c r="C489" s="11">
        <v>396.68779999999998</v>
      </c>
      <c r="D489" s="11">
        <v>417.44569999999999</v>
      </c>
      <c r="E489" s="10">
        <f t="shared" si="7"/>
        <v>0</v>
      </c>
      <c r="G489" s="29">
        <v>44840</v>
      </c>
      <c r="H489">
        <v>373.2</v>
      </c>
      <c r="I489">
        <v>398.59280000000001</v>
      </c>
      <c r="J489">
        <v>418.48540000000003</v>
      </c>
      <c r="K489" s="10">
        <v>0</v>
      </c>
    </row>
    <row r="490" spans="1:11" x14ac:dyDescent="0.4">
      <c r="A490" s="25">
        <v>44845</v>
      </c>
      <c r="B490" s="11">
        <v>357.74</v>
      </c>
      <c r="C490" s="11">
        <v>395.62720000000002</v>
      </c>
      <c r="D490" s="11">
        <v>416.88139999999999</v>
      </c>
      <c r="E490" s="10">
        <f t="shared" si="7"/>
        <v>0</v>
      </c>
      <c r="G490" s="29">
        <v>44841</v>
      </c>
      <c r="H490">
        <v>362.79</v>
      </c>
      <c r="I490">
        <v>397.72719999999998</v>
      </c>
      <c r="J490">
        <v>417.98399999999998</v>
      </c>
      <c r="K490" s="10">
        <v>0</v>
      </c>
    </row>
    <row r="491" spans="1:11" x14ac:dyDescent="0.4">
      <c r="A491" s="25">
        <v>44846</v>
      </c>
      <c r="B491" s="11">
        <v>356.56</v>
      </c>
      <c r="C491" s="11">
        <v>394.59719999999999</v>
      </c>
      <c r="D491" s="11">
        <v>416.27789999999999</v>
      </c>
      <c r="E491" s="10">
        <f t="shared" si="7"/>
        <v>0</v>
      </c>
      <c r="G491" s="29">
        <v>44844</v>
      </c>
      <c r="H491">
        <v>360.02</v>
      </c>
      <c r="I491">
        <v>396.68779999999998</v>
      </c>
      <c r="J491">
        <v>417.44569999999999</v>
      </c>
      <c r="K491" s="10">
        <v>0</v>
      </c>
    </row>
    <row r="492" spans="1:11" x14ac:dyDescent="0.4">
      <c r="A492" s="25">
        <v>44847</v>
      </c>
      <c r="B492" s="11">
        <v>365.97</v>
      </c>
      <c r="C492" s="11">
        <v>393.62759999999997</v>
      </c>
      <c r="D492" s="11">
        <v>415.72340000000003</v>
      </c>
      <c r="E492" s="10">
        <f t="shared" si="7"/>
        <v>0</v>
      </c>
      <c r="G492" s="29">
        <v>44845</v>
      </c>
      <c r="H492">
        <v>357.74</v>
      </c>
      <c r="I492">
        <v>395.62720000000002</v>
      </c>
      <c r="J492">
        <v>416.88139999999999</v>
      </c>
      <c r="K492" s="10">
        <v>0</v>
      </c>
    </row>
    <row r="493" spans="1:11" x14ac:dyDescent="0.4">
      <c r="A493" s="25">
        <v>44848</v>
      </c>
      <c r="B493" s="11">
        <v>357.63</v>
      </c>
      <c r="C493" s="11">
        <v>392.49680000000001</v>
      </c>
      <c r="D493" s="11">
        <v>415.12419999999997</v>
      </c>
      <c r="E493" s="10">
        <f t="shared" si="7"/>
        <v>0</v>
      </c>
      <c r="G493" s="29">
        <v>44846</v>
      </c>
      <c r="H493">
        <v>356.56</v>
      </c>
      <c r="I493">
        <v>394.59719999999999</v>
      </c>
      <c r="J493">
        <v>416.27789999999999</v>
      </c>
      <c r="K493" s="10">
        <v>0</v>
      </c>
    </row>
    <row r="494" spans="1:11" x14ac:dyDescent="0.4">
      <c r="A494" s="25">
        <v>44851</v>
      </c>
      <c r="B494" s="11">
        <v>366.82</v>
      </c>
      <c r="C494" s="11">
        <v>391.56380000000001</v>
      </c>
      <c r="D494" s="11">
        <v>414.57740000000001</v>
      </c>
      <c r="E494" s="10">
        <f t="shared" si="7"/>
        <v>0</v>
      </c>
      <c r="G494" s="29">
        <v>44847</v>
      </c>
      <c r="H494">
        <v>365.97</v>
      </c>
      <c r="I494">
        <v>393.62759999999997</v>
      </c>
      <c r="J494">
        <v>415.72340000000003</v>
      </c>
      <c r="K494" s="10">
        <v>0</v>
      </c>
    </row>
    <row r="495" spans="1:11" x14ac:dyDescent="0.4">
      <c r="A495" s="25">
        <v>44852</v>
      </c>
      <c r="B495" s="11">
        <v>371.13</v>
      </c>
      <c r="C495" s="11">
        <v>390.72660000000002</v>
      </c>
      <c r="D495" s="11">
        <v>414.05829999999997</v>
      </c>
      <c r="E495" s="10">
        <f t="shared" si="7"/>
        <v>0</v>
      </c>
      <c r="G495" s="29">
        <v>44848</v>
      </c>
      <c r="H495">
        <v>357.63</v>
      </c>
      <c r="I495">
        <v>392.49680000000001</v>
      </c>
      <c r="J495">
        <v>415.12419999999997</v>
      </c>
      <c r="K495" s="10">
        <v>0</v>
      </c>
    </row>
    <row r="496" spans="1:11" x14ac:dyDescent="0.4">
      <c r="A496" s="25">
        <v>44853</v>
      </c>
      <c r="B496" s="11">
        <v>368.5</v>
      </c>
      <c r="C496" s="11">
        <v>389.86959999999999</v>
      </c>
      <c r="D496" s="11">
        <v>413.51220000000001</v>
      </c>
      <c r="E496" s="10">
        <f t="shared" si="7"/>
        <v>0</v>
      </c>
      <c r="G496" s="29">
        <v>44851</v>
      </c>
      <c r="H496">
        <v>366.82</v>
      </c>
      <c r="I496">
        <v>391.56380000000001</v>
      </c>
      <c r="J496">
        <v>414.57740000000001</v>
      </c>
      <c r="K496" s="10">
        <v>0</v>
      </c>
    </row>
    <row r="497" spans="1:11" x14ac:dyDescent="0.4">
      <c r="A497" s="25">
        <v>44854</v>
      </c>
      <c r="B497" s="11">
        <v>365.41</v>
      </c>
      <c r="C497" s="11">
        <v>388.77800000000002</v>
      </c>
      <c r="D497" s="11">
        <v>412.95159999999998</v>
      </c>
      <c r="E497" s="10">
        <f t="shared" si="7"/>
        <v>0</v>
      </c>
      <c r="G497" s="29">
        <v>44852</v>
      </c>
      <c r="H497">
        <v>371.13</v>
      </c>
      <c r="I497">
        <v>390.72660000000002</v>
      </c>
      <c r="J497">
        <v>414.05829999999997</v>
      </c>
      <c r="K497" s="10">
        <v>0</v>
      </c>
    </row>
    <row r="498" spans="1:11" x14ac:dyDescent="0.4">
      <c r="A498" s="25">
        <v>44855</v>
      </c>
      <c r="B498" s="11">
        <v>374.29</v>
      </c>
      <c r="C498" s="11">
        <v>387.86399999999998</v>
      </c>
      <c r="D498" s="11">
        <v>412.48110000000003</v>
      </c>
      <c r="E498" s="10">
        <f t="shared" si="7"/>
        <v>0</v>
      </c>
      <c r="G498" s="29">
        <v>44853</v>
      </c>
      <c r="H498">
        <v>368.5</v>
      </c>
      <c r="I498">
        <v>389.86959999999999</v>
      </c>
      <c r="J498">
        <v>413.51220000000001</v>
      </c>
      <c r="K498" s="10">
        <v>0</v>
      </c>
    </row>
    <row r="499" spans="1:11" x14ac:dyDescent="0.4">
      <c r="A499" s="25">
        <v>44858</v>
      </c>
      <c r="B499" s="11">
        <v>378.87</v>
      </c>
      <c r="C499" s="11">
        <v>386.89940000000001</v>
      </c>
      <c r="D499" s="11">
        <v>412.03579999999999</v>
      </c>
      <c r="E499" s="10">
        <f t="shared" si="7"/>
        <v>0</v>
      </c>
      <c r="G499" s="29">
        <v>44854</v>
      </c>
      <c r="H499">
        <v>365.41</v>
      </c>
      <c r="I499">
        <v>388.77800000000002</v>
      </c>
      <c r="J499">
        <v>412.95159999999998</v>
      </c>
      <c r="K499" s="10">
        <v>0</v>
      </c>
    </row>
    <row r="500" spans="1:11" x14ac:dyDescent="0.4">
      <c r="A500" s="25">
        <v>44859</v>
      </c>
      <c r="B500" s="11">
        <v>384.92</v>
      </c>
      <c r="C500" s="11">
        <v>386.0206</v>
      </c>
      <c r="D500" s="11">
        <v>411.62990000000002</v>
      </c>
      <c r="E500" s="10">
        <f t="shared" si="7"/>
        <v>0</v>
      </c>
      <c r="G500" s="29">
        <v>44855</v>
      </c>
      <c r="H500">
        <v>374.29</v>
      </c>
      <c r="I500">
        <v>387.86399999999998</v>
      </c>
      <c r="J500">
        <v>412.48110000000003</v>
      </c>
      <c r="K500" s="10">
        <v>0</v>
      </c>
    </row>
    <row r="501" spans="1:11" x14ac:dyDescent="0.4">
      <c r="A501" s="25">
        <v>44860</v>
      </c>
      <c r="B501" s="11">
        <v>382.02</v>
      </c>
      <c r="C501" s="11">
        <v>385.06700000000001</v>
      </c>
      <c r="D501" s="11">
        <v>411.2124</v>
      </c>
      <c r="E501" s="10">
        <f t="shared" si="7"/>
        <v>0</v>
      </c>
      <c r="G501" s="29">
        <v>44858</v>
      </c>
      <c r="H501">
        <v>378.87</v>
      </c>
      <c r="I501">
        <v>386.89940000000001</v>
      </c>
      <c r="J501">
        <v>412.03579999999999</v>
      </c>
      <c r="K501" s="10">
        <v>0</v>
      </c>
    </row>
    <row r="502" spans="1:11" x14ac:dyDescent="0.4">
      <c r="A502" s="25">
        <v>44861</v>
      </c>
      <c r="B502" s="11">
        <v>379.98</v>
      </c>
      <c r="C502" s="11">
        <v>384.1336</v>
      </c>
      <c r="D502" s="11">
        <v>410.7636</v>
      </c>
      <c r="E502" s="10">
        <f t="shared" si="7"/>
        <v>0</v>
      </c>
      <c r="G502" s="29">
        <v>44859</v>
      </c>
      <c r="H502">
        <v>384.92</v>
      </c>
      <c r="I502">
        <v>386.0206</v>
      </c>
      <c r="J502">
        <v>411.62990000000002</v>
      </c>
      <c r="K502" s="10">
        <v>0</v>
      </c>
    </row>
    <row r="503" spans="1:11" x14ac:dyDescent="0.4">
      <c r="A503" s="25">
        <v>44862</v>
      </c>
      <c r="B503" s="11">
        <v>389.02</v>
      </c>
      <c r="C503" s="11">
        <v>383.3562</v>
      </c>
      <c r="D503" s="11">
        <v>410.35359999999997</v>
      </c>
      <c r="E503" s="10">
        <f t="shared" si="7"/>
        <v>0</v>
      </c>
      <c r="G503" s="29">
        <v>44860</v>
      </c>
      <c r="H503">
        <v>382.02</v>
      </c>
      <c r="I503">
        <v>385.06700000000001</v>
      </c>
      <c r="J503">
        <v>411.2124</v>
      </c>
      <c r="K503" s="10">
        <v>0</v>
      </c>
    </row>
    <row r="504" spans="1:11" x14ac:dyDescent="0.4">
      <c r="A504" s="25">
        <v>44865</v>
      </c>
      <c r="B504" s="11">
        <v>386.21</v>
      </c>
      <c r="C504" s="11">
        <v>382.63760000000002</v>
      </c>
      <c r="D504" s="11">
        <v>409.96199999999999</v>
      </c>
      <c r="E504" s="10">
        <f t="shared" si="7"/>
        <v>0</v>
      </c>
      <c r="G504" s="29">
        <v>44861</v>
      </c>
      <c r="H504">
        <v>379.98</v>
      </c>
      <c r="I504">
        <v>384.1336</v>
      </c>
      <c r="J504">
        <v>410.7636</v>
      </c>
      <c r="K504" s="10">
        <v>0</v>
      </c>
    </row>
    <row r="505" spans="1:11" x14ac:dyDescent="0.4">
      <c r="A505" s="25">
        <v>44866</v>
      </c>
      <c r="B505" s="11">
        <v>384.52</v>
      </c>
      <c r="C505" s="11">
        <v>382.06099999999998</v>
      </c>
      <c r="D505" s="11">
        <v>409.56099999999998</v>
      </c>
      <c r="E505" s="10">
        <f t="shared" si="7"/>
        <v>0</v>
      </c>
      <c r="G505" s="29">
        <v>44862</v>
      </c>
      <c r="H505">
        <v>389.02</v>
      </c>
      <c r="I505">
        <v>383.3562</v>
      </c>
      <c r="J505">
        <v>410.35359999999997</v>
      </c>
      <c r="K505" s="10">
        <v>0</v>
      </c>
    </row>
    <row r="506" spans="1:11" x14ac:dyDescent="0.4">
      <c r="A506" s="25">
        <v>44867</v>
      </c>
      <c r="B506" s="11">
        <v>374.87</v>
      </c>
      <c r="C506" s="11">
        <v>381.31139999999999</v>
      </c>
      <c r="D506" s="11">
        <v>409.15289999999999</v>
      </c>
      <c r="E506" s="10">
        <f t="shared" si="7"/>
        <v>0</v>
      </c>
      <c r="G506" s="29">
        <v>44865</v>
      </c>
      <c r="H506">
        <v>386.21</v>
      </c>
      <c r="I506">
        <v>382.63760000000002</v>
      </c>
      <c r="J506">
        <v>409.96199999999999</v>
      </c>
      <c r="K506" s="10">
        <v>0</v>
      </c>
    </row>
    <row r="507" spans="1:11" x14ac:dyDescent="0.4">
      <c r="A507" s="25">
        <v>44868</v>
      </c>
      <c r="B507" s="11">
        <v>371.01</v>
      </c>
      <c r="C507" s="11">
        <v>380.45819999999998</v>
      </c>
      <c r="D507" s="11">
        <v>408.74919999999997</v>
      </c>
      <c r="E507" s="10">
        <f t="shared" si="7"/>
        <v>0</v>
      </c>
      <c r="G507" s="29">
        <v>44866</v>
      </c>
      <c r="H507">
        <v>384.52</v>
      </c>
      <c r="I507">
        <v>382.06099999999998</v>
      </c>
      <c r="J507">
        <v>409.56099999999998</v>
      </c>
      <c r="K507" s="10">
        <v>0</v>
      </c>
    </row>
    <row r="508" spans="1:11" x14ac:dyDescent="0.4">
      <c r="A508" s="25">
        <v>44869</v>
      </c>
      <c r="B508" s="11">
        <v>376.35</v>
      </c>
      <c r="C508" s="11">
        <v>379.59500000000003</v>
      </c>
      <c r="D508" s="11">
        <v>408.3972</v>
      </c>
      <c r="E508" s="10">
        <f t="shared" si="7"/>
        <v>0</v>
      </c>
      <c r="G508" s="29">
        <v>44867</v>
      </c>
      <c r="H508">
        <v>374.87</v>
      </c>
      <c r="I508">
        <v>381.31139999999999</v>
      </c>
      <c r="J508">
        <v>409.15289999999999</v>
      </c>
      <c r="K508" s="10">
        <v>0</v>
      </c>
    </row>
    <row r="509" spans="1:11" x14ac:dyDescent="0.4">
      <c r="A509" s="25">
        <v>44872</v>
      </c>
      <c r="B509" s="11">
        <v>379.95</v>
      </c>
      <c r="C509" s="11">
        <v>379.08780000000002</v>
      </c>
      <c r="D509" s="11">
        <v>408.10700000000003</v>
      </c>
      <c r="E509" s="10">
        <f t="shared" si="7"/>
        <v>0</v>
      </c>
      <c r="G509" s="29">
        <v>44868</v>
      </c>
      <c r="H509">
        <v>371.01</v>
      </c>
      <c r="I509">
        <v>380.45819999999998</v>
      </c>
      <c r="J509">
        <v>408.74919999999997</v>
      </c>
      <c r="K509" s="10">
        <v>0</v>
      </c>
    </row>
    <row r="510" spans="1:11" x14ac:dyDescent="0.4">
      <c r="A510" s="25">
        <v>44873</v>
      </c>
      <c r="B510" s="11">
        <v>382</v>
      </c>
      <c r="C510" s="11">
        <v>378.67520000000002</v>
      </c>
      <c r="D510" s="11">
        <v>407.81779999999998</v>
      </c>
      <c r="E510" s="10">
        <f t="shared" si="7"/>
        <v>0</v>
      </c>
      <c r="G510" s="29">
        <v>44869</v>
      </c>
      <c r="H510">
        <v>376.35</v>
      </c>
      <c r="I510">
        <v>379.59500000000003</v>
      </c>
      <c r="J510">
        <v>408.3972</v>
      </c>
      <c r="K510" s="10">
        <v>0</v>
      </c>
    </row>
    <row r="511" spans="1:11" x14ac:dyDescent="0.4">
      <c r="A511" s="25">
        <v>44874</v>
      </c>
      <c r="B511" s="11">
        <v>374.13</v>
      </c>
      <c r="C511" s="11">
        <v>378.1936</v>
      </c>
      <c r="D511" s="11">
        <v>407.51620000000003</v>
      </c>
      <c r="E511" s="10">
        <f t="shared" si="7"/>
        <v>0</v>
      </c>
      <c r="G511" s="29">
        <v>44872</v>
      </c>
      <c r="H511">
        <v>379.95</v>
      </c>
      <c r="I511">
        <v>379.08780000000002</v>
      </c>
      <c r="J511">
        <v>408.10700000000003</v>
      </c>
      <c r="K511" s="10">
        <v>0</v>
      </c>
    </row>
    <row r="512" spans="1:11" x14ac:dyDescent="0.4">
      <c r="A512" s="25">
        <v>44875</v>
      </c>
      <c r="B512" s="11">
        <v>394.69</v>
      </c>
      <c r="C512" s="11">
        <v>378.18380000000002</v>
      </c>
      <c r="D512" s="11">
        <v>407.3227</v>
      </c>
      <c r="E512" s="10">
        <f t="shared" si="7"/>
        <v>0</v>
      </c>
      <c r="G512" s="29">
        <v>44873</v>
      </c>
      <c r="H512">
        <v>382</v>
      </c>
      <c r="I512">
        <v>378.67520000000002</v>
      </c>
      <c r="J512">
        <v>407.81779999999998</v>
      </c>
      <c r="K512" s="10">
        <v>0</v>
      </c>
    </row>
    <row r="513" spans="1:11" x14ac:dyDescent="0.4">
      <c r="A513" s="25">
        <v>44876</v>
      </c>
      <c r="B513" s="11">
        <v>398.51</v>
      </c>
      <c r="C513" s="11">
        <v>378.22559999999999</v>
      </c>
      <c r="D513" s="11">
        <v>407.15899999999999</v>
      </c>
      <c r="E513" s="10">
        <f t="shared" si="7"/>
        <v>0</v>
      </c>
      <c r="G513" s="29">
        <v>44874</v>
      </c>
      <c r="H513">
        <v>374.13</v>
      </c>
      <c r="I513">
        <v>378.1936</v>
      </c>
      <c r="J513">
        <v>407.51620000000003</v>
      </c>
      <c r="K513" s="10">
        <v>0</v>
      </c>
    </row>
    <row r="514" spans="1:11" x14ac:dyDescent="0.4">
      <c r="A514" s="25">
        <v>44879</v>
      </c>
      <c r="B514" s="11">
        <v>395.12</v>
      </c>
      <c r="C514" s="11">
        <v>378.28320000000002</v>
      </c>
      <c r="D514" s="11">
        <v>406.92489999999998</v>
      </c>
      <c r="E514" s="10">
        <f t="shared" si="7"/>
        <v>0</v>
      </c>
      <c r="G514" s="29">
        <v>44875</v>
      </c>
      <c r="H514">
        <v>394.69</v>
      </c>
      <c r="I514">
        <v>378.18380000000002</v>
      </c>
      <c r="J514">
        <v>407.3227</v>
      </c>
      <c r="K514" s="10">
        <v>0</v>
      </c>
    </row>
    <row r="515" spans="1:11" x14ac:dyDescent="0.4">
      <c r="A515" s="25">
        <v>44880</v>
      </c>
      <c r="B515" s="11">
        <v>398.49</v>
      </c>
      <c r="C515" s="11">
        <v>378.43779999999998</v>
      </c>
      <c r="D515" s="11">
        <v>406.6678</v>
      </c>
      <c r="E515" s="10">
        <f t="shared" ref="E515:E578" si="8">IF(AND(C515&gt;D515, C514&lt;D514), 1, 0)</f>
        <v>0</v>
      </c>
      <c r="G515" s="29">
        <v>44876</v>
      </c>
      <c r="H515">
        <v>398.51</v>
      </c>
      <c r="I515">
        <v>378.22559999999999</v>
      </c>
      <c r="J515">
        <v>407.15899999999999</v>
      </c>
      <c r="K515" s="10">
        <v>0</v>
      </c>
    </row>
    <row r="516" spans="1:11" x14ac:dyDescent="0.4">
      <c r="A516" s="25">
        <v>44881</v>
      </c>
      <c r="B516" s="11">
        <v>395.45</v>
      </c>
      <c r="C516" s="11">
        <v>378.39120000000003</v>
      </c>
      <c r="D516" s="11">
        <v>406.38029999999998</v>
      </c>
      <c r="E516" s="10">
        <f t="shared" si="8"/>
        <v>0</v>
      </c>
      <c r="G516" s="29">
        <v>44879</v>
      </c>
      <c r="H516">
        <v>395.12</v>
      </c>
      <c r="I516">
        <v>378.28320000000002</v>
      </c>
      <c r="J516">
        <v>406.92489999999998</v>
      </c>
      <c r="K516" s="10">
        <v>0</v>
      </c>
    </row>
    <row r="517" spans="1:11" x14ac:dyDescent="0.4">
      <c r="A517" s="25">
        <v>44882</v>
      </c>
      <c r="B517" s="11">
        <v>394.24</v>
      </c>
      <c r="C517" s="11">
        <v>378.26839999999999</v>
      </c>
      <c r="D517" s="11">
        <v>406.06479999999999</v>
      </c>
      <c r="E517" s="10">
        <f t="shared" si="8"/>
        <v>0</v>
      </c>
      <c r="G517" s="29">
        <v>44880</v>
      </c>
      <c r="H517">
        <v>398.49</v>
      </c>
      <c r="I517">
        <v>378.43779999999998</v>
      </c>
      <c r="J517">
        <v>406.6678</v>
      </c>
      <c r="K517" s="10">
        <v>0</v>
      </c>
    </row>
    <row r="518" spans="1:11" x14ac:dyDescent="0.4">
      <c r="A518" s="25">
        <v>44883</v>
      </c>
      <c r="B518" s="11">
        <v>396.03</v>
      </c>
      <c r="C518" s="11">
        <v>378.05700000000002</v>
      </c>
      <c r="D518" s="11">
        <v>405.81189999999998</v>
      </c>
      <c r="E518" s="10">
        <f t="shared" si="8"/>
        <v>0</v>
      </c>
      <c r="G518" s="29">
        <v>44881</v>
      </c>
      <c r="H518">
        <v>395.45</v>
      </c>
      <c r="I518">
        <v>378.39120000000003</v>
      </c>
      <c r="J518">
        <v>406.38029999999998</v>
      </c>
      <c r="K518" s="10">
        <v>0</v>
      </c>
    </row>
    <row r="519" spans="1:11" x14ac:dyDescent="0.4">
      <c r="A519" s="25">
        <v>44886</v>
      </c>
      <c r="B519" s="11">
        <v>394.59</v>
      </c>
      <c r="C519" s="11">
        <v>377.7294</v>
      </c>
      <c r="D519" s="11">
        <v>405.54140000000001</v>
      </c>
      <c r="E519" s="10">
        <f t="shared" si="8"/>
        <v>0</v>
      </c>
      <c r="G519" s="29">
        <v>44882</v>
      </c>
      <c r="H519">
        <v>394.24</v>
      </c>
      <c r="I519">
        <v>378.26839999999999</v>
      </c>
      <c r="J519">
        <v>406.06479999999999</v>
      </c>
      <c r="K519" s="10">
        <v>0</v>
      </c>
    </row>
    <row r="520" spans="1:11" x14ac:dyDescent="0.4">
      <c r="A520" s="25">
        <v>44887</v>
      </c>
      <c r="B520" s="11">
        <v>399.9</v>
      </c>
      <c r="C520" s="11">
        <v>377.86540000000002</v>
      </c>
      <c r="D520" s="11">
        <v>405.30459999999999</v>
      </c>
      <c r="E520" s="10">
        <f t="shared" si="8"/>
        <v>0</v>
      </c>
      <c r="G520" s="29">
        <v>44883</v>
      </c>
      <c r="H520">
        <v>396.03</v>
      </c>
      <c r="I520">
        <v>378.05700000000002</v>
      </c>
      <c r="J520">
        <v>405.81189999999998</v>
      </c>
      <c r="K520" s="10">
        <v>0</v>
      </c>
    </row>
    <row r="521" spans="1:11" x14ac:dyDescent="0.4">
      <c r="A521" s="25">
        <v>44888</v>
      </c>
      <c r="B521" s="11">
        <v>402.42</v>
      </c>
      <c r="C521" s="11">
        <v>378.02179999999998</v>
      </c>
      <c r="D521" s="11">
        <v>405.06200000000001</v>
      </c>
      <c r="E521" s="10">
        <f t="shared" si="8"/>
        <v>0</v>
      </c>
      <c r="G521" s="29">
        <v>44886</v>
      </c>
      <c r="H521">
        <v>394.59</v>
      </c>
      <c r="I521">
        <v>377.7294</v>
      </c>
      <c r="J521">
        <v>405.54140000000001</v>
      </c>
      <c r="K521" s="10">
        <v>0</v>
      </c>
    </row>
    <row r="522" spans="1:11" x14ac:dyDescent="0.4">
      <c r="A522" s="25">
        <v>44890</v>
      </c>
      <c r="B522" s="11">
        <v>402.33</v>
      </c>
      <c r="C522" s="11">
        <v>378.26600000000002</v>
      </c>
      <c r="D522" s="11">
        <v>404.78590000000003</v>
      </c>
      <c r="E522" s="10">
        <f t="shared" si="8"/>
        <v>0</v>
      </c>
      <c r="G522" s="29">
        <v>44887</v>
      </c>
      <c r="H522">
        <v>399.9</v>
      </c>
      <c r="I522">
        <v>377.86540000000002</v>
      </c>
      <c r="J522">
        <v>405.30459999999999</v>
      </c>
      <c r="K522" s="10">
        <v>0</v>
      </c>
    </row>
    <row r="523" spans="1:11" x14ac:dyDescent="0.4">
      <c r="A523" s="25">
        <v>44893</v>
      </c>
      <c r="B523" s="11">
        <v>395.91</v>
      </c>
      <c r="C523" s="11">
        <v>378.47300000000001</v>
      </c>
      <c r="D523" s="11">
        <v>404.5188</v>
      </c>
      <c r="E523" s="10">
        <f t="shared" si="8"/>
        <v>0</v>
      </c>
      <c r="G523" s="29">
        <v>44888</v>
      </c>
      <c r="H523">
        <v>402.42</v>
      </c>
      <c r="I523">
        <v>378.02179999999998</v>
      </c>
      <c r="J523">
        <v>405.06200000000001</v>
      </c>
      <c r="K523" s="10">
        <v>0</v>
      </c>
    </row>
    <row r="524" spans="1:11" x14ac:dyDescent="0.4">
      <c r="A524" s="25">
        <v>44894</v>
      </c>
      <c r="B524" s="11">
        <v>395.23</v>
      </c>
      <c r="C524" s="11">
        <v>378.60660000000001</v>
      </c>
      <c r="D524" s="11">
        <v>404.29270000000002</v>
      </c>
      <c r="E524" s="10">
        <f t="shared" si="8"/>
        <v>0</v>
      </c>
      <c r="G524" s="29">
        <v>44890</v>
      </c>
      <c r="H524">
        <v>402.33</v>
      </c>
      <c r="I524">
        <v>378.26600000000002</v>
      </c>
      <c r="J524">
        <v>404.78590000000003</v>
      </c>
      <c r="K524" s="10">
        <v>0</v>
      </c>
    </row>
    <row r="525" spans="1:11" x14ac:dyDescent="0.4">
      <c r="A525" s="25">
        <v>44895</v>
      </c>
      <c r="B525" s="11">
        <v>407.68</v>
      </c>
      <c r="C525" s="11">
        <v>379.07839999999999</v>
      </c>
      <c r="D525" s="11">
        <v>404.13600000000002</v>
      </c>
      <c r="E525" s="10">
        <f t="shared" si="8"/>
        <v>0</v>
      </c>
      <c r="G525" s="29">
        <v>44893</v>
      </c>
      <c r="H525">
        <v>395.91</v>
      </c>
      <c r="I525">
        <v>378.47300000000001</v>
      </c>
      <c r="J525">
        <v>404.5188</v>
      </c>
      <c r="K525" s="10">
        <v>0</v>
      </c>
    </row>
    <row r="526" spans="1:11" x14ac:dyDescent="0.4">
      <c r="A526" s="25">
        <v>44896</v>
      </c>
      <c r="B526" s="11">
        <v>407.38</v>
      </c>
      <c r="C526" s="11">
        <v>379.6782</v>
      </c>
      <c r="D526" s="11">
        <v>403.94240000000002</v>
      </c>
      <c r="E526" s="10">
        <f t="shared" si="8"/>
        <v>0</v>
      </c>
      <c r="G526" s="29">
        <v>44894</v>
      </c>
      <c r="H526">
        <v>395.23</v>
      </c>
      <c r="I526">
        <v>378.60660000000001</v>
      </c>
      <c r="J526">
        <v>404.29270000000002</v>
      </c>
      <c r="K526" s="10">
        <v>0</v>
      </c>
    </row>
    <row r="527" spans="1:11" x14ac:dyDescent="0.4">
      <c r="A527" s="25">
        <v>44897</v>
      </c>
      <c r="B527" s="11">
        <v>406.91</v>
      </c>
      <c r="C527" s="11">
        <v>380.33199999999999</v>
      </c>
      <c r="D527" s="11">
        <v>403.74400000000003</v>
      </c>
      <c r="E527" s="10">
        <f t="shared" si="8"/>
        <v>0</v>
      </c>
      <c r="G527" s="29">
        <v>44895</v>
      </c>
      <c r="H527">
        <v>407.68</v>
      </c>
      <c r="I527">
        <v>379.07839999999999</v>
      </c>
      <c r="J527">
        <v>404.13600000000002</v>
      </c>
      <c r="K527" s="10">
        <v>0</v>
      </c>
    </row>
    <row r="528" spans="1:11" x14ac:dyDescent="0.4">
      <c r="A528" s="25">
        <v>44900</v>
      </c>
      <c r="B528" s="11">
        <v>399.59</v>
      </c>
      <c r="C528" s="11">
        <v>380.96480000000003</v>
      </c>
      <c r="D528" s="11">
        <v>403.5566</v>
      </c>
      <c r="E528" s="10">
        <f t="shared" si="8"/>
        <v>0</v>
      </c>
      <c r="G528" s="29">
        <v>44896</v>
      </c>
      <c r="H528">
        <v>407.38</v>
      </c>
      <c r="I528">
        <v>379.6782</v>
      </c>
      <c r="J528">
        <v>403.94240000000002</v>
      </c>
      <c r="K528" s="10">
        <v>0</v>
      </c>
    </row>
    <row r="529" spans="1:11" x14ac:dyDescent="0.4">
      <c r="A529" s="25">
        <v>44901</v>
      </c>
      <c r="B529" s="11">
        <v>393.83</v>
      </c>
      <c r="C529" s="11">
        <v>381.55520000000001</v>
      </c>
      <c r="D529" s="11">
        <v>403.3546</v>
      </c>
      <c r="E529" s="10">
        <f t="shared" si="8"/>
        <v>0</v>
      </c>
      <c r="G529" s="29">
        <v>44897</v>
      </c>
      <c r="H529">
        <v>406.91</v>
      </c>
      <c r="I529">
        <v>380.33199999999999</v>
      </c>
      <c r="J529">
        <v>403.74400000000003</v>
      </c>
      <c r="K529" s="10">
        <v>0</v>
      </c>
    </row>
    <row r="530" spans="1:11" x14ac:dyDescent="0.4">
      <c r="A530" s="25">
        <v>44902</v>
      </c>
      <c r="B530" s="11">
        <v>393.16</v>
      </c>
      <c r="C530" s="11">
        <v>382.1508</v>
      </c>
      <c r="D530" s="11">
        <v>403.17259999999999</v>
      </c>
      <c r="E530" s="10">
        <f t="shared" si="8"/>
        <v>0</v>
      </c>
      <c r="G530" s="29">
        <v>44900</v>
      </c>
      <c r="H530">
        <v>399.59</v>
      </c>
      <c r="I530">
        <v>380.96480000000003</v>
      </c>
      <c r="J530">
        <v>403.5566</v>
      </c>
      <c r="K530" s="10">
        <v>0</v>
      </c>
    </row>
    <row r="531" spans="1:11" x14ac:dyDescent="0.4">
      <c r="A531" s="25">
        <v>44903</v>
      </c>
      <c r="B531" s="11">
        <v>396.24</v>
      </c>
      <c r="C531" s="11">
        <v>382.66500000000002</v>
      </c>
      <c r="D531" s="11">
        <v>403.04399999999998</v>
      </c>
      <c r="E531" s="10">
        <f t="shared" si="8"/>
        <v>0</v>
      </c>
      <c r="G531" s="29">
        <v>44901</v>
      </c>
      <c r="H531">
        <v>393.83</v>
      </c>
      <c r="I531">
        <v>381.55520000000001</v>
      </c>
      <c r="J531">
        <v>403.3546</v>
      </c>
      <c r="K531" s="10">
        <v>0</v>
      </c>
    </row>
    <row r="532" spans="1:11" x14ac:dyDescent="0.4">
      <c r="A532" s="25">
        <v>44904</v>
      </c>
      <c r="B532" s="11">
        <v>393.28</v>
      </c>
      <c r="C532" s="11">
        <v>383.27480000000003</v>
      </c>
      <c r="D532" s="11">
        <v>402.8689</v>
      </c>
      <c r="E532" s="10">
        <f t="shared" si="8"/>
        <v>0</v>
      </c>
      <c r="G532" s="29">
        <v>44902</v>
      </c>
      <c r="H532">
        <v>393.16</v>
      </c>
      <c r="I532">
        <v>382.1508</v>
      </c>
      <c r="J532">
        <v>403.17259999999999</v>
      </c>
      <c r="K532" s="10">
        <v>0</v>
      </c>
    </row>
    <row r="533" spans="1:11" x14ac:dyDescent="0.4">
      <c r="A533" s="25">
        <v>44907</v>
      </c>
      <c r="B533" s="11">
        <v>398.95</v>
      </c>
      <c r="C533" s="11">
        <v>384.11020000000002</v>
      </c>
      <c r="D533" s="11">
        <v>402.67489999999998</v>
      </c>
      <c r="E533" s="10">
        <f t="shared" si="8"/>
        <v>0</v>
      </c>
      <c r="G533" s="29">
        <v>44903</v>
      </c>
      <c r="H533">
        <v>396.24</v>
      </c>
      <c r="I533">
        <v>382.66500000000002</v>
      </c>
      <c r="J533">
        <v>403.04399999999998</v>
      </c>
      <c r="K533" s="10">
        <v>0</v>
      </c>
    </row>
    <row r="534" spans="1:11" x14ac:dyDescent="0.4">
      <c r="A534" s="25">
        <v>44908</v>
      </c>
      <c r="B534" s="11">
        <v>401.97</v>
      </c>
      <c r="C534" s="11">
        <v>384.81740000000002</v>
      </c>
      <c r="D534" s="11">
        <v>402.5016</v>
      </c>
      <c r="E534" s="10">
        <f t="shared" si="8"/>
        <v>0</v>
      </c>
      <c r="G534" s="29">
        <v>44904</v>
      </c>
      <c r="H534">
        <v>393.28</v>
      </c>
      <c r="I534">
        <v>383.27480000000003</v>
      </c>
      <c r="J534">
        <v>402.8689</v>
      </c>
      <c r="K534" s="10">
        <v>0</v>
      </c>
    </row>
    <row r="535" spans="1:11" x14ac:dyDescent="0.4">
      <c r="A535" s="25">
        <v>44909</v>
      </c>
      <c r="B535" s="11">
        <v>399.4</v>
      </c>
      <c r="C535" s="11">
        <v>385.24599999999998</v>
      </c>
      <c r="D535" s="11">
        <v>402.34870000000001</v>
      </c>
      <c r="E535" s="10">
        <f t="shared" si="8"/>
        <v>0</v>
      </c>
      <c r="G535" s="29">
        <v>44907</v>
      </c>
      <c r="H535">
        <v>398.95</v>
      </c>
      <c r="I535">
        <v>384.11020000000002</v>
      </c>
      <c r="J535">
        <v>402.67489999999998</v>
      </c>
      <c r="K535" s="10">
        <v>0</v>
      </c>
    </row>
    <row r="536" spans="1:11" x14ac:dyDescent="0.4">
      <c r="A536" s="25">
        <v>44910</v>
      </c>
      <c r="B536" s="11">
        <v>389.63</v>
      </c>
      <c r="C536" s="11">
        <v>385.49680000000001</v>
      </c>
      <c r="D536" s="11">
        <v>402.10739999999998</v>
      </c>
      <c r="E536" s="10">
        <f t="shared" si="8"/>
        <v>0</v>
      </c>
      <c r="G536" s="29">
        <v>44908</v>
      </c>
      <c r="H536">
        <v>401.97</v>
      </c>
      <c r="I536">
        <v>384.81740000000002</v>
      </c>
      <c r="J536">
        <v>402.5016</v>
      </c>
      <c r="K536" s="10">
        <v>0</v>
      </c>
    </row>
    <row r="537" spans="1:11" x14ac:dyDescent="0.4">
      <c r="A537" s="25">
        <v>44911</v>
      </c>
      <c r="B537" s="11">
        <v>383.27</v>
      </c>
      <c r="C537" s="11">
        <v>385.69819999999999</v>
      </c>
      <c r="D537" s="11">
        <v>401.84519999999998</v>
      </c>
      <c r="E537" s="10">
        <f t="shared" si="8"/>
        <v>0</v>
      </c>
      <c r="G537" s="29">
        <v>44909</v>
      </c>
      <c r="H537">
        <v>399.4</v>
      </c>
      <c r="I537">
        <v>385.24599999999998</v>
      </c>
      <c r="J537">
        <v>402.34870000000001</v>
      </c>
      <c r="K537" s="10">
        <v>0</v>
      </c>
    </row>
    <row r="538" spans="1:11" x14ac:dyDescent="0.4">
      <c r="A538" s="25">
        <v>44914</v>
      </c>
      <c r="B538" s="11">
        <v>380.02</v>
      </c>
      <c r="C538" s="11">
        <v>386.0428</v>
      </c>
      <c r="D538" s="11">
        <v>401.58440000000002</v>
      </c>
      <c r="E538" s="10">
        <f t="shared" si="8"/>
        <v>0</v>
      </c>
      <c r="G538" s="29">
        <v>44910</v>
      </c>
      <c r="H538">
        <v>389.63</v>
      </c>
      <c r="I538">
        <v>385.49680000000001</v>
      </c>
      <c r="J538">
        <v>402.10739999999998</v>
      </c>
      <c r="K538" s="10">
        <v>0</v>
      </c>
    </row>
    <row r="539" spans="1:11" x14ac:dyDescent="0.4">
      <c r="A539" s="25">
        <v>44915</v>
      </c>
      <c r="B539" s="11">
        <v>380.54</v>
      </c>
      <c r="C539" s="11">
        <v>386.45319999999998</v>
      </c>
      <c r="D539" s="11">
        <v>401.39</v>
      </c>
      <c r="E539" s="10">
        <f t="shared" si="8"/>
        <v>0</v>
      </c>
      <c r="G539" s="29">
        <v>44911</v>
      </c>
      <c r="H539">
        <v>383.27</v>
      </c>
      <c r="I539">
        <v>385.69819999999999</v>
      </c>
      <c r="J539">
        <v>401.84519999999998</v>
      </c>
      <c r="K539" s="10">
        <v>0</v>
      </c>
    </row>
    <row r="540" spans="1:11" x14ac:dyDescent="0.4">
      <c r="A540" s="25">
        <v>44916</v>
      </c>
      <c r="B540" s="11">
        <v>386.23</v>
      </c>
      <c r="C540" s="11">
        <v>387.02300000000002</v>
      </c>
      <c r="D540" s="11">
        <v>401.23989999999998</v>
      </c>
      <c r="E540" s="10">
        <f t="shared" si="8"/>
        <v>0</v>
      </c>
      <c r="G540" s="29">
        <v>44914</v>
      </c>
      <c r="H540">
        <v>380.02</v>
      </c>
      <c r="I540">
        <v>386.0428</v>
      </c>
      <c r="J540">
        <v>401.58440000000002</v>
      </c>
      <c r="K540" s="10">
        <v>0</v>
      </c>
    </row>
    <row r="541" spans="1:11" x14ac:dyDescent="0.4">
      <c r="A541" s="25">
        <v>44917</v>
      </c>
      <c r="B541" s="11">
        <v>380.72</v>
      </c>
      <c r="C541" s="11">
        <v>387.50619999999998</v>
      </c>
      <c r="D541" s="11">
        <v>401.00639999999999</v>
      </c>
      <c r="E541" s="10">
        <f t="shared" si="8"/>
        <v>0</v>
      </c>
      <c r="G541" s="29">
        <v>44915</v>
      </c>
      <c r="H541">
        <v>380.54</v>
      </c>
      <c r="I541">
        <v>386.45319999999998</v>
      </c>
      <c r="J541">
        <v>401.39</v>
      </c>
      <c r="K541" s="10">
        <v>0</v>
      </c>
    </row>
    <row r="542" spans="1:11" x14ac:dyDescent="0.4">
      <c r="A542" s="25">
        <v>44918</v>
      </c>
      <c r="B542" s="11">
        <v>382.91</v>
      </c>
      <c r="C542" s="11">
        <v>387.84500000000003</v>
      </c>
      <c r="D542" s="11">
        <v>400.79360000000003</v>
      </c>
      <c r="E542" s="10">
        <f t="shared" si="8"/>
        <v>0</v>
      </c>
      <c r="G542" s="29">
        <v>44916</v>
      </c>
      <c r="H542">
        <v>386.23</v>
      </c>
      <c r="I542">
        <v>387.02300000000002</v>
      </c>
      <c r="J542">
        <v>401.23989999999998</v>
      </c>
      <c r="K542" s="10">
        <v>0</v>
      </c>
    </row>
    <row r="543" spans="1:11" x14ac:dyDescent="0.4">
      <c r="A543" s="25">
        <v>44922</v>
      </c>
      <c r="B543" s="11">
        <v>381.4</v>
      </c>
      <c r="C543" s="11">
        <v>388.32040000000001</v>
      </c>
      <c r="D543" s="11">
        <v>400.60019999999997</v>
      </c>
      <c r="E543" s="10">
        <f t="shared" si="8"/>
        <v>0</v>
      </c>
      <c r="G543" s="29">
        <v>44917</v>
      </c>
      <c r="H543">
        <v>380.72</v>
      </c>
      <c r="I543">
        <v>387.50619999999998</v>
      </c>
      <c r="J543">
        <v>401.00639999999999</v>
      </c>
      <c r="K543" s="10">
        <v>0</v>
      </c>
    </row>
    <row r="544" spans="1:11" x14ac:dyDescent="0.4">
      <c r="A544" s="25">
        <v>44923</v>
      </c>
      <c r="B544" s="11">
        <v>376.66</v>
      </c>
      <c r="C544" s="11">
        <v>388.5172</v>
      </c>
      <c r="D544" s="11">
        <v>400.39859999999999</v>
      </c>
      <c r="E544" s="10">
        <f t="shared" si="8"/>
        <v>0</v>
      </c>
      <c r="G544" s="29">
        <v>44918</v>
      </c>
      <c r="H544">
        <v>382.91</v>
      </c>
      <c r="I544">
        <v>387.84500000000003</v>
      </c>
      <c r="J544">
        <v>400.79360000000003</v>
      </c>
      <c r="K544" s="10">
        <v>0</v>
      </c>
    </row>
    <row r="545" spans="1:11" x14ac:dyDescent="0.4">
      <c r="A545" s="25">
        <v>44924</v>
      </c>
      <c r="B545" s="11">
        <v>383.44</v>
      </c>
      <c r="C545" s="11">
        <v>388.76339999999999</v>
      </c>
      <c r="D545" s="11">
        <v>400.18490000000003</v>
      </c>
      <c r="E545" s="10">
        <f t="shared" si="8"/>
        <v>0</v>
      </c>
      <c r="G545" s="29">
        <v>44922</v>
      </c>
      <c r="H545">
        <v>381.4</v>
      </c>
      <c r="I545">
        <v>388.32040000000001</v>
      </c>
      <c r="J545">
        <v>400.60019999999997</v>
      </c>
      <c r="K545" s="10">
        <v>0</v>
      </c>
    </row>
    <row r="546" spans="1:11" x14ac:dyDescent="0.4">
      <c r="A546" s="25">
        <v>44925</v>
      </c>
      <c r="B546" s="11">
        <v>382.43</v>
      </c>
      <c r="C546" s="11">
        <v>389.04199999999997</v>
      </c>
      <c r="D546" s="11">
        <v>399.91899999999998</v>
      </c>
      <c r="E546" s="10">
        <f t="shared" si="8"/>
        <v>0</v>
      </c>
      <c r="G546" s="29">
        <v>44923</v>
      </c>
      <c r="H546">
        <v>376.66</v>
      </c>
      <c r="I546">
        <v>388.5172</v>
      </c>
      <c r="J546">
        <v>400.39859999999999</v>
      </c>
      <c r="K546" s="10">
        <v>0</v>
      </c>
    </row>
    <row r="547" spans="1:11" x14ac:dyDescent="0.4">
      <c r="A547" s="25">
        <v>44929</v>
      </c>
      <c r="B547" s="11">
        <v>380.82</v>
      </c>
      <c r="C547" s="11">
        <v>389.35019999999997</v>
      </c>
      <c r="D547" s="11">
        <v>399.61770000000001</v>
      </c>
      <c r="E547" s="10">
        <f t="shared" si="8"/>
        <v>0</v>
      </c>
      <c r="G547" s="29">
        <v>44924</v>
      </c>
      <c r="H547">
        <v>383.44</v>
      </c>
      <c r="I547">
        <v>388.76339999999999</v>
      </c>
      <c r="J547">
        <v>400.18490000000003</v>
      </c>
      <c r="K547" s="10">
        <v>0</v>
      </c>
    </row>
    <row r="548" spans="1:11" x14ac:dyDescent="0.4">
      <c r="A548" s="25">
        <v>44930</v>
      </c>
      <c r="B548" s="11">
        <v>383.76</v>
      </c>
      <c r="C548" s="11">
        <v>389.53960000000001</v>
      </c>
      <c r="D548" s="11">
        <v>399.31389999999999</v>
      </c>
      <c r="E548" s="10">
        <f t="shared" si="8"/>
        <v>0</v>
      </c>
      <c r="G548" s="29">
        <v>44925</v>
      </c>
      <c r="H548">
        <v>382.43</v>
      </c>
      <c r="I548">
        <v>389.04199999999997</v>
      </c>
      <c r="J548">
        <v>399.91899999999998</v>
      </c>
      <c r="K548" s="10">
        <v>0</v>
      </c>
    </row>
    <row r="549" spans="1:11" x14ac:dyDescent="0.4">
      <c r="A549" s="25">
        <v>44931</v>
      </c>
      <c r="B549" s="11">
        <v>379.38</v>
      </c>
      <c r="C549" s="11">
        <v>389.5498</v>
      </c>
      <c r="D549" s="11">
        <v>398.98880000000003</v>
      </c>
      <c r="E549" s="10">
        <f t="shared" si="8"/>
        <v>0</v>
      </c>
      <c r="G549" s="29">
        <v>44929</v>
      </c>
      <c r="H549">
        <v>380.82</v>
      </c>
      <c r="I549">
        <v>389.35019999999997</v>
      </c>
      <c r="J549">
        <v>399.61770000000001</v>
      </c>
      <c r="K549" s="10">
        <v>0</v>
      </c>
    </row>
    <row r="550" spans="1:11" x14ac:dyDescent="0.4">
      <c r="A550" s="25">
        <v>44932</v>
      </c>
      <c r="B550" s="11">
        <v>388.08</v>
      </c>
      <c r="C550" s="11">
        <v>389.613</v>
      </c>
      <c r="D550" s="11">
        <v>398.68130000000002</v>
      </c>
      <c r="E550" s="10">
        <f t="shared" si="8"/>
        <v>0</v>
      </c>
      <c r="G550" s="29">
        <v>44930</v>
      </c>
      <c r="H550">
        <v>383.76</v>
      </c>
      <c r="I550">
        <v>389.53960000000001</v>
      </c>
      <c r="J550">
        <v>399.31389999999999</v>
      </c>
      <c r="K550" s="10">
        <v>0</v>
      </c>
    </row>
    <row r="551" spans="1:11" x14ac:dyDescent="0.4">
      <c r="A551" s="25">
        <v>44935</v>
      </c>
      <c r="B551" s="11">
        <v>387.86</v>
      </c>
      <c r="C551" s="11">
        <v>389.72980000000001</v>
      </c>
      <c r="D551" s="11">
        <v>398.40159999999997</v>
      </c>
      <c r="E551" s="10">
        <f t="shared" si="8"/>
        <v>0</v>
      </c>
      <c r="G551" s="29">
        <v>44931</v>
      </c>
      <c r="H551">
        <v>379.38</v>
      </c>
      <c r="I551">
        <v>389.5498</v>
      </c>
      <c r="J551">
        <v>398.98880000000003</v>
      </c>
      <c r="K551" s="10">
        <v>0</v>
      </c>
    </row>
    <row r="552" spans="1:11" x14ac:dyDescent="0.4">
      <c r="A552" s="25">
        <v>44936</v>
      </c>
      <c r="B552" s="11">
        <v>390.58</v>
      </c>
      <c r="C552" s="11">
        <v>389.9418</v>
      </c>
      <c r="D552" s="11">
        <v>398.10199999999998</v>
      </c>
      <c r="E552" s="10">
        <f t="shared" si="8"/>
        <v>0</v>
      </c>
      <c r="G552" s="29">
        <v>44932</v>
      </c>
      <c r="H552">
        <v>388.08</v>
      </c>
      <c r="I552">
        <v>389.613</v>
      </c>
      <c r="J552">
        <v>398.68130000000002</v>
      </c>
      <c r="K552" s="10">
        <v>0</v>
      </c>
    </row>
    <row r="553" spans="1:11" x14ac:dyDescent="0.4">
      <c r="A553" s="25">
        <v>44937</v>
      </c>
      <c r="B553" s="11">
        <v>395.52</v>
      </c>
      <c r="C553" s="11">
        <v>390.0718</v>
      </c>
      <c r="D553" s="11">
        <v>397.81619999999998</v>
      </c>
      <c r="E553" s="10">
        <f t="shared" si="8"/>
        <v>0</v>
      </c>
      <c r="G553" s="29">
        <v>44935</v>
      </c>
      <c r="H553">
        <v>387.86</v>
      </c>
      <c r="I553">
        <v>389.72980000000001</v>
      </c>
      <c r="J553">
        <v>398.40159999999997</v>
      </c>
      <c r="K553" s="10">
        <v>0</v>
      </c>
    </row>
    <row r="554" spans="1:11" x14ac:dyDescent="0.4">
      <c r="A554" s="25">
        <v>44938</v>
      </c>
      <c r="B554" s="11">
        <v>396.96</v>
      </c>
      <c r="C554" s="11">
        <v>390.28680000000003</v>
      </c>
      <c r="D554" s="11">
        <v>397.52140000000003</v>
      </c>
      <c r="E554" s="10">
        <f t="shared" si="8"/>
        <v>0</v>
      </c>
      <c r="G554" s="29">
        <v>44936</v>
      </c>
      <c r="H554">
        <v>390.58</v>
      </c>
      <c r="I554">
        <v>389.9418</v>
      </c>
      <c r="J554">
        <v>398.10199999999998</v>
      </c>
      <c r="K554" s="10">
        <v>0</v>
      </c>
    </row>
    <row r="555" spans="1:11" x14ac:dyDescent="0.4">
      <c r="A555" s="25">
        <v>44939</v>
      </c>
      <c r="B555" s="11">
        <v>398.5</v>
      </c>
      <c r="C555" s="11">
        <v>390.56639999999999</v>
      </c>
      <c r="D555" s="11">
        <v>397.20620000000002</v>
      </c>
      <c r="E555" s="10">
        <f t="shared" si="8"/>
        <v>0</v>
      </c>
      <c r="G555" s="29">
        <v>44937</v>
      </c>
      <c r="H555">
        <v>395.52</v>
      </c>
      <c r="I555">
        <v>390.0718</v>
      </c>
      <c r="J555">
        <v>397.81619999999998</v>
      </c>
      <c r="K555" s="10">
        <v>0</v>
      </c>
    </row>
    <row r="556" spans="1:11" x14ac:dyDescent="0.4">
      <c r="A556" s="25">
        <v>44943</v>
      </c>
      <c r="B556" s="11">
        <v>397.77</v>
      </c>
      <c r="C556" s="11">
        <v>391.02440000000001</v>
      </c>
      <c r="D556" s="11">
        <v>396.90159999999997</v>
      </c>
      <c r="E556" s="10">
        <f t="shared" si="8"/>
        <v>0</v>
      </c>
      <c r="G556" s="29">
        <v>44938</v>
      </c>
      <c r="H556">
        <v>396.96</v>
      </c>
      <c r="I556">
        <v>390.28680000000003</v>
      </c>
      <c r="J556">
        <v>397.52140000000003</v>
      </c>
      <c r="K556" s="10">
        <v>0</v>
      </c>
    </row>
    <row r="557" spans="1:11" x14ac:dyDescent="0.4">
      <c r="A557" s="25">
        <v>44944</v>
      </c>
      <c r="B557" s="11">
        <v>391.49</v>
      </c>
      <c r="C557" s="11">
        <v>391.43400000000003</v>
      </c>
      <c r="D557" s="11">
        <v>396.60079999999999</v>
      </c>
      <c r="E557" s="10">
        <f t="shared" si="8"/>
        <v>0</v>
      </c>
      <c r="G557" s="29">
        <v>44939</v>
      </c>
      <c r="H557">
        <v>398.5</v>
      </c>
      <c r="I557">
        <v>390.56639999999999</v>
      </c>
      <c r="J557">
        <v>397.20620000000002</v>
      </c>
      <c r="K557" s="10">
        <v>0</v>
      </c>
    </row>
    <row r="558" spans="1:11" x14ac:dyDescent="0.4">
      <c r="A558" s="25">
        <v>44945</v>
      </c>
      <c r="B558" s="11">
        <v>388.64</v>
      </c>
      <c r="C558" s="11">
        <v>391.6798</v>
      </c>
      <c r="D558" s="11">
        <v>396.27940000000001</v>
      </c>
      <c r="E558" s="10">
        <f t="shared" si="8"/>
        <v>0</v>
      </c>
      <c r="G558" s="29">
        <v>44943</v>
      </c>
      <c r="H558">
        <v>397.77</v>
      </c>
      <c r="I558">
        <v>391.02440000000001</v>
      </c>
      <c r="J558">
        <v>396.90159999999997</v>
      </c>
      <c r="K558" s="10">
        <v>0</v>
      </c>
    </row>
    <row r="559" spans="1:11" x14ac:dyDescent="0.4">
      <c r="A559" s="25">
        <v>44946</v>
      </c>
      <c r="B559" s="11">
        <v>395.88</v>
      </c>
      <c r="C559" s="11">
        <v>391.9984</v>
      </c>
      <c r="D559" s="11">
        <v>395.97480000000002</v>
      </c>
      <c r="E559" s="10">
        <f t="shared" si="8"/>
        <v>0</v>
      </c>
      <c r="G559" s="29">
        <v>44944</v>
      </c>
      <c r="H559">
        <v>391.49</v>
      </c>
      <c r="I559">
        <v>391.43400000000003</v>
      </c>
      <c r="J559">
        <v>396.60079999999999</v>
      </c>
      <c r="K559" s="10">
        <v>0</v>
      </c>
    </row>
    <row r="560" spans="1:11" x14ac:dyDescent="0.4">
      <c r="A560" s="25">
        <v>44949</v>
      </c>
      <c r="B560" s="11">
        <v>400.63</v>
      </c>
      <c r="C560" s="11">
        <v>392.37099999999998</v>
      </c>
      <c r="D560" s="11">
        <v>395.72280000000001</v>
      </c>
      <c r="E560" s="10">
        <f t="shared" si="8"/>
        <v>0</v>
      </c>
      <c r="G560" s="29">
        <v>44945</v>
      </c>
      <c r="H560">
        <v>388.64</v>
      </c>
      <c r="I560">
        <v>391.6798</v>
      </c>
      <c r="J560">
        <v>396.27940000000001</v>
      </c>
      <c r="K560" s="10">
        <v>0</v>
      </c>
    </row>
    <row r="561" spans="1:11" x14ac:dyDescent="0.4">
      <c r="A561" s="25">
        <v>44950</v>
      </c>
      <c r="B561" s="11">
        <v>400.2</v>
      </c>
      <c r="C561" s="11">
        <v>392.89240000000001</v>
      </c>
      <c r="D561" s="11">
        <v>395.49119999999999</v>
      </c>
      <c r="E561" s="10">
        <f t="shared" si="8"/>
        <v>0</v>
      </c>
      <c r="G561" s="29">
        <v>44946</v>
      </c>
      <c r="H561">
        <v>395.88</v>
      </c>
      <c r="I561">
        <v>391.9984</v>
      </c>
      <c r="J561">
        <v>395.97480000000002</v>
      </c>
      <c r="K561" s="10">
        <v>0</v>
      </c>
    </row>
    <row r="562" spans="1:11" x14ac:dyDescent="0.4">
      <c r="A562" s="25">
        <v>44951</v>
      </c>
      <c r="B562" s="11">
        <v>400.35</v>
      </c>
      <c r="C562" s="11">
        <v>393.00560000000002</v>
      </c>
      <c r="D562" s="11">
        <v>395.2491</v>
      </c>
      <c r="E562" s="10">
        <f t="shared" si="8"/>
        <v>0</v>
      </c>
      <c r="G562" s="29">
        <v>44949</v>
      </c>
      <c r="H562">
        <v>400.63</v>
      </c>
      <c r="I562">
        <v>392.37099999999998</v>
      </c>
      <c r="J562">
        <v>395.72280000000001</v>
      </c>
      <c r="K562" s="10">
        <v>0</v>
      </c>
    </row>
    <row r="563" spans="1:11" x14ac:dyDescent="0.4">
      <c r="A563" s="25">
        <v>44952</v>
      </c>
      <c r="B563" s="11">
        <v>404.75</v>
      </c>
      <c r="C563" s="11">
        <v>393.13040000000001</v>
      </c>
      <c r="D563" s="11">
        <v>395.03500000000003</v>
      </c>
      <c r="E563" s="10">
        <f t="shared" si="8"/>
        <v>0</v>
      </c>
      <c r="G563" s="29">
        <v>44950</v>
      </c>
      <c r="H563">
        <v>400.2</v>
      </c>
      <c r="I563">
        <v>392.89240000000001</v>
      </c>
      <c r="J563">
        <v>395.49119999999999</v>
      </c>
      <c r="K563" s="10">
        <v>0</v>
      </c>
    </row>
    <row r="564" spans="1:11" x14ac:dyDescent="0.4">
      <c r="A564" s="25">
        <v>44953</v>
      </c>
      <c r="B564" s="11">
        <v>405.68</v>
      </c>
      <c r="C564" s="11">
        <v>393.34160000000003</v>
      </c>
      <c r="D564" s="11">
        <v>394.86380000000003</v>
      </c>
      <c r="E564" s="10">
        <f t="shared" si="8"/>
        <v>0</v>
      </c>
      <c r="G564" s="29">
        <v>44951</v>
      </c>
      <c r="H564">
        <v>400.35</v>
      </c>
      <c r="I564">
        <v>393.00560000000002</v>
      </c>
      <c r="J564">
        <v>395.2491</v>
      </c>
      <c r="K564" s="10">
        <v>0</v>
      </c>
    </row>
    <row r="565" spans="1:11" x14ac:dyDescent="0.4">
      <c r="A565" s="25">
        <v>44956</v>
      </c>
      <c r="B565" s="11">
        <v>400.59</v>
      </c>
      <c r="C565" s="11">
        <v>393.3836</v>
      </c>
      <c r="D565" s="11">
        <v>394.67529999999999</v>
      </c>
      <c r="E565" s="10">
        <f t="shared" si="8"/>
        <v>0</v>
      </c>
      <c r="G565" s="29">
        <v>44952</v>
      </c>
      <c r="H565">
        <v>404.75</v>
      </c>
      <c r="I565">
        <v>393.13040000000001</v>
      </c>
      <c r="J565">
        <v>395.03500000000003</v>
      </c>
      <c r="K565" s="10">
        <v>0</v>
      </c>
    </row>
    <row r="566" spans="1:11" x14ac:dyDescent="0.4">
      <c r="A566" s="25">
        <v>44957</v>
      </c>
      <c r="B566" s="11">
        <v>406.48</v>
      </c>
      <c r="C566" s="11">
        <v>393.60419999999999</v>
      </c>
      <c r="D566" s="11">
        <v>394.49119999999999</v>
      </c>
      <c r="E566" s="10">
        <f t="shared" si="8"/>
        <v>0</v>
      </c>
      <c r="G566" s="29">
        <v>44953</v>
      </c>
      <c r="H566">
        <v>405.68</v>
      </c>
      <c r="I566">
        <v>393.34160000000003</v>
      </c>
      <c r="J566">
        <v>394.86380000000003</v>
      </c>
      <c r="K566" s="10">
        <v>0</v>
      </c>
    </row>
    <row r="567" spans="1:11" x14ac:dyDescent="0.4">
      <c r="A567" s="25">
        <v>44958</v>
      </c>
      <c r="B567" s="11">
        <v>410.8</v>
      </c>
      <c r="C567" s="11">
        <v>393.93540000000002</v>
      </c>
      <c r="D567" s="11">
        <v>394.3562</v>
      </c>
      <c r="E567" s="10">
        <f t="shared" si="8"/>
        <v>0</v>
      </c>
      <c r="G567" s="29">
        <v>44956</v>
      </c>
      <c r="H567">
        <v>400.59</v>
      </c>
      <c r="I567">
        <v>393.3836</v>
      </c>
      <c r="J567">
        <v>394.67529999999999</v>
      </c>
      <c r="K567" s="10">
        <v>0</v>
      </c>
    </row>
    <row r="568" spans="1:11" x14ac:dyDescent="0.4">
      <c r="A568" s="25">
        <v>44959</v>
      </c>
      <c r="B568" s="11">
        <v>416.78</v>
      </c>
      <c r="C568" s="11">
        <v>394.35039999999998</v>
      </c>
      <c r="D568" s="11">
        <v>394.25020000000001</v>
      </c>
      <c r="E568" s="10">
        <f t="shared" si="8"/>
        <v>1</v>
      </c>
      <c r="G568" s="29">
        <v>44957</v>
      </c>
      <c r="H568">
        <v>406.48</v>
      </c>
      <c r="I568">
        <v>393.60419999999999</v>
      </c>
      <c r="J568">
        <v>394.49119999999999</v>
      </c>
      <c r="K568" s="10">
        <v>0</v>
      </c>
    </row>
    <row r="569" spans="1:11" x14ac:dyDescent="0.4">
      <c r="A569" s="25">
        <v>44960</v>
      </c>
      <c r="B569" s="11">
        <v>412.35</v>
      </c>
      <c r="C569" s="11">
        <v>394.7056</v>
      </c>
      <c r="D569" s="11">
        <v>394.08679999999998</v>
      </c>
      <c r="E569" s="10">
        <f t="shared" si="8"/>
        <v>0</v>
      </c>
      <c r="G569" s="29">
        <v>44958</v>
      </c>
      <c r="H569">
        <v>410.8</v>
      </c>
      <c r="I569">
        <v>393.93540000000002</v>
      </c>
      <c r="J569">
        <v>394.3562</v>
      </c>
      <c r="K569" s="10">
        <v>0</v>
      </c>
    </row>
    <row r="570" spans="1:11" x14ac:dyDescent="0.4">
      <c r="A570" s="25">
        <v>44963</v>
      </c>
      <c r="B570" s="11">
        <v>409.83</v>
      </c>
      <c r="C570" s="11">
        <v>394.9042</v>
      </c>
      <c r="D570" s="11">
        <v>393.91239999999999</v>
      </c>
      <c r="E570" s="10">
        <f t="shared" si="8"/>
        <v>0</v>
      </c>
      <c r="G570" s="29">
        <v>44959</v>
      </c>
      <c r="H570">
        <v>416.78</v>
      </c>
      <c r="I570">
        <v>394.35039999999998</v>
      </c>
      <c r="J570">
        <v>394.25020000000001</v>
      </c>
      <c r="K570" s="10">
        <v>1</v>
      </c>
    </row>
    <row r="571" spans="1:11" x14ac:dyDescent="0.4">
      <c r="A571" s="25">
        <v>44964</v>
      </c>
      <c r="B571" s="11">
        <v>415.19</v>
      </c>
      <c r="C571" s="11">
        <v>395.15960000000001</v>
      </c>
      <c r="D571" s="11">
        <v>393.798</v>
      </c>
      <c r="E571" s="10">
        <f t="shared" si="8"/>
        <v>0</v>
      </c>
      <c r="G571" s="29">
        <v>44960</v>
      </c>
      <c r="H571">
        <v>412.35</v>
      </c>
      <c r="I571">
        <v>394.7056</v>
      </c>
      <c r="J571">
        <v>394.08679999999998</v>
      </c>
      <c r="K571" s="10">
        <v>0</v>
      </c>
    </row>
    <row r="572" spans="1:11" x14ac:dyDescent="0.4">
      <c r="A572" s="25">
        <v>44965</v>
      </c>
      <c r="B572" s="11">
        <v>410.65</v>
      </c>
      <c r="C572" s="11">
        <v>395.32600000000002</v>
      </c>
      <c r="D572" s="11">
        <v>393.72109999999998</v>
      </c>
      <c r="E572" s="10">
        <f t="shared" si="8"/>
        <v>0</v>
      </c>
      <c r="G572" s="29">
        <v>44963</v>
      </c>
      <c r="H572">
        <v>409.83</v>
      </c>
      <c r="I572">
        <v>394.9042</v>
      </c>
      <c r="J572">
        <v>393.91239999999999</v>
      </c>
      <c r="K572" s="10">
        <v>0</v>
      </c>
    </row>
    <row r="573" spans="1:11" x14ac:dyDescent="0.4">
      <c r="A573" s="25">
        <v>44966</v>
      </c>
      <c r="B573" s="11">
        <v>407.09</v>
      </c>
      <c r="C573" s="11">
        <v>395.5496</v>
      </c>
      <c r="D573" s="11">
        <v>393.61399999999998</v>
      </c>
      <c r="E573" s="10">
        <f t="shared" si="8"/>
        <v>0</v>
      </c>
      <c r="G573" s="29">
        <v>44964</v>
      </c>
      <c r="H573">
        <v>415.19</v>
      </c>
      <c r="I573">
        <v>395.15960000000001</v>
      </c>
      <c r="J573">
        <v>393.798</v>
      </c>
      <c r="K573" s="10">
        <v>0</v>
      </c>
    </row>
    <row r="574" spans="1:11" x14ac:dyDescent="0.4">
      <c r="A574" s="25">
        <v>44967</v>
      </c>
      <c r="B574" s="11">
        <v>408.04</v>
      </c>
      <c r="C574" s="11">
        <v>395.80579999999998</v>
      </c>
      <c r="D574" s="11">
        <v>393.57369999999997</v>
      </c>
      <c r="E574" s="10">
        <f t="shared" si="8"/>
        <v>0</v>
      </c>
      <c r="G574" s="29">
        <v>44965</v>
      </c>
      <c r="H574">
        <v>410.65</v>
      </c>
      <c r="I574">
        <v>395.32600000000002</v>
      </c>
      <c r="J574">
        <v>393.72109999999998</v>
      </c>
      <c r="K574" s="10">
        <v>0</v>
      </c>
    </row>
    <row r="575" spans="1:11" x14ac:dyDescent="0.4">
      <c r="A575" s="25">
        <v>44970</v>
      </c>
      <c r="B575" s="11">
        <v>412.83</v>
      </c>
      <c r="C575" s="11">
        <v>395.90879999999999</v>
      </c>
      <c r="D575" s="11">
        <v>393.55149999999998</v>
      </c>
      <c r="E575" s="10">
        <f t="shared" si="8"/>
        <v>0</v>
      </c>
      <c r="G575" s="29">
        <v>44966</v>
      </c>
      <c r="H575">
        <v>407.09</v>
      </c>
      <c r="I575">
        <v>395.5496</v>
      </c>
      <c r="J575">
        <v>393.61399999999998</v>
      </c>
      <c r="K575" s="10">
        <v>0</v>
      </c>
    </row>
    <row r="576" spans="1:11" x14ac:dyDescent="0.4">
      <c r="A576" s="25">
        <v>44971</v>
      </c>
      <c r="B576" s="11">
        <v>412.64</v>
      </c>
      <c r="C576" s="11">
        <v>396.01400000000001</v>
      </c>
      <c r="D576" s="11">
        <v>393.47559999999999</v>
      </c>
      <c r="E576" s="10">
        <f t="shared" si="8"/>
        <v>0</v>
      </c>
      <c r="G576" s="29">
        <v>44967</v>
      </c>
      <c r="H576">
        <v>408.04</v>
      </c>
      <c r="I576">
        <v>395.80579999999998</v>
      </c>
      <c r="J576">
        <v>393.57369999999997</v>
      </c>
      <c r="K576" s="10">
        <v>0</v>
      </c>
    </row>
    <row r="577" spans="1:11" x14ac:dyDescent="0.4">
      <c r="A577" s="25">
        <v>44972</v>
      </c>
      <c r="B577" s="11">
        <v>413.98</v>
      </c>
      <c r="C577" s="11">
        <v>396.15539999999999</v>
      </c>
      <c r="D577" s="11">
        <v>393.48559999999998</v>
      </c>
      <c r="E577" s="10">
        <f t="shared" si="8"/>
        <v>0</v>
      </c>
      <c r="G577" s="29">
        <v>44970</v>
      </c>
      <c r="H577">
        <v>412.83</v>
      </c>
      <c r="I577">
        <v>395.90879999999999</v>
      </c>
      <c r="J577">
        <v>393.55149999999998</v>
      </c>
      <c r="K577" s="10">
        <v>0</v>
      </c>
    </row>
    <row r="578" spans="1:11" x14ac:dyDescent="0.4">
      <c r="A578" s="25">
        <v>44973</v>
      </c>
      <c r="B578" s="11">
        <v>408.28</v>
      </c>
      <c r="C578" s="11">
        <v>396.32920000000001</v>
      </c>
      <c r="D578" s="11">
        <v>393.45460000000003</v>
      </c>
      <c r="E578" s="10">
        <f t="shared" si="8"/>
        <v>0</v>
      </c>
      <c r="G578" s="29">
        <v>44971</v>
      </c>
      <c r="H578">
        <v>412.64</v>
      </c>
      <c r="I578">
        <v>396.01400000000001</v>
      </c>
      <c r="J578">
        <v>393.47559999999999</v>
      </c>
      <c r="K578" s="10">
        <v>0</v>
      </c>
    </row>
    <row r="579" spans="1:11" x14ac:dyDescent="0.4">
      <c r="A579" s="25">
        <v>44974</v>
      </c>
      <c r="B579" s="11">
        <v>407.26</v>
      </c>
      <c r="C579" s="11">
        <v>396.59780000000001</v>
      </c>
      <c r="D579" s="11">
        <v>393.40899999999999</v>
      </c>
      <c r="E579" s="10">
        <f t="shared" ref="E579:E642" si="9">IF(AND(C579&gt;D579, C578&lt;D578), 1, 0)</f>
        <v>0</v>
      </c>
      <c r="G579" s="29">
        <v>44972</v>
      </c>
      <c r="H579">
        <v>413.98</v>
      </c>
      <c r="I579">
        <v>396.15539999999999</v>
      </c>
      <c r="J579">
        <v>393.48559999999998</v>
      </c>
      <c r="K579" s="10">
        <v>0</v>
      </c>
    </row>
    <row r="580" spans="1:11" x14ac:dyDescent="0.4">
      <c r="A580" s="25">
        <v>44978</v>
      </c>
      <c r="B580" s="11">
        <v>399.09</v>
      </c>
      <c r="C580" s="11">
        <v>396.71640000000002</v>
      </c>
      <c r="D580" s="11">
        <v>393.25909999999999</v>
      </c>
      <c r="E580" s="10">
        <f t="shared" si="9"/>
        <v>0</v>
      </c>
      <c r="G580" s="29">
        <v>44973</v>
      </c>
      <c r="H580">
        <v>408.28</v>
      </c>
      <c r="I580">
        <v>396.32920000000001</v>
      </c>
      <c r="J580">
        <v>393.45460000000003</v>
      </c>
      <c r="K580" s="10">
        <v>0</v>
      </c>
    </row>
    <row r="581" spans="1:11" x14ac:dyDescent="0.4">
      <c r="A581" s="25">
        <v>44979</v>
      </c>
      <c r="B581" s="11">
        <v>398.54</v>
      </c>
      <c r="C581" s="11">
        <v>396.76240000000001</v>
      </c>
      <c r="D581" s="11">
        <v>393.18279999999999</v>
      </c>
      <c r="E581" s="10">
        <f t="shared" si="9"/>
        <v>0</v>
      </c>
      <c r="G581" s="29">
        <v>44974</v>
      </c>
      <c r="H581">
        <v>407.26</v>
      </c>
      <c r="I581">
        <v>396.59780000000001</v>
      </c>
      <c r="J581">
        <v>393.40899999999999</v>
      </c>
      <c r="K581" s="10">
        <v>0</v>
      </c>
    </row>
    <row r="582" spans="1:11" x14ac:dyDescent="0.4">
      <c r="A582" s="25">
        <v>44980</v>
      </c>
      <c r="B582" s="11">
        <v>400.66</v>
      </c>
      <c r="C582" s="11">
        <v>396.91</v>
      </c>
      <c r="D582" s="11">
        <v>393.12939999999998</v>
      </c>
      <c r="E582" s="10">
        <f t="shared" si="9"/>
        <v>0</v>
      </c>
      <c r="G582" s="29">
        <v>44978</v>
      </c>
      <c r="H582">
        <v>399.09</v>
      </c>
      <c r="I582">
        <v>396.71640000000002</v>
      </c>
      <c r="J582">
        <v>393.25909999999999</v>
      </c>
      <c r="K582" s="10">
        <v>0</v>
      </c>
    </row>
    <row r="583" spans="1:11" x14ac:dyDescent="0.4">
      <c r="A583" s="25">
        <v>44981</v>
      </c>
      <c r="B583" s="11">
        <v>396.38</v>
      </c>
      <c r="C583" s="11">
        <v>396.85860000000002</v>
      </c>
      <c r="D583" s="11">
        <v>393.12040000000002</v>
      </c>
      <c r="E583" s="10">
        <f t="shared" si="9"/>
        <v>0</v>
      </c>
      <c r="G583" s="29">
        <v>44979</v>
      </c>
      <c r="H583">
        <v>398.54</v>
      </c>
      <c r="I583">
        <v>396.76240000000001</v>
      </c>
      <c r="J583">
        <v>393.18279999999999</v>
      </c>
      <c r="K583" s="10">
        <v>0</v>
      </c>
    </row>
    <row r="584" spans="1:11" x14ac:dyDescent="0.4">
      <c r="A584" s="25">
        <v>44984</v>
      </c>
      <c r="B584" s="11">
        <v>397.73</v>
      </c>
      <c r="C584" s="11">
        <v>396.77379999999999</v>
      </c>
      <c r="D584" s="11">
        <v>393.11360000000002</v>
      </c>
      <c r="E584" s="10">
        <f t="shared" si="9"/>
        <v>0</v>
      </c>
      <c r="G584" s="29">
        <v>44980</v>
      </c>
      <c r="H584">
        <v>400.66</v>
      </c>
      <c r="I584">
        <v>396.91</v>
      </c>
      <c r="J584">
        <v>393.12939999999998</v>
      </c>
      <c r="K584" s="10">
        <v>0</v>
      </c>
    </row>
    <row r="585" spans="1:11" x14ac:dyDescent="0.4">
      <c r="A585" s="25">
        <v>44985</v>
      </c>
      <c r="B585" s="11">
        <v>396.26</v>
      </c>
      <c r="C585" s="11">
        <v>396.71100000000001</v>
      </c>
      <c r="D585" s="11">
        <v>393.13119999999998</v>
      </c>
      <c r="E585" s="10">
        <f t="shared" si="9"/>
        <v>0</v>
      </c>
      <c r="G585" s="29">
        <v>44981</v>
      </c>
      <c r="H585">
        <v>396.38</v>
      </c>
      <c r="I585">
        <v>396.85860000000002</v>
      </c>
      <c r="J585">
        <v>393.12040000000002</v>
      </c>
      <c r="K585" s="10">
        <v>0</v>
      </c>
    </row>
    <row r="586" spans="1:11" x14ac:dyDescent="0.4">
      <c r="A586" s="25">
        <v>44986</v>
      </c>
      <c r="B586" s="11">
        <v>394.74</v>
      </c>
      <c r="C586" s="11">
        <v>396.81319999999999</v>
      </c>
      <c r="D586" s="11">
        <v>393.14319999999998</v>
      </c>
      <c r="E586" s="10">
        <f t="shared" si="9"/>
        <v>0</v>
      </c>
      <c r="G586" s="29">
        <v>44984</v>
      </c>
      <c r="H586">
        <v>397.73</v>
      </c>
      <c r="I586">
        <v>396.77379999999999</v>
      </c>
      <c r="J586">
        <v>393.11360000000002</v>
      </c>
      <c r="K586" s="10">
        <v>0</v>
      </c>
    </row>
    <row r="587" spans="1:11" x14ac:dyDescent="0.4">
      <c r="A587" s="25">
        <v>44987</v>
      </c>
      <c r="B587" s="11">
        <v>397.81</v>
      </c>
      <c r="C587" s="11">
        <v>397.10399999999998</v>
      </c>
      <c r="D587" s="11">
        <v>393.12360000000001</v>
      </c>
      <c r="E587" s="10">
        <f t="shared" si="9"/>
        <v>0</v>
      </c>
      <c r="G587" s="29">
        <v>44985</v>
      </c>
      <c r="H587">
        <v>396.26</v>
      </c>
      <c r="I587">
        <v>396.71100000000001</v>
      </c>
      <c r="J587">
        <v>393.13119999999998</v>
      </c>
      <c r="K587" s="10">
        <v>0</v>
      </c>
    </row>
    <row r="588" spans="1:11" x14ac:dyDescent="0.4">
      <c r="A588" s="25">
        <v>44988</v>
      </c>
      <c r="B588" s="11">
        <v>404.19</v>
      </c>
      <c r="C588" s="11">
        <v>397.5874</v>
      </c>
      <c r="D588" s="11">
        <v>393.14409999999998</v>
      </c>
      <c r="E588" s="10">
        <f t="shared" si="9"/>
        <v>0</v>
      </c>
      <c r="G588" s="29">
        <v>44986</v>
      </c>
      <c r="H588">
        <v>394.74</v>
      </c>
      <c r="I588">
        <v>396.81319999999999</v>
      </c>
      <c r="J588">
        <v>393.14319999999998</v>
      </c>
      <c r="K588" s="10">
        <v>0</v>
      </c>
    </row>
    <row r="589" spans="1:11" x14ac:dyDescent="0.4">
      <c r="A589" s="25">
        <v>44991</v>
      </c>
      <c r="B589" s="11">
        <v>404.47</v>
      </c>
      <c r="C589" s="11">
        <v>398.06599999999997</v>
      </c>
      <c r="D589" s="11">
        <v>393.12479999999999</v>
      </c>
      <c r="E589" s="10">
        <f t="shared" si="9"/>
        <v>0</v>
      </c>
      <c r="G589" s="29">
        <v>44987</v>
      </c>
      <c r="H589">
        <v>397.81</v>
      </c>
      <c r="I589">
        <v>397.10399999999998</v>
      </c>
      <c r="J589">
        <v>393.12360000000001</v>
      </c>
      <c r="K589" s="10">
        <v>0</v>
      </c>
    </row>
    <row r="590" spans="1:11" x14ac:dyDescent="0.4">
      <c r="A590" s="25">
        <v>44992</v>
      </c>
      <c r="B590" s="11">
        <v>398.27</v>
      </c>
      <c r="C590" s="11">
        <v>398.30680000000001</v>
      </c>
      <c r="D590" s="11">
        <v>393.15690000000001</v>
      </c>
      <c r="E590" s="10">
        <f t="shared" si="9"/>
        <v>0</v>
      </c>
      <c r="G590" s="29">
        <v>44988</v>
      </c>
      <c r="H590">
        <v>404.19</v>
      </c>
      <c r="I590">
        <v>397.5874</v>
      </c>
      <c r="J590">
        <v>393.14409999999998</v>
      </c>
      <c r="K590" s="10">
        <v>0</v>
      </c>
    </row>
    <row r="591" spans="1:11" x14ac:dyDescent="0.4">
      <c r="A591" s="25">
        <v>44993</v>
      </c>
      <c r="B591" s="11">
        <v>398.92</v>
      </c>
      <c r="C591" s="11">
        <v>398.67079999999999</v>
      </c>
      <c r="D591" s="11">
        <v>393.20420000000001</v>
      </c>
      <c r="E591" s="10">
        <f t="shared" si="9"/>
        <v>0</v>
      </c>
      <c r="G591" s="29">
        <v>44991</v>
      </c>
      <c r="H591">
        <v>404.47</v>
      </c>
      <c r="I591">
        <v>398.06599999999997</v>
      </c>
      <c r="J591">
        <v>393.12479999999999</v>
      </c>
      <c r="K591" s="10">
        <v>0</v>
      </c>
    </row>
    <row r="592" spans="1:11" x14ac:dyDescent="0.4">
      <c r="A592" s="25">
        <v>44994</v>
      </c>
      <c r="B592" s="11">
        <v>391.56</v>
      </c>
      <c r="C592" s="11">
        <v>398.84379999999999</v>
      </c>
      <c r="D592" s="11">
        <v>393.21379999999999</v>
      </c>
      <c r="E592" s="10">
        <f t="shared" si="9"/>
        <v>0</v>
      </c>
      <c r="G592" s="29">
        <v>44992</v>
      </c>
      <c r="H592">
        <v>398.27</v>
      </c>
      <c r="I592">
        <v>398.30680000000001</v>
      </c>
      <c r="J592">
        <v>393.15690000000001</v>
      </c>
      <c r="K592" s="10">
        <v>0</v>
      </c>
    </row>
    <row r="593" spans="1:11" x14ac:dyDescent="0.4">
      <c r="A593" s="25">
        <v>44995</v>
      </c>
      <c r="B593" s="11">
        <v>385.91</v>
      </c>
      <c r="C593" s="11">
        <v>398.93400000000003</v>
      </c>
      <c r="D593" s="11">
        <v>393.15879999999999</v>
      </c>
      <c r="E593" s="10">
        <f t="shared" si="9"/>
        <v>0</v>
      </c>
      <c r="G593" s="29">
        <v>44993</v>
      </c>
      <c r="H593">
        <v>398.92</v>
      </c>
      <c r="I593">
        <v>398.67079999999999</v>
      </c>
      <c r="J593">
        <v>393.20420000000001</v>
      </c>
      <c r="K593" s="10">
        <v>0</v>
      </c>
    </row>
    <row r="594" spans="1:11" x14ac:dyDescent="0.4">
      <c r="A594" s="25">
        <v>44998</v>
      </c>
      <c r="B594" s="11">
        <v>385.36</v>
      </c>
      <c r="C594" s="11">
        <v>399.108</v>
      </c>
      <c r="D594" s="11">
        <v>393.11619999999999</v>
      </c>
      <c r="E594" s="10">
        <f t="shared" si="9"/>
        <v>0</v>
      </c>
      <c r="G594" s="29">
        <v>44994</v>
      </c>
      <c r="H594">
        <v>391.56</v>
      </c>
      <c r="I594">
        <v>398.84379999999999</v>
      </c>
      <c r="J594">
        <v>393.21379999999999</v>
      </c>
      <c r="K594" s="10">
        <v>0</v>
      </c>
    </row>
    <row r="595" spans="1:11" x14ac:dyDescent="0.4">
      <c r="A595" s="25">
        <v>44999</v>
      </c>
      <c r="B595" s="11">
        <v>391.73</v>
      </c>
      <c r="C595" s="11">
        <v>399.27379999999999</v>
      </c>
      <c r="D595" s="11">
        <v>393.08800000000002</v>
      </c>
      <c r="E595" s="10">
        <f t="shared" si="9"/>
        <v>0</v>
      </c>
      <c r="G595" s="29">
        <v>44995</v>
      </c>
      <c r="H595">
        <v>385.91</v>
      </c>
      <c r="I595">
        <v>398.93400000000003</v>
      </c>
      <c r="J595">
        <v>393.15879999999999</v>
      </c>
      <c r="K595" s="10">
        <v>0</v>
      </c>
    </row>
    <row r="596" spans="1:11" x14ac:dyDescent="0.4">
      <c r="A596" s="25">
        <v>45000</v>
      </c>
      <c r="B596" s="11">
        <v>389.28</v>
      </c>
      <c r="C596" s="11">
        <v>399.41079999999999</v>
      </c>
      <c r="D596" s="11">
        <v>393.00779999999997</v>
      </c>
      <c r="E596" s="10">
        <f t="shared" si="9"/>
        <v>0</v>
      </c>
      <c r="G596" s="29">
        <v>44998</v>
      </c>
      <c r="H596">
        <v>385.36</v>
      </c>
      <c r="I596">
        <v>399.108</v>
      </c>
      <c r="J596">
        <v>393.11619999999999</v>
      </c>
      <c r="K596" s="10">
        <v>0</v>
      </c>
    </row>
    <row r="597" spans="1:11" x14ac:dyDescent="0.4">
      <c r="A597" s="25">
        <v>45001</v>
      </c>
      <c r="B597" s="11">
        <v>396.11</v>
      </c>
      <c r="C597" s="11">
        <v>399.71660000000003</v>
      </c>
      <c r="D597" s="11">
        <v>392.91199999999998</v>
      </c>
      <c r="E597" s="10">
        <f t="shared" si="9"/>
        <v>0</v>
      </c>
      <c r="G597" s="29">
        <v>44999</v>
      </c>
      <c r="H597">
        <v>391.73</v>
      </c>
      <c r="I597">
        <v>399.27379999999999</v>
      </c>
      <c r="J597">
        <v>393.08800000000002</v>
      </c>
      <c r="K597" s="10">
        <v>0</v>
      </c>
    </row>
    <row r="598" spans="1:11" x14ac:dyDescent="0.4">
      <c r="A598" s="25">
        <v>45002</v>
      </c>
      <c r="B598" s="11">
        <v>389.99</v>
      </c>
      <c r="C598" s="11">
        <v>399.84120000000001</v>
      </c>
      <c r="D598" s="11">
        <v>392.79739999999998</v>
      </c>
      <c r="E598" s="10">
        <f t="shared" si="9"/>
        <v>0</v>
      </c>
      <c r="G598" s="29">
        <v>45000</v>
      </c>
      <c r="H598">
        <v>389.28</v>
      </c>
      <c r="I598">
        <v>399.41079999999999</v>
      </c>
      <c r="J598">
        <v>393.00779999999997</v>
      </c>
      <c r="K598" s="10">
        <v>0</v>
      </c>
    </row>
    <row r="599" spans="1:11" x14ac:dyDescent="0.4">
      <c r="A599" s="25">
        <v>45005</v>
      </c>
      <c r="B599" s="11">
        <v>393.74</v>
      </c>
      <c r="C599" s="11">
        <v>400.1284</v>
      </c>
      <c r="D599" s="11">
        <v>392.71809999999999</v>
      </c>
      <c r="E599" s="10">
        <f t="shared" si="9"/>
        <v>0</v>
      </c>
      <c r="G599" s="29">
        <v>45001</v>
      </c>
      <c r="H599">
        <v>396.11</v>
      </c>
      <c r="I599">
        <v>399.71660000000003</v>
      </c>
      <c r="J599">
        <v>392.91199999999998</v>
      </c>
      <c r="K599" s="10">
        <v>0</v>
      </c>
    </row>
    <row r="600" spans="1:11" x14ac:dyDescent="0.4">
      <c r="A600" s="25">
        <v>45006</v>
      </c>
      <c r="B600" s="11">
        <v>398.91</v>
      </c>
      <c r="C600" s="11">
        <v>400.34500000000003</v>
      </c>
      <c r="D600" s="11">
        <v>392.62569999999999</v>
      </c>
      <c r="E600" s="10">
        <f t="shared" si="9"/>
        <v>0</v>
      </c>
      <c r="G600" s="29">
        <v>45002</v>
      </c>
      <c r="H600">
        <v>389.99</v>
      </c>
      <c r="I600">
        <v>399.84120000000001</v>
      </c>
      <c r="J600">
        <v>392.79739999999998</v>
      </c>
      <c r="K600" s="10">
        <v>0</v>
      </c>
    </row>
    <row r="601" spans="1:11" x14ac:dyDescent="0.4">
      <c r="A601" s="25">
        <v>45007</v>
      </c>
      <c r="B601" s="11">
        <v>392.11</v>
      </c>
      <c r="C601" s="11">
        <v>400.43</v>
      </c>
      <c r="D601" s="11">
        <v>392.53359999999998</v>
      </c>
      <c r="E601" s="10">
        <f t="shared" si="9"/>
        <v>0</v>
      </c>
      <c r="G601" s="29">
        <v>45005</v>
      </c>
      <c r="H601">
        <v>393.74</v>
      </c>
      <c r="I601">
        <v>400.1284</v>
      </c>
      <c r="J601">
        <v>392.71809999999999</v>
      </c>
      <c r="K601" s="10">
        <v>0</v>
      </c>
    </row>
    <row r="602" spans="1:11" x14ac:dyDescent="0.4">
      <c r="A602" s="25">
        <v>45008</v>
      </c>
      <c r="B602" s="11">
        <v>393.17</v>
      </c>
      <c r="C602" s="11">
        <v>400.48180000000002</v>
      </c>
      <c r="D602" s="11">
        <v>392.44040000000001</v>
      </c>
      <c r="E602" s="10">
        <f t="shared" si="9"/>
        <v>0</v>
      </c>
      <c r="G602" s="29">
        <v>45006</v>
      </c>
      <c r="H602">
        <v>398.91</v>
      </c>
      <c r="I602">
        <v>400.34500000000003</v>
      </c>
      <c r="J602">
        <v>392.62569999999999</v>
      </c>
      <c r="K602" s="10">
        <v>0</v>
      </c>
    </row>
    <row r="603" spans="1:11" x14ac:dyDescent="0.4">
      <c r="A603" s="25">
        <v>45009</v>
      </c>
      <c r="B603" s="11">
        <v>395.75</v>
      </c>
      <c r="C603" s="11">
        <v>400.4864</v>
      </c>
      <c r="D603" s="11">
        <v>392.34050000000002</v>
      </c>
      <c r="E603" s="10">
        <f t="shared" si="9"/>
        <v>0</v>
      </c>
      <c r="G603" s="29">
        <v>45007</v>
      </c>
      <c r="H603">
        <v>392.11</v>
      </c>
      <c r="I603">
        <v>400.43</v>
      </c>
      <c r="J603">
        <v>392.53359999999998</v>
      </c>
      <c r="K603" s="10">
        <v>0</v>
      </c>
    </row>
    <row r="604" spans="1:11" x14ac:dyDescent="0.4">
      <c r="A604" s="25">
        <v>45012</v>
      </c>
      <c r="B604" s="11">
        <v>396.49</v>
      </c>
      <c r="C604" s="11">
        <v>400.47699999999998</v>
      </c>
      <c r="D604" s="11">
        <v>392.26679999999999</v>
      </c>
      <c r="E604" s="10">
        <f t="shared" si="9"/>
        <v>0</v>
      </c>
      <c r="G604" s="29">
        <v>45008</v>
      </c>
      <c r="H604">
        <v>393.17</v>
      </c>
      <c r="I604">
        <v>400.48180000000002</v>
      </c>
      <c r="J604">
        <v>392.44040000000001</v>
      </c>
      <c r="K604" s="10">
        <v>0</v>
      </c>
    </row>
    <row r="605" spans="1:11" x14ac:dyDescent="0.4">
      <c r="A605" s="25">
        <v>45013</v>
      </c>
      <c r="B605" s="11">
        <v>395.6</v>
      </c>
      <c r="C605" s="11">
        <v>400.41899999999998</v>
      </c>
      <c r="D605" s="11">
        <v>392.23759999999999</v>
      </c>
      <c r="E605" s="10">
        <f t="shared" si="9"/>
        <v>0</v>
      </c>
      <c r="G605" s="29">
        <v>45009</v>
      </c>
      <c r="H605">
        <v>395.75</v>
      </c>
      <c r="I605">
        <v>400.4864</v>
      </c>
      <c r="J605">
        <v>392.34050000000002</v>
      </c>
      <c r="K605" s="10">
        <v>0</v>
      </c>
    </row>
    <row r="606" spans="1:11" x14ac:dyDescent="0.4">
      <c r="A606" s="25">
        <v>45014</v>
      </c>
      <c r="B606" s="11">
        <v>401.35</v>
      </c>
      <c r="C606" s="11">
        <v>400.49059999999997</v>
      </c>
      <c r="D606" s="11">
        <v>392.29539999999997</v>
      </c>
      <c r="E606" s="10">
        <f t="shared" si="9"/>
        <v>0</v>
      </c>
      <c r="G606" s="29">
        <v>45012</v>
      </c>
      <c r="H606">
        <v>396.49</v>
      </c>
      <c r="I606">
        <v>400.47699999999998</v>
      </c>
      <c r="J606">
        <v>392.26679999999999</v>
      </c>
      <c r="K606" s="10">
        <v>0</v>
      </c>
    </row>
    <row r="607" spans="1:11" x14ac:dyDescent="0.4">
      <c r="A607" s="25">
        <v>45015</v>
      </c>
      <c r="B607" s="11">
        <v>403.7</v>
      </c>
      <c r="C607" s="11">
        <v>400.73480000000001</v>
      </c>
      <c r="D607" s="11">
        <v>392.43889999999999</v>
      </c>
      <c r="E607" s="10">
        <f t="shared" si="9"/>
        <v>0</v>
      </c>
      <c r="G607" s="29">
        <v>45013</v>
      </c>
      <c r="H607">
        <v>395.6</v>
      </c>
      <c r="I607">
        <v>400.41899999999998</v>
      </c>
      <c r="J607">
        <v>392.23759999999999</v>
      </c>
      <c r="K607" s="10">
        <v>0</v>
      </c>
    </row>
    <row r="608" spans="1:11" x14ac:dyDescent="0.4">
      <c r="A608" s="25">
        <v>45016</v>
      </c>
      <c r="B608" s="11">
        <v>409.39</v>
      </c>
      <c r="C608" s="11">
        <v>401.14980000000003</v>
      </c>
      <c r="D608" s="11">
        <v>392.61649999999997</v>
      </c>
      <c r="E608" s="10">
        <f t="shared" si="9"/>
        <v>0</v>
      </c>
      <c r="G608" s="29">
        <v>45014</v>
      </c>
      <c r="H608">
        <v>401.35</v>
      </c>
      <c r="I608">
        <v>400.49059999999997</v>
      </c>
      <c r="J608">
        <v>392.29539999999997</v>
      </c>
      <c r="K608" s="10">
        <v>0</v>
      </c>
    </row>
    <row r="609" spans="1:11" x14ac:dyDescent="0.4">
      <c r="A609" s="25">
        <v>45019</v>
      </c>
      <c r="B609" s="11">
        <v>410.95</v>
      </c>
      <c r="C609" s="11">
        <v>401.45119999999997</v>
      </c>
      <c r="D609" s="11">
        <v>392.77519999999998</v>
      </c>
      <c r="E609" s="10">
        <f t="shared" si="9"/>
        <v>0</v>
      </c>
      <c r="G609" s="29">
        <v>45015</v>
      </c>
      <c r="H609">
        <v>403.7</v>
      </c>
      <c r="I609">
        <v>400.73480000000001</v>
      </c>
      <c r="J609">
        <v>392.43889999999999</v>
      </c>
      <c r="K609" s="10">
        <v>0</v>
      </c>
    </row>
    <row r="610" spans="1:11" x14ac:dyDescent="0.4">
      <c r="A610" s="25">
        <v>45020</v>
      </c>
      <c r="B610" s="11">
        <v>408.67</v>
      </c>
      <c r="C610" s="11">
        <v>401.61200000000002</v>
      </c>
      <c r="D610" s="11">
        <v>392.98540000000003</v>
      </c>
      <c r="E610" s="10">
        <f t="shared" si="9"/>
        <v>0</v>
      </c>
      <c r="G610" s="29">
        <v>45016</v>
      </c>
      <c r="H610">
        <v>409.39</v>
      </c>
      <c r="I610">
        <v>401.14980000000003</v>
      </c>
      <c r="J610">
        <v>392.61649999999997</v>
      </c>
      <c r="K610" s="10">
        <v>0</v>
      </c>
    </row>
    <row r="611" spans="1:11" x14ac:dyDescent="0.4">
      <c r="A611" s="25">
        <v>45021</v>
      </c>
      <c r="B611" s="11">
        <v>407.6</v>
      </c>
      <c r="C611" s="11">
        <v>401.76</v>
      </c>
      <c r="D611" s="11">
        <v>393.19400000000002</v>
      </c>
      <c r="E611" s="10">
        <f t="shared" si="9"/>
        <v>0</v>
      </c>
      <c r="G611" s="29">
        <v>45019</v>
      </c>
      <c r="H611">
        <v>410.95</v>
      </c>
      <c r="I611">
        <v>401.45119999999997</v>
      </c>
      <c r="J611">
        <v>392.77519999999998</v>
      </c>
      <c r="K611" s="10">
        <v>0</v>
      </c>
    </row>
    <row r="612" spans="1:11" x14ac:dyDescent="0.4">
      <c r="A612" s="25">
        <v>45022</v>
      </c>
      <c r="B612" s="11">
        <v>409.19</v>
      </c>
      <c r="C612" s="11">
        <v>401.93680000000001</v>
      </c>
      <c r="D612" s="11">
        <v>393.3646</v>
      </c>
      <c r="E612" s="10">
        <f t="shared" si="9"/>
        <v>0</v>
      </c>
      <c r="G612" s="29">
        <v>45020</v>
      </c>
      <c r="H612">
        <v>408.67</v>
      </c>
      <c r="I612">
        <v>401.61200000000002</v>
      </c>
      <c r="J612">
        <v>392.98540000000003</v>
      </c>
      <c r="K612" s="10">
        <v>0</v>
      </c>
    </row>
    <row r="613" spans="1:11" x14ac:dyDescent="0.4">
      <c r="A613" s="25">
        <v>45026</v>
      </c>
      <c r="B613" s="11">
        <v>409.61</v>
      </c>
      <c r="C613" s="11">
        <v>402.03399999999999</v>
      </c>
      <c r="D613" s="11">
        <v>393.54079999999999</v>
      </c>
      <c r="E613" s="10">
        <f t="shared" si="9"/>
        <v>0</v>
      </c>
      <c r="G613" s="29">
        <v>45021</v>
      </c>
      <c r="H613">
        <v>407.6</v>
      </c>
      <c r="I613">
        <v>401.76</v>
      </c>
      <c r="J613">
        <v>393.19400000000002</v>
      </c>
      <c r="K613" s="10">
        <v>0</v>
      </c>
    </row>
    <row r="614" spans="1:11" x14ac:dyDescent="0.4">
      <c r="A614" s="25">
        <v>45027</v>
      </c>
      <c r="B614" s="11">
        <v>409.72</v>
      </c>
      <c r="C614" s="11">
        <v>402.1148</v>
      </c>
      <c r="D614" s="11">
        <v>393.69900000000001</v>
      </c>
      <c r="E614" s="10">
        <f t="shared" si="9"/>
        <v>0</v>
      </c>
      <c r="G614" s="29">
        <v>45022</v>
      </c>
      <c r="H614">
        <v>409.19</v>
      </c>
      <c r="I614">
        <v>401.93680000000001</v>
      </c>
      <c r="J614">
        <v>393.3646</v>
      </c>
      <c r="K614" s="10">
        <v>0</v>
      </c>
    </row>
    <row r="615" spans="1:11" x14ac:dyDescent="0.4">
      <c r="A615" s="25">
        <v>45028</v>
      </c>
      <c r="B615" s="11">
        <v>408.05</v>
      </c>
      <c r="C615" s="11">
        <v>402.26400000000001</v>
      </c>
      <c r="D615" s="11">
        <v>393.78890000000001</v>
      </c>
      <c r="E615" s="10">
        <f t="shared" si="9"/>
        <v>0</v>
      </c>
      <c r="G615" s="29">
        <v>45026</v>
      </c>
      <c r="H615">
        <v>409.61</v>
      </c>
      <c r="I615">
        <v>402.03399999999999</v>
      </c>
      <c r="J615">
        <v>393.54079999999999</v>
      </c>
      <c r="K615" s="10">
        <v>0</v>
      </c>
    </row>
    <row r="616" spans="1:11" x14ac:dyDescent="0.4">
      <c r="A616" s="25">
        <v>45029</v>
      </c>
      <c r="B616" s="11">
        <v>413.47</v>
      </c>
      <c r="C616" s="11">
        <v>402.40379999999999</v>
      </c>
      <c r="D616" s="11">
        <v>393.91329999999999</v>
      </c>
      <c r="E616" s="10">
        <f t="shared" si="9"/>
        <v>0</v>
      </c>
      <c r="G616" s="29">
        <v>45027</v>
      </c>
      <c r="H616">
        <v>409.72</v>
      </c>
      <c r="I616">
        <v>402.1148</v>
      </c>
      <c r="J616">
        <v>393.69900000000001</v>
      </c>
      <c r="K616" s="10">
        <v>0</v>
      </c>
    </row>
    <row r="617" spans="1:11" x14ac:dyDescent="0.4">
      <c r="A617" s="25">
        <v>45030</v>
      </c>
      <c r="B617" s="11">
        <v>412.46</v>
      </c>
      <c r="C617" s="11">
        <v>402.43700000000001</v>
      </c>
      <c r="D617" s="11">
        <v>394.07240000000002</v>
      </c>
      <c r="E617" s="10">
        <f t="shared" si="9"/>
        <v>0</v>
      </c>
      <c r="G617" s="29">
        <v>45028</v>
      </c>
      <c r="H617">
        <v>408.05</v>
      </c>
      <c r="I617">
        <v>402.26400000000001</v>
      </c>
      <c r="J617">
        <v>393.78890000000001</v>
      </c>
      <c r="K617" s="10">
        <v>0</v>
      </c>
    </row>
    <row r="618" spans="1:11" x14ac:dyDescent="0.4">
      <c r="A618" s="25">
        <v>45033</v>
      </c>
      <c r="B618" s="11">
        <v>413.94</v>
      </c>
      <c r="C618" s="11">
        <v>402.3802</v>
      </c>
      <c r="D618" s="11">
        <v>394.24040000000002</v>
      </c>
      <c r="E618" s="10">
        <f t="shared" si="9"/>
        <v>0</v>
      </c>
      <c r="G618" s="29">
        <v>45029</v>
      </c>
      <c r="H618">
        <v>413.47</v>
      </c>
      <c r="I618">
        <v>402.40379999999999</v>
      </c>
      <c r="J618">
        <v>393.91329999999999</v>
      </c>
      <c r="K618" s="10">
        <v>0</v>
      </c>
    </row>
    <row r="619" spans="1:11" x14ac:dyDescent="0.4">
      <c r="A619" s="25">
        <v>45034</v>
      </c>
      <c r="B619" s="11">
        <v>414.21</v>
      </c>
      <c r="C619" s="11">
        <v>402.41739999999999</v>
      </c>
      <c r="D619" s="11">
        <v>394.42520000000002</v>
      </c>
      <c r="E619" s="10">
        <f t="shared" si="9"/>
        <v>0</v>
      </c>
      <c r="G619" s="29">
        <v>45030</v>
      </c>
      <c r="H619">
        <v>412.46</v>
      </c>
      <c r="I619">
        <v>402.43700000000001</v>
      </c>
      <c r="J619">
        <v>394.07240000000002</v>
      </c>
      <c r="K619" s="10">
        <v>0</v>
      </c>
    </row>
    <row r="620" spans="1:11" x14ac:dyDescent="0.4">
      <c r="A620" s="25">
        <v>45035</v>
      </c>
      <c r="B620" s="11">
        <v>414.14</v>
      </c>
      <c r="C620" s="11">
        <v>402.50360000000001</v>
      </c>
      <c r="D620" s="11">
        <v>394.58960000000002</v>
      </c>
      <c r="E620" s="10">
        <f t="shared" si="9"/>
        <v>0</v>
      </c>
      <c r="G620" s="29">
        <v>45033</v>
      </c>
      <c r="H620">
        <v>413.94</v>
      </c>
      <c r="I620">
        <v>402.3802</v>
      </c>
      <c r="J620">
        <v>394.24040000000002</v>
      </c>
      <c r="K620" s="10">
        <v>0</v>
      </c>
    </row>
    <row r="621" spans="1:11" x14ac:dyDescent="0.4">
      <c r="A621" s="25">
        <v>45036</v>
      </c>
      <c r="B621" s="11">
        <v>411.88</v>
      </c>
      <c r="C621" s="11">
        <v>402.43740000000003</v>
      </c>
      <c r="D621" s="11">
        <v>394.73919999999998</v>
      </c>
      <c r="E621" s="10">
        <f t="shared" si="9"/>
        <v>0</v>
      </c>
      <c r="G621" s="29">
        <v>45034</v>
      </c>
      <c r="H621">
        <v>414.21</v>
      </c>
      <c r="I621">
        <v>402.41739999999999</v>
      </c>
      <c r="J621">
        <v>394.42520000000002</v>
      </c>
      <c r="K621" s="10">
        <v>0</v>
      </c>
    </row>
    <row r="622" spans="1:11" x14ac:dyDescent="0.4">
      <c r="A622" s="25">
        <v>45037</v>
      </c>
      <c r="B622" s="11">
        <v>412.2</v>
      </c>
      <c r="C622" s="11">
        <v>402.46839999999997</v>
      </c>
      <c r="D622" s="11">
        <v>394.88400000000001</v>
      </c>
      <c r="E622" s="10">
        <f t="shared" si="9"/>
        <v>0</v>
      </c>
      <c r="G622" s="29">
        <v>45035</v>
      </c>
      <c r="H622">
        <v>414.14</v>
      </c>
      <c r="I622">
        <v>402.50360000000001</v>
      </c>
      <c r="J622">
        <v>394.58960000000002</v>
      </c>
      <c r="K622" s="10">
        <v>0</v>
      </c>
    </row>
    <row r="623" spans="1:11" x14ac:dyDescent="0.4">
      <c r="A623" s="25">
        <v>45040</v>
      </c>
      <c r="B623" s="11">
        <v>412.63</v>
      </c>
      <c r="C623" s="11">
        <v>402.57920000000001</v>
      </c>
      <c r="D623" s="11">
        <v>395.00220000000002</v>
      </c>
      <c r="E623" s="10">
        <f t="shared" si="9"/>
        <v>0</v>
      </c>
      <c r="G623" s="29">
        <v>45036</v>
      </c>
      <c r="H623">
        <v>411.88</v>
      </c>
      <c r="I623">
        <v>402.43740000000003</v>
      </c>
      <c r="J623">
        <v>394.73919999999998</v>
      </c>
      <c r="K623" s="10">
        <v>0</v>
      </c>
    </row>
    <row r="624" spans="1:11" x14ac:dyDescent="0.4">
      <c r="A624" s="25">
        <v>45041</v>
      </c>
      <c r="B624" s="11">
        <v>406.08</v>
      </c>
      <c r="C624" s="11">
        <v>402.54</v>
      </c>
      <c r="D624" s="11">
        <v>395.08920000000001</v>
      </c>
      <c r="E624" s="10">
        <f t="shared" si="9"/>
        <v>0</v>
      </c>
      <c r="G624" s="29">
        <v>45037</v>
      </c>
      <c r="H624">
        <v>412.2</v>
      </c>
      <c r="I624">
        <v>402.46839999999997</v>
      </c>
      <c r="J624">
        <v>394.88400000000001</v>
      </c>
      <c r="K624" s="10">
        <v>0</v>
      </c>
    </row>
    <row r="625" spans="1:11" x14ac:dyDescent="0.4">
      <c r="A625" s="25">
        <v>45042</v>
      </c>
      <c r="B625" s="11">
        <v>404.36</v>
      </c>
      <c r="C625" s="11">
        <v>402.37060000000002</v>
      </c>
      <c r="D625" s="11">
        <v>395.18990000000002</v>
      </c>
      <c r="E625" s="10">
        <f t="shared" si="9"/>
        <v>0</v>
      </c>
      <c r="G625" s="29">
        <v>45040</v>
      </c>
      <c r="H625">
        <v>412.63</v>
      </c>
      <c r="I625">
        <v>402.57920000000001</v>
      </c>
      <c r="J625">
        <v>395.00220000000002</v>
      </c>
      <c r="K625" s="10">
        <v>0</v>
      </c>
    </row>
    <row r="626" spans="1:11" x14ac:dyDescent="0.4">
      <c r="A626" s="25">
        <v>45043</v>
      </c>
      <c r="B626" s="11">
        <v>412.41</v>
      </c>
      <c r="C626" s="11">
        <v>402.36599999999999</v>
      </c>
      <c r="D626" s="11">
        <v>395.34780000000001</v>
      </c>
      <c r="E626" s="10">
        <f t="shared" si="9"/>
        <v>0</v>
      </c>
      <c r="G626" s="29">
        <v>45041</v>
      </c>
      <c r="H626">
        <v>406.08</v>
      </c>
      <c r="I626">
        <v>402.54</v>
      </c>
      <c r="J626">
        <v>395.08920000000001</v>
      </c>
      <c r="K626" s="10">
        <v>0</v>
      </c>
    </row>
    <row r="627" spans="1:11" x14ac:dyDescent="0.4">
      <c r="A627" s="25">
        <v>45044</v>
      </c>
      <c r="B627" s="11">
        <v>415.93</v>
      </c>
      <c r="C627" s="11">
        <v>402.40499999999997</v>
      </c>
      <c r="D627" s="11">
        <v>395.5333</v>
      </c>
      <c r="E627" s="10">
        <f t="shared" si="9"/>
        <v>0</v>
      </c>
      <c r="G627" s="29">
        <v>45042</v>
      </c>
      <c r="H627">
        <v>404.36</v>
      </c>
      <c r="I627">
        <v>402.37060000000002</v>
      </c>
      <c r="J627">
        <v>395.18990000000002</v>
      </c>
      <c r="K627" s="10">
        <v>0</v>
      </c>
    </row>
    <row r="628" spans="1:11" x14ac:dyDescent="0.4">
      <c r="A628" s="25">
        <v>45047</v>
      </c>
      <c r="B628" s="11">
        <v>415.51</v>
      </c>
      <c r="C628" s="11">
        <v>402.5496</v>
      </c>
      <c r="D628" s="11">
        <v>395.72129999999999</v>
      </c>
      <c r="E628" s="10">
        <f t="shared" si="9"/>
        <v>0</v>
      </c>
      <c r="G628" s="29">
        <v>45043</v>
      </c>
      <c r="H628">
        <v>412.41</v>
      </c>
      <c r="I628">
        <v>402.36599999999999</v>
      </c>
      <c r="J628">
        <v>395.34780000000001</v>
      </c>
      <c r="K628" s="10">
        <v>0</v>
      </c>
    </row>
    <row r="629" spans="1:11" x14ac:dyDescent="0.4">
      <c r="A629" s="25">
        <v>45048</v>
      </c>
      <c r="B629" s="11">
        <v>410.84</v>
      </c>
      <c r="C629" s="11">
        <v>402.62119999999999</v>
      </c>
      <c r="D629" s="11">
        <v>395.84980000000002</v>
      </c>
      <c r="E629" s="10">
        <f t="shared" si="9"/>
        <v>0</v>
      </c>
      <c r="G629" s="29">
        <v>45044</v>
      </c>
      <c r="H629">
        <v>415.93</v>
      </c>
      <c r="I629">
        <v>402.40499999999997</v>
      </c>
      <c r="J629">
        <v>395.5333</v>
      </c>
      <c r="K629" s="10">
        <v>0</v>
      </c>
    </row>
    <row r="630" spans="1:11" x14ac:dyDescent="0.4">
      <c r="A630" s="25">
        <v>45049</v>
      </c>
      <c r="B630" s="11">
        <v>408.02</v>
      </c>
      <c r="C630" s="11">
        <v>402.7998</v>
      </c>
      <c r="D630" s="11">
        <v>395.98020000000002</v>
      </c>
      <c r="E630" s="10">
        <f t="shared" si="9"/>
        <v>0</v>
      </c>
      <c r="G630" s="29">
        <v>45047</v>
      </c>
      <c r="H630">
        <v>415.51</v>
      </c>
      <c r="I630">
        <v>402.5496</v>
      </c>
      <c r="J630">
        <v>395.72129999999999</v>
      </c>
      <c r="K630" s="10">
        <v>0</v>
      </c>
    </row>
    <row r="631" spans="1:11" x14ac:dyDescent="0.4">
      <c r="A631" s="25">
        <v>45050</v>
      </c>
      <c r="B631" s="11">
        <v>405.13</v>
      </c>
      <c r="C631" s="11">
        <v>402.9316</v>
      </c>
      <c r="D631" s="11">
        <v>396.04450000000003</v>
      </c>
      <c r="E631" s="10">
        <f t="shared" si="9"/>
        <v>0</v>
      </c>
      <c r="G631" s="29">
        <v>45048</v>
      </c>
      <c r="H631">
        <v>410.84</v>
      </c>
      <c r="I631">
        <v>402.62119999999999</v>
      </c>
      <c r="J631">
        <v>395.84980000000002</v>
      </c>
      <c r="K631" s="10">
        <v>0</v>
      </c>
    </row>
    <row r="632" spans="1:11" x14ac:dyDescent="0.4">
      <c r="A632" s="25">
        <v>45051</v>
      </c>
      <c r="B632" s="11">
        <v>412.63</v>
      </c>
      <c r="C632" s="11">
        <v>403.17099999999999</v>
      </c>
      <c r="D632" s="11">
        <v>396.13380000000001</v>
      </c>
      <c r="E632" s="10">
        <f t="shared" si="9"/>
        <v>0</v>
      </c>
      <c r="G632" s="29">
        <v>45049</v>
      </c>
      <c r="H632">
        <v>408.02</v>
      </c>
      <c r="I632">
        <v>402.7998</v>
      </c>
      <c r="J632">
        <v>395.98020000000002</v>
      </c>
      <c r="K632" s="10">
        <v>0</v>
      </c>
    </row>
    <row r="633" spans="1:11" x14ac:dyDescent="0.4">
      <c r="A633" s="25">
        <v>45054</v>
      </c>
      <c r="B633" s="11">
        <v>412.74</v>
      </c>
      <c r="C633" s="11">
        <v>403.4982</v>
      </c>
      <c r="D633" s="11">
        <v>396.20359999999999</v>
      </c>
      <c r="E633" s="10">
        <f t="shared" si="9"/>
        <v>0</v>
      </c>
      <c r="G633" s="29">
        <v>45050</v>
      </c>
      <c r="H633">
        <v>405.13</v>
      </c>
      <c r="I633">
        <v>402.9316</v>
      </c>
      <c r="J633">
        <v>396.04450000000003</v>
      </c>
      <c r="K633" s="10">
        <v>0</v>
      </c>
    </row>
    <row r="634" spans="1:11" x14ac:dyDescent="0.4">
      <c r="A634" s="25">
        <v>45055</v>
      </c>
      <c r="B634" s="11">
        <v>410.93</v>
      </c>
      <c r="C634" s="11">
        <v>403.76220000000001</v>
      </c>
      <c r="D634" s="11">
        <v>396.28280000000001</v>
      </c>
      <c r="E634" s="10">
        <f t="shared" si="9"/>
        <v>0</v>
      </c>
      <c r="G634" s="29">
        <v>45051</v>
      </c>
      <c r="H634">
        <v>412.63</v>
      </c>
      <c r="I634">
        <v>403.17099999999999</v>
      </c>
      <c r="J634">
        <v>396.13380000000001</v>
      </c>
      <c r="K634" s="10">
        <v>0</v>
      </c>
    </row>
    <row r="635" spans="1:11" x14ac:dyDescent="0.4">
      <c r="A635" s="25">
        <v>45056</v>
      </c>
      <c r="B635" s="11">
        <v>412.85</v>
      </c>
      <c r="C635" s="11">
        <v>404.09399999999999</v>
      </c>
      <c r="D635" s="11">
        <v>396.36919999999998</v>
      </c>
      <c r="E635" s="10">
        <f t="shared" si="9"/>
        <v>0</v>
      </c>
      <c r="G635" s="29">
        <v>45054</v>
      </c>
      <c r="H635">
        <v>412.74</v>
      </c>
      <c r="I635">
        <v>403.4982</v>
      </c>
      <c r="J635">
        <v>396.20359999999999</v>
      </c>
      <c r="K635" s="10">
        <v>0</v>
      </c>
    </row>
    <row r="636" spans="1:11" x14ac:dyDescent="0.4">
      <c r="A636" s="25">
        <v>45057</v>
      </c>
      <c r="B636" s="11">
        <v>412.13</v>
      </c>
      <c r="C636" s="11">
        <v>404.4418</v>
      </c>
      <c r="D636" s="11">
        <v>396.47539999999998</v>
      </c>
      <c r="E636" s="10">
        <f t="shared" si="9"/>
        <v>0</v>
      </c>
      <c r="G636" s="29">
        <v>45055</v>
      </c>
      <c r="H636">
        <v>410.93</v>
      </c>
      <c r="I636">
        <v>403.76220000000001</v>
      </c>
      <c r="J636">
        <v>396.28280000000001</v>
      </c>
      <c r="K636" s="10">
        <v>0</v>
      </c>
    </row>
    <row r="637" spans="1:11" x14ac:dyDescent="0.4">
      <c r="A637" s="25">
        <v>45058</v>
      </c>
      <c r="B637" s="11">
        <v>411.59</v>
      </c>
      <c r="C637" s="11">
        <v>404.7174</v>
      </c>
      <c r="D637" s="11">
        <v>396.52809999999999</v>
      </c>
      <c r="E637" s="10">
        <f t="shared" si="9"/>
        <v>0</v>
      </c>
      <c r="G637" s="29">
        <v>45056</v>
      </c>
      <c r="H637">
        <v>412.85</v>
      </c>
      <c r="I637">
        <v>404.09399999999999</v>
      </c>
      <c r="J637">
        <v>396.36919999999998</v>
      </c>
      <c r="K637" s="10">
        <v>0</v>
      </c>
    </row>
    <row r="638" spans="1:11" x14ac:dyDescent="0.4">
      <c r="A638" s="25">
        <v>45061</v>
      </c>
      <c r="B638" s="11">
        <v>413.01</v>
      </c>
      <c r="C638" s="11">
        <v>404.8938</v>
      </c>
      <c r="D638" s="11">
        <v>396.56279999999998</v>
      </c>
      <c r="E638" s="10">
        <f t="shared" si="9"/>
        <v>0</v>
      </c>
      <c r="G638" s="29">
        <v>45057</v>
      </c>
      <c r="H638">
        <v>412.13</v>
      </c>
      <c r="I638">
        <v>404.4418</v>
      </c>
      <c r="J638">
        <v>396.47539999999998</v>
      </c>
      <c r="K638" s="10">
        <v>0</v>
      </c>
    </row>
    <row r="639" spans="1:11" x14ac:dyDescent="0.4">
      <c r="A639" s="25">
        <v>45062</v>
      </c>
      <c r="B639" s="11">
        <v>410.25</v>
      </c>
      <c r="C639" s="11">
        <v>405.00940000000003</v>
      </c>
      <c r="D639" s="11">
        <v>396.55410000000001</v>
      </c>
      <c r="E639" s="10">
        <f t="shared" si="9"/>
        <v>0</v>
      </c>
      <c r="G639" s="29">
        <v>45058</v>
      </c>
      <c r="H639">
        <v>411.59</v>
      </c>
      <c r="I639">
        <v>404.7174</v>
      </c>
      <c r="J639">
        <v>396.52809999999999</v>
      </c>
      <c r="K639" s="10">
        <v>0</v>
      </c>
    </row>
    <row r="640" spans="1:11" x14ac:dyDescent="0.4">
      <c r="A640" s="25">
        <v>45063</v>
      </c>
      <c r="B640" s="11">
        <v>415.23</v>
      </c>
      <c r="C640" s="11">
        <v>405.34859999999998</v>
      </c>
      <c r="D640" s="11">
        <v>396.57639999999998</v>
      </c>
      <c r="E640" s="10">
        <f t="shared" si="9"/>
        <v>0</v>
      </c>
      <c r="G640" s="29">
        <v>45061</v>
      </c>
      <c r="H640">
        <v>413.01</v>
      </c>
      <c r="I640">
        <v>404.8938</v>
      </c>
      <c r="J640">
        <v>396.56279999999998</v>
      </c>
      <c r="K640" s="10">
        <v>0</v>
      </c>
    </row>
    <row r="641" spans="1:11" x14ac:dyDescent="0.4">
      <c r="A641" s="25">
        <v>45064</v>
      </c>
      <c r="B641" s="11">
        <v>419.23</v>
      </c>
      <c r="C641" s="11">
        <v>405.75479999999999</v>
      </c>
      <c r="D641" s="11">
        <v>396.63220000000001</v>
      </c>
      <c r="E641" s="10">
        <f t="shared" si="9"/>
        <v>0</v>
      </c>
      <c r="G641" s="29">
        <v>45062</v>
      </c>
      <c r="H641">
        <v>410.25</v>
      </c>
      <c r="I641">
        <v>405.00940000000003</v>
      </c>
      <c r="J641">
        <v>396.55410000000001</v>
      </c>
      <c r="K641" s="10">
        <v>0</v>
      </c>
    </row>
    <row r="642" spans="1:11" x14ac:dyDescent="0.4">
      <c r="A642" s="25">
        <v>45065</v>
      </c>
      <c r="B642" s="11">
        <v>418.62</v>
      </c>
      <c r="C642" s="11">
        <v>406.29599999999999</v>
      </c>
      <c r="D642" s="11">
        <v>396.65309999999999</v>
      </c>
      <c r="E642" s="10">
        <f t="shared" si="9"/>
        <v>0</v>
      </c>
      <c r="G642" s="29">
        <v>45063</v>
      </c>
      <c r="H642">
        <v>415.23</v>
      </c>
      <c r="I642">
        <v>405.34859999999998</v>
      </c>
      <c r="J642">
        <v>396.57639999999998</v>
      </c>
      <c r="K642" s="10">
        <v>0</v>
      </c>
    </row>
    <row r="643" spans="1:11" x14ac:dyDescent="0.4">
      <c r="A643" s="25">
        <v>45068</v>
      </c>
      <c r="B643" s="11">
        <v>418.79</v>
      </c>
      <c r="C643" s="11">
        <v>406.95359999999999</v>
      </c>
      <c r="D643" s="11">
        <v>396.67619999999999</v>
      </c>
      <c r="E643" s="10">
        <f t="shared" ref="E643:E706" si="10">IF(AND(C643&gt;D643, C642&lt;D642), 1, 0)</f>
        <v>0</v>
      </c>
      <c r="G643" s="29">
        <v>45064</v>
      </c>
      <c r="H643">
        <v>419.23</v>
      </c>
      <c r="I643">
        <v>405.75479999999999</v>
      </c>
      <c r="J643">
        <v>396.63220000000001</v>
      </c>
      <c r="K643" s="10">
        <v>0</v>
      </c>
    </row>
    <row r="644" spans="1:11" x14ac:dyDescent="0.4">
      <c r="A644" s="25">
        <v>45069</v>
      </c>
      <c r="B644" s="11">
        <v>414.09</v>
      </c>
      <c r="C644" s="11">
        <v>407.52820000000003</v>
      </c>
      <c r="D644" s="11">
        <v>396.67930000000001</v>
      </c>
      <c r="E644" s="10">
        <f t="shared" si="10"/>
        <v>0</v>
      </c>
      <c r="G644" s="29">
        <v>45065</v>
      </c>
      <c r="H644">
        <v>418.62</v>
      </c>
      <c r="I644">
        <v>406.29599999999999</v>
      </c>
      <c r="J644">
        <v>396.65309999999999</v>
      </c>
      <c r="K644" s="10">
        <v>0</v>
      </c>
    </row>
    <row r="645" spans="1:11" x14ac:dyDescent="0.4">
      <c r="A645" s="25">
        <v>45070</v>
      </c>
      <c r="B645" s="11">
        <v>411.09</v>
      </c>
      <c r="C645" s="11">
        <v>407.91539999999998</v>
      </c>
      <c r="D645" s="11">
        <v>396.66980000000001</v>
      </c>
      <c r="E645" s="10">
        <f t="shared" si="10"/>
        <v>0</v>
      </c>
      <c r="G645" s="29">
        <v>45068</v>
      </c>
      <c r="H645">
        <v>418.79</v>
      </c>
      <c r="I645">
        <v>406.95359999999999</v>
      </c>
      <c r="J645">
        <v>396.67619999999999</v>
      </c>
      <c r="K645" s="10">
        <v>0</v>
      </c>
    </row>
    <row r="646" spans="1:11" x14ac:dyDescent="0.4">
      <c r="A646" s="25">
        <v>45071</v>
      </c>
      <c r="B646" s="11">
        <v>414.65</v>
      </c>
      <c r="C646" s="11">
        <v>408.4228</v>
      </c>
      <c r="D646" s="11">
        <v>396.68630000000002</v>
      </c>
      <c r="E646" s="10">
        <f t="shared" si="10"/>
        <v>0</v>
      </c>
      <c r="G646" s="29">
        <v>45069</v>
      </c>
      <c r="H646">
        <v>414.09</v>
      </c>
      <c r="I646">
        <v>407.52820000000003</v>
      </c>
      <c r="J646">
        <v>396.67930000000001</v>
      </c>
      <c r="K646" s="10">
        <v>0</v>
      </c>
    </row>
    <row r="647" spans="1:11" x14ac:dyDescent="0.4">
      <c r="A647" s="25">
        <v>45072</v>
      </c>
      <c r="B647" s="11">
        <v>420.02</v>
      </c>
      <c r="C647" s="11">
        <v>408.90100000000001</v>
      </c>
      <c r="D647" s="11">
        <v>396.68639999999999</v>
      </c>
      <c r="E647" s="10">
        <f t="shared" si="10"/>
        <v>0</v>
      </c>
      <c r="G647" s="29">
        <v>45070</v>
      </c>
      <c r="H647">
        <v>411.09</v>
      </c>
      <c r="I647">
        <v>407.91539999999998</v>
      </c>
      <c r="J647">
        <v>396.66980000000001</v>
      </c>
      <c r="K647" s="10">
        <v>0</v>
      </c>
    </row>
    <row r="648" spans="1:11" x14ac:dyDescent="0.4">
      <c r="A648" s="25">
        <v>45076</v>
      </c>
      <c r="B648" s="11">
        <v>420.18</v>
      </c>
      <c r="C648" s="11">
        <v>409.50479999999999</v>
      </c>
      <c r="D648" s="11">
        <v>396.68740000000003</v>
      </c>
      <c r="E648" s="10">
        <f t="shared" si="10"/>
        <v>0</v>
      </c>
      <c r="G648" s="29">
        <v>45071</v>
      </c>
      <c r="H648">
        <v>414.65</v>
      </c>
      <c r="I648">
        <v>408.4228</v>
      </c>
      <c r="J648">
        <v>396.68630000000002</v>
      </c>
      <c r="K648" s="10">
        <v>0</v>
      </c>
    </row>
    <row r="649" spans="1:11" x14ac:dyDescent="0.4">
      <c r="A649" s="25">
        <v>45077</v>
      </c>
      <c r="B649" s="11">
        <v>417.85</v>
      </c>
      <c r="C649" s="11">
        <v>409.98700000000002</v>
      </c>
      <c r="D649" s="11">
        <v>396.64120000000003</v>
      </c>
      <c r="E649" s="10">
        <f t="shared" si="10"/>
        <v>0</v>
      </c>
      <c r="G649" s="29">
        <v>45072</v>
      </c>
      <c r="H649">
        <v>420.02</v>
      </c>
      <c r="I649">
        <v>408.90100000000001</v>
      </c>
      <c r="J649">
        <v>396.68639999999999</v>
      </c>
      <c r="K649" s="10">
        <v>0</v>
      </c>
    </row>
    <row r="650" spans="1:11" x14ac:dyDescent="0.4">
      <c r="A650" s="25">
        <v>45078</v>
      </c>
      <c r="B650" s="11">
        <v>421.82</v>
      </c>
      <c r="C650" s="11">
        <v>410.4452</v>
      </c>
      <c r="D650" s="11">
        <v>396.60599999999999</v>
      </c>
      <c r="E650" s="10">
        <f t="shared" si="10"/>
        <v>0</v>
      </c>
      <c r="G650" s="29">
        <v>45076</v>
      </c>
      <c r="H650">
        <v>420.18</v>
      </c>
      <c r="I650">
        <v>409.50479999999999</v>
      </c>
      <c r="J650">
        <v>396.68740000000003</v>
      </c>
      <c r="K650" s="10">
        <v>0</v>
      </c>
    </row>
    <row r="651" spans="1:11" x14ac:dyDescent="0.4">
      <c r="A651" s="25">
        <v>45079</v>
      </c>
      <c r="B651" s="11">
        <v>427.92</v>
      </c>
      <c r="C651" s="11">
        <v>411.16140000000001</v>
      </c>
      <c r="D651" s="11">
        <v>396.59699999999998</v>
      </c>
      <c r="E651" s="10">
        <f t="shared" si="10"/>
        <v>0</v>
      </c>
      <c r="G651" s="29">
        <v>45077</v>
      </c>
      <c r="H651">
        <v>417.85</v>
      </c>
      <c r="I651">
        <v>409.98700000000002</v>
      </c>
      <c r="J651">
        <v>396.64120000000003</v>
      </c>
      <c r="K651" s="10">
        <v>0</v>
      </c>
    </row>
    <row r="652" spans="1:11" x14ac:dyDescent="0.4">
      <c r="A652" s="25">
        <v>45082</v>
      </c>
      <c r="B652" s="11">
        <v>427.1</v>
      </c>
      <c r="C652" s="11">
        <v>411.84</v>
      </c>
      <c r="D652" s="11">
        <v>396.59930000000003</v>
      </c>
      <c r="E652" s="10">
        <f t="shared" si="10"/>
        <v>0</v>
      </c>
      <c r="G652" s="29">
        <v>45078</v>
      </c>
      <c r="H652">
        <v>421.82</v>
      </c>
      <c r="I652">
        <v>410.4452</v>
      </c>
      <c r="J652">
        <v>396.60599999999999</v>
      </c>
      <c r="K652" s="10">
        <v>0</v>
      </c>
    </row>
    <row r="653" spans="1:11" x14ac:dyDescent="0.4">
      <c r="A653" s="25">
        <v>45083</v>
      </c>
      <c r="B653" s="11">
        <v>428.03</v>
      </c>
      <c r="C653" s="11">
        <v>412.48559999999998</v>
      </c>
      <c r="D653" s="11">
        <v>396.6</v>
      </c>
      <c r="E653" s="10">
        <f t="shared" si="10"/>
        <v>0</v>
      </c>
      <c r="G653" s="29">
        <v>45079</v>
      </c>
      <c r="H653">
        <v>427.92</v>
      </c>
      <c r="I653">
        <v>411.16140000000001</v>
      </c>
      <c r="J653">
        <v>396.59699999999998</v>
      </c>
      <c r="K653" s="10">
        <v>0</v>
      </c>
    </row>
    <row r="654" spans="1:11" x14ac:dyDescent="0.4">
      <c r="A654" s="25">
        <v>45084</v>
      </c>
      <c r="B654" s="11">
        <v>426.55</v>
      </c>
      <c r="C654" s="11">
        <v>413.08679999999998</v>
      </c>
      <c r="D654" s="11">
        <v>396.62200000000001</v>
      </c>
      <c r="E654" s="10">
        <f t="shared" si="10"/>
        <v>0</v>
      </c>
      <c r="G654" s="29">
        <v>45082</v>
      </c>
      <c r="H654">
        <v>427.1</v>
      </c>
      <c r="I654">
        <v>411.84</v>
      </c>
      <c r="J654">
        <v>396.59930000000003</v>
      </c>
      <c r="K654" s="10">
        <v>0</v>
      </c>
    </row>
    <row r="655" spans="1:11" x14ac:dyDescent="0.4">
      <c r="A655" s="25">
        <v>45085</v>
      </c>
      <c r="B655" s="11">
        <v>429.13</v>
      </c>
      <c r="C655" s="11">
        <v>413.75740000000002</v>
      </c>
      <c r="D655" s="11">
        <v>396.70100000000002</v>
      </c>
      <c r="E655" s="10">
        <f t="shared" si="10"/>
        <v>0</v>
      </c>
      <c r="G655" s="29">
        <v>45083</v>
      </c>
      <c r="H655">
        <v>428.03</v>
      </c>
      <c r="I655">
        <v>412.48559999999998</v>
      </c>
      <c r="J655">
        <v>396.6</v>
      </c>
      <c r="K655" s="10">
        <v>0</v>
      </c>
    </row>
    <row r="656" spans="1:11" x14ac:dyDescent="0.4">
      <c r="A656" s="25">
        <v>45086</v>
      </c>
      <c r="B656" s="11">
        <v>429.9</v>
      </c>
      <c r="C656" s="11">
        <v>414.32839999999999</v>
      </c>
      <c r="D656" s="11">
        <v>396.78870000000001</v>
      </c>
      <c r="E656" s="10">
        <f t="shared" si="10"/>
        <v>0</v>
      </c>
      <c r="G656" s="29">
        <v>45084</v>
      </c>
      <c r="H656">
        <v>426.55</v>
      </c>
      <c r="I656">
        <v>413.08679999999998</v>
      </c>
      <c r="J656">
        <v>396.62200000000001</v>
      </c>
      <c r="K656" s="10">
        <v>0</v>
      </c>
    </row>
    <row r="657" spans="1:11" x14ac:dyDescent="0.4">
      <c r="A657" s="25">
        <v>45089</v>
      </c>
      <c r="B657" s="11">
        <v>433.8</v>
      </c>
      <c r="C657" s="11">
        <v>414.93040000000002</v>
      </c>
      <c r="D657" s="11">
        <v>396.88940000000002</v>
      </c>
      <c r="E657" s="10">
        <f t="shared" si="10"/>
        <v>0</v>
      </c>
      <c r="G657" s="29">
        <v>45085</v>
      </c>
      <c r="H657">
        <v>429.13</v>
      </c>
      <c r="I657">
        <v>413.75740000000002</v>
      </c>
      <c r="J657">
        <v>396.70100000000002</v>
      </c>
      <c r="K657" s="10">
        <v>0</v>
      </c>
    </row>
    <row r="658" spans="1:11" x14ac:dyDescent="0.4">
      <c r="A658" s="25">
        <v>45090</v>
      </c>
      <c r="B658" s="11">
        <v>436.66</v>
      </c>
      <c r="C658" s="11">
        <v>415.47579999999999</v>
      </c>
      <c r="D658" s="11">
        <v>396.9751</v>
      </c>
      <c r="E658" s="10">
        <f t="shared" si="10"/>
        <v>0</v>
      </c>
      <c r="G658" s="29">
        <v>45086</v>
      </c>
      <c r="H658">
        <v>429.9</v>
      </c>
      <c r="I658">
        <v>414.32839999999999</v>
      </c>
      <c r="J658">
        <v>396.78870000000001</v>
      </c>
      <c r="K658" s="10">
        <v>0</v>
      </c>
    </row>
    <row r="659" spans="1:11" x14ac:dyDescent="0.4">
      <c r="A659" s="25">
        <v>45091</v>
      </c>
      <c r="B659" s="11">
        <v>437.18</v>
      </c>
      <c r="C659" s="11">
        <v>416.00040000000001</v>
      </c>
      <c r="D659" s="11">
        <v>397.13440000000003</v>
      </c>
      <c r="E659" s="10">
        <f t="shared" si="10"/>
        <v>0</v>
      </c>
      <c r="G659" s="29">
        <v>45089</v>
      </c>
      <c r="H659">
        <v>433.8</v>
      </c>
      <c r="I659">
        <v>414.93040000000002</v>
      </c>
      <c r="J659">
        <v>396.88940000000002</v>
      </c>
      <c r="K659" s="10">
        <v>0</v>
      </c>
    </row>
    <row r="660" spans="1:11" x14ac:dyDescent="0.4">
      <c r="A660" s="25">
        <v>45092</v>
      </c>
      <c r="B660" s="11">
        <v>442.6</v>
      </c>
      <c r="C660" s="11">
        <v>416.67899999999997</v>
      </c>
      <c r="D660" s="11">
        <v>397.33429999999998</v>
      </c>
      <c r="E660" s="10">
        <f t="shared" si="10"/>
        <v>0</v>
      </c>
      <c r="G660" s="29">
        <v>45090</v>
      </c>
      <c r="H660">
        <v>436.66</v>
      </c>
      <c r="I660">
        <v>415.47579999999999</v>
      </c>
      <c r="J660">
        <v>396.9751</v>
      </c>
      <c r="K660" s="10">
        <v>0</v>
      </c>
    </row>
    <row r="661" spans="1:11" x14ac:dyDescent="0.4">
      <c r="A661" s="25">
        <v>45093</v>
      </c>
      <c r="B661" s="11">
        <v>439.46</v>
      </c>
      <c r="C661" s="11">
        <v>417.31619999999998</v>
      </c>
      <c r="D661" s="11">
        <v>397.54059999999998</v>
      </c>
      <c r="E661" s="10">
        <f t="shared" si="10"/>
        <v>0</v>
      </c>
      <c r="G661" s="29">
        <v>45091</v>
      </c>
      <c r="H661">
        <v>437.18</v>
      </c>
      <c r="I661">
        <v>416.00040000000001</v>
      </c>
      <c r="J661">
        <v>397.13440000000003</v>
      </c>
      <c r="K661" s="10">
        <v>0</v>
      </c>
    </row>
    <row r="662" spans="1:11" x14ac:dyDescent="0.4">
      <c r="A662" s="25">
        <v>45097</v>
      </c>
      <c r="B662" s="11">
        <v>437.18</v>
      </c>
      <c r="C662" s="11">
        <v>417.87599999999998</v>
      </c>
      <c r="D662" s="11">
        <v>397.75060000000002</v>
      </c>
      <c r="E662" s="10">
        <f t="shared" si="10"/>
        <v>0</v>
      </c>
      <c r="G662" s="29">
        <v>45092</v>
      </c>
      <c r="H662">
        <v>442.6</v>
      </c>
      <c r="I662">
        <v>416.67899999999997</v>
      </c>
      <c r="J662">
        <v>397.33429999999998</v>
      </c>
      <c r="K662" s="10">
        <v>0</v>
      </c>
    </row>
    <row r="663" spans="1:11" x14ac:dyDescent="0.4">
      <c r="A663" s="25">
        <v>45098</v>
      </c>
      <c r="B663" s="11">
        <v>434.94</v>
      </c>
      <c r="C663" s="11">
        <v>418.38260000000002</v>
      </c>
      <c r="D663" s="11">
        <v>397.94319999999999</v>
      </c>
      <c r="E663" s="10">
        <f t="shared" si="10"/>
        <v>0</v>
      </c>
      <c r="G663" s="29">
        <v>45093</v>
      </c>
      <c r="H663">
        <v>439.46</v>
      </c>
      <c r="I663">
        <v>417.31619999999998</v>
      </c>
      <c r="J663">
        <v>397.54059999999998</v>
      </c>
      <c r="K663" s="10">
        <v>0</v>
      </c>
    </row>
    <row r="664" spans="1:11" x14ac:dyDescent="0.4">
      <c r="A664" s="25">
        <v>45099</v>
      </c>
      <c r="B664" s="11">
        <v>436.51</v>
      </c>
      <c r="C664" s="11">
        <v>418.91840000000002</v>
      </c>
      <c r="D664" s="11">
        <v>398.16449999999998</v>
      </c>
      <c r="E664" s="10">
        <f t="shared" si="10"/>
        <v>0</v>
      </c>
      <c r="G664" s="29">
        <v>45097</v>
      </c>
      <c r="H664">
        <v>437.18</v>
      </c>
      <c r="I664">
        <v>417.87599999999998</v>
      </c>
      <c r="J664">
        <v>397.75060000000002</v>
      </c>
      <c r="K664" s="10">
        <v>0</v>
      </c>
    </row>
    <row r="665" spans="1:11" x14ac:dyDescent="0.4">
      <c r="A665" s="25">
        <v>45100</v>
      </c>
      <c r="B665" s="11">
        <v>433.21</v>
      </c>
      <c r="C665" s="11">
        <v>419.42160000000001</v>
      </c>
      <c r="D665" s="11">
        <v>398.3768</v>
      </c>
      <c r="E665" s="10">
        <f t="shared" si="10"/>
        <v>0</v>
      </c>
      <c r="G665" s="29">
        <v>45098</v>
      </c>
      <c r="H665">
        <v>434.94</v>
      </c>
      <c r="I665">
        <v>418.38260000000002</v>
      </c>
      <c r="J665">
        <v>397.94319999999999</v>
      </c>
      <c r="K665" s="10">
        <v>0</v>
      </c>
    </row>
    <row r="666" spans="1:11" x14ac:dyDescent="0.4">
      <c r="A666" s="25">
        <v>45103</v>
      </c>
      <c r="B666" s="11">
        <v>431.44</v>
      </c>
      <c r="C666" s="11">
        <v>419.78100000000001</v>
      </c>
      <c r="D666" s="11">
        <v>398.54500000000002</v>
      </c>
      <c r="E666" s="10">
        <f t="shared" si="10"/>
        <v>0</v>
      </c>
      <c r="G666" s="29">
        <v>45099</v>
      </c>
      <c r="H666">
        <v>436.51</v>
      </c>
      <c r="I666">
        <v>418.91840000000002</v>
      </c>
      <c r="J666">
        <v>398.16449999999998</v>
      </c>
      <c r="K666" s="10">
        <v>0</v>
      </c>
    </row>
    <row r="667" spans="1:11" x14ac:dyDescent="0.4">
      <c r="A667" s="25">
        <v>45104</v>
      </c>
      <c r="B667" s="11">
        <v>436.17</v>
      </c>
      <c r="C667" s="11">
        <v>420.2552</v>
      </c>
      <c r="D667" s="11">
        <v>398.72399999999999</v>
      </c>
      <c r="E667" s="10">
        <f t="shared" si="10"/>
        <v>0</v>
      </c>
      <c r="G667" s="29">
        <v>45100</v>
      </c>
      <c r="H667">
        <v>433.21</v>
      </c>
      <c r="I667">
        <v>419.42160000000001</v>
      </c>
      <c r="J667">
        <v>398.3768</v>
      </c>
      <c r="K667" s="10">
        <v>0</v>
      </c>
    </row>
    <row r="668" spans="1:11" x14ac:dyDescent="0.4">
      <c r="A668" s="25">
        <v>45105</v>
      </c>
      <c r="B668" s="11">
        <v>436.39</v>
      </c>
      <c r="C668" s="11">
        <v>420.70420000000001</v>
      </c>
      <c r="D668" s="11">
        <v>398.87299999999999</v>
      </c>
      <c r="E668" s="10">
        <f t="shared" si="10"/>
        <v>0</v>
      </c>
      <c r="G668" s="29">
        <v>45103</v>
      </c>
      <c r="H668">
        <v>431.44</v>
      </c>
      <c r="I668">
        <v>419.78100000000001</v>
      </c>
      <c r="J668">
        <v>398.54500000000002</v>
      </c>
      <c r="K668" s="10">
        <v>0</v>
      </c>
    </row>
    <row r="669" spans="1:11" x14ac:dyDescent="0.4">
      <c r="A669" s="25">
        <v>45106</v>
      </c>
      <c r="B669" s="11">
        <v>438.11</v>
      </c>
      <c r="C669" s="11">
        <v>421.18220000000002</v>
      </c>
      <c r="D669" s="11">
        <v>399.0086</v>
      </c>
      <c r="E669" s="10">
        <f t="shared" si="10"/>
        <v>0</v>
      </c>
      <c r="G669" s="29">
        <v>45104</v>
      </c>
      <c r="H669">
        <v>436.17</v>
      </c>
      <c r="I669">
        <v>420.2552</v>
      </c>
      <c r="J669">
        <v>398.72399999999999</v>
      </c>
      <c r="K669" s="10">
        <v>0</v>
      </c>
    </row>
    <row r="670" spans="1:11" x14ac:dyDescent="0.4">
      <c r="A670" s="25">
        <v>45107</v>
      </c>
      <c r="B670" s="11">
        <v>443.28</v>
      </c>
      <c r="C670" s="11">
        <v>421.76499999999999</v>
      </c>
      <c r="D670" s="11">
        <v>399.25959999999998</v>
      </c>
      <c r="E670" s="10">
        <f t="shared" si="10"/>
        <v>0</v>
      </c>
      <c r="G670" s="29">
        <v>45105</v>
      </c>
      <c r="H670">
        <v>436.39</v>
      </c>
      <c r="I670">
        <v>420.70420000000001</v>
      </c>
      <c r="J670">
        <v>398.87299999999999</v>
      </c>
      <c r="K670" s="10">
        <v>0</v>
      </c>
    </row>
    <row r="671" spans="1:11" x14ac:dyDescent="0.4">
      <c r="A671" s="25">
        <v>45110</v>
      </c>
      <c r="B671" s="11">
        <v>443.79</v>
      </c>
      <c r="C671" s="11">
        <v>422.40320000000003</v>
      </c>
      <c r="D671" s="11">
        <v>399.50549999999998</v>
      </c>
      <c r="E671" s="10">
        <f t="shared" si="10"/>
        <v>0</v>
      </c>
      <c r="G671" s="29">
        <v>45106</v>
      </c>
      <c r="H671">
        <v>438.11</v>
      </c>
      <c r="I671">
        <v>421.18220000000002</v>
      </c>
      <c r="J671">
        <v>399.0086</v>
      </c>
      <c r="K671" s="10">
        <v>0</v>
      </c>
    </row>
    <row r="672" spans="1:11" x14ac:dyDescent="0.4">
      <c r="A672" s="25">
        <v>45112</v>
      </c>
      <c r="B672" s="11">
        <v>443.13</v>
      </c>
      <c r="C672" s="11">
        <v>423.02179999999998</v>
      </c>
      <c r="D672" s="11">
        <v>399.7706</v>
      </c>
      <c r="E672" s="10">
        <f t="shared" si="10"/>
        <v>0</v>
      </c>
      <c r="G672" s="29">
        <v>45107</v>
      </c>
      <c r="H672">
        <v>443.28</v>
      </c>
      <c r="I672">
        <v>421.76499999999999</v>
      </c>
      <c r="J672">
        <v>399.25959999999998</v>
      </c>
      <c r="K672" s="10">
        <v>0</v>
      </c>
    </row>
    <row r="673" spans="1:11" x14ac:dyDescent="0.4">
      <c r="A673" s="25">
        <v>45113</v>
      </c>
      <c r="B673" s="11">
        <v>439.66</v>
      </c>
      <c r="C673" s="11">
        <v>423.56240000000003</v>
      </c>
      <c r="D673" s="11">
        <v>400.041</v>
      </c>
      <c r="E673" s="10">
        <f t="shared" si="10"/>
        <v>0</v>
      </c>
      <c r="G673" s="29">
        <v>45110</v>
      </c>
      <c r="H673">
        <v>443.79</v>
      </c>
      <c r="I673">
        <v>422.40320000000003</v>
      </c>
      <c r="J673">
        <v>399.50549999999998</v>
      </c>
      <c r="K673" s="10">
        <v>0</v>
      </c>
    </row>
    <row r="674" spans="1:11" x14ac:dyDescent="0.4">
      <c r="A674" s="25">
        <v>45114</v>
      </c>
      <c r="B674" s="11">
        <v>438.55</v>
      </c>
      <c r="C674" s="11">
        <v>424.21179999999998</v>
      </c>
      <c r="D674" s="11">
        <v>400.291</v>
      </c>
      <c r="E674" s="10">
        <f t="shared" si="10"/>
        <v>0</v>
      </c>
      <c r="G674" s="29">
        <v>45112</v>
      </c>
      <c r="H674">
        <v>443.13</v>
      </c>
      <c r="I674">
        <v>423.02179999999998</v>
      </c>
      <c r="J674">
        <v>399.7706</v>
      </c>
      <c r="K674" s="10">
        <v>0</v>
      </c>
    </row>
    <row r="675" spans="1:11" x14ac:dyDescent="0.4">
      <c r="A675" s="25">
        <v>45117</v>
      </c>
      <c r="B675" s="11">
        <v>439.66</v>
      </c>
      <c r="C675" s="11">
        <v>424.9178</v>
      </c>
      <c r="D675" s="11">
        <v>400.56889999999999</v>
      </c>
      <c r="E675" s="10">
        <f t="shared" si="10"/>
        <v>0</v>
      </c>
      <c r="G675" s="29">
        <v>45113</v>
      </c>
      <c r="H675">
        <v>439.66</v>
      </c>
      <c r="I675">
        <v>423.56240000000003</v>
      </c>
      <c r="J675">
        <v>400.041</v>
      </c>
      <c r="K675" s="10">
        <v>0</v>
      </c>
    </row>
    <row r="676" spans="1:11" x14ac:dyDescent="0.4">
      <c r="A676" s="25">
        <v>45118</v>
      </c>
      <c r="B676" s="11">
        <v>442.46</v>
      </c>
      <c r="C676" s="11">
        <v>425.5188</v>
      </c>
      <c r="D676" s="11">
        <v>400.89420000000001</v>
      </c>
      <c r="E676" s="10">
        <f t="shared" si="10"/>
        <v>0</v>
      </c>
      <c r="G676" s="29">
        <v>45114</v>
      </c>
      <c r="H676">
        <v>438.55</v>
      </c>
      <c r="I676">
        <v>424.21179999999998</v>
      </c>
      <c r="J676">
        <v>400.291</v>
      </c>
      <c r="K676" s="10">
        <v>0</v>
      </c>
    </row>
    <row r="677" spans="1:11" x14ac:dyDescent="0.4">
      <c r="A677" s="25">
        <v>45119</v>
      </c>
      <c r="B677" s="11">
        <v>446.02</v>
      </c>
      <c r="C677" s="11">
        <v>426.12060000000002</v>
      </c>
      <c r="D677" s="11">
        <v>401.25319999999999</v>
      </c>
      <c r="E677" s="10">
        <f t="shared" si="10"/>
        <v>0</v>
      </c>
      <c r="G677" s="29">
        <v>45117</v>
      </c>
      <c r="H677">
        <v>439.66</v>
      </c>
      <c r="I677">
        <v>424.9178</v>
      </c>
      <c r="J677">
        <v>400.56889999999999</v>
      </c>
      <c r="K677" s="10">
        <v>0</v>
      </c>
    </row>
    <row r="678" spans="1:11" x14ac:dyDescent="0.4">
      <c r="A678" s="25">
        <v>45120</v>
      </c>
      <c r="B678" s="11">
        <v>449.56</v>
      </c>
      <c r="C678" s="11">
        <v>426.80160000000001</v>
      </c>
      <c r="D678" s="11">
        <v>401.66129999999998</v>
      </c>
      <c r="E678" s="10">
        <f t="shared" si="10"/>
        <v>0</v>
      </c>
      <c r="G678" s="29">
        <v>45118</v>
      </c>
      <c r="H678">
        <v>442.46</v>
      </c>
      <c r="I678">
        <v>425.5188</v>
      </c>
      <c r="J678">
        <v>400.89420000000001</v>
      </c>
      <c r="K678" s="10">
        <v>0</v>
      </c>
    </row>
    <row r="679" spans="1:11" x14ac:dyDescent="0.4">
      <c r="A679" s="25">
        <v>45121</v>
      </c>
      <c r="B679" s="11">
        <v>449.28</v>
      </c>
      <c r="C679" s="11">
        <v>427.57040000000001</v>
      </c>
      <c r="D679" s="11">
        <v>402.08620000000002</v>
      </c>
      <c r="E679" s="10">
        <f t="shared" si="10"/>
        <v>0</v>
      </c>
      <c r="G679" s="29">
        <v>45119</v>
      </c>
      <c r="H679">
        <v>446.02</v>
      </c>
      <c r="I679">
        <v>426.12060000000002</v>
      </c>
      <c r="J679">
        <v>401.25319999999999</v>
      </c>
      <c r="K679" s="10">
        <v>0</v>
      </c>
    </row>
    <row r="680" spans="1:11" x14ac:dyDescent="0.4">
      <c r="A680" s="25">
        <v>45124</v>
      </c>
      <c r="B680" s="11">
        <v>450.84</v>
      </c>
      <c r="C680" s="11">
        <v>428.42680000000001</v>
      </c>
      <c r="D680" s="11">
        <v>402.52339999999998</v>
      </c>
      <c r="E680" s="10">
        <f t="shared" si="10"/>
        <v>0</v>
      </c>
      <c r="G680" s="29">
        <v>45120</v>
      </c>
      <c r="H680">
        <v>449.56</v>
      </c>
      <c r="I680">
        <v>426.80160000000001</v>
      </c>
      <c r="J680">
        <v>401.66129999999998</v>
      </c>
      <c r="K680" s="10">
        <v>0</v>
      </c>
    </row>
    <row r="681" spans="1:11" x14ac:dyDescent="0.4">
      <c r="A681" s="25">
        <v>45125</v>
      </c>
      <c r="B681" s="11">
        <v>454.19</v>
      </c>
      <c r="C681" s="11">
        <v>429.40800000000002</v>
      </c>
      <c r="D681" s="11">
        <v>402.9418</v>
      </c>
      <c r="E681" s="10">
        <f t="shared" si="10"/>
        <v>0</v>
      </c>
      <c r="G681" s="29">
        <v>45121</v>
      </c>
      <c r="H681">
        <v>449.28</v>
      </c>
      <c r="I681">
        <v>427.57040000000001</v>
      </c>
      <c r="J681">
        <v>402.08620000000002</v>
      </c>
      <c r="K681" s="10">
        <v>0</v>
      </c>
    </row>
    <row r="682" spans="1:11" x14ac:dyDescent="0.4">
      <c r="A682" s="25">
        <v>45126</v>
      </c>
      <c r="B682" s="11">
        <v>455.2</v>
      </c>
      <c r="C682" s="11">
        <v>430.25940000000003</v>
      </c>
      <c r="D682" s="11">
        <v>403.40379999999999</v>
      </c>
      <c r="E682" s="10">
        <f t="shared" si="10"/>
        <v>0</v>
      </c>
      <c r="G682" s="29">
        <v>45124</v>
      </c>
      <c r="H682">
        <v>450.84</v>
      </c>
      <c r="I682">
        <v>428.42680000000001</v>
      </c>
      <c r="J682">
        <v>402.52339999999998</v>
      </c>
      <c r="K682" s="10">
        <v>0</v>
      </c>
    </row>
    <row r="683" spans="1:11" x14ac:dyDescent="0.4">
      <c r="A683" s="25">
        <v>45127</v>
      </c>
      <c r="B683" s="11">
        <v>452.18</v>
      </c>
      <c r="C683" s="11">
        <v>431.04820000000001</v>
      </c>
      <c r="D683" s="11">
        <v>403.87880000000001</v>
      </c>
      <c r="E683" s="10">
        <f t="shared" si="10"/>
        <v>0</v>
      </c>
      <c r="G683" s="29">
        <v>45125</v>
      </c>
      <c r="H683">
        <v>454.19</v>
      </c>
      <c r="I683">
        <v>429.40800000000002</v>
      </c>
      <c r="J683">
        <v>402.9418</v>
      </c>
      <c r="K683" s="10">
        <v>0</v>
      </c>
    </row>
    <row r="684" spans="1:11" x14ac:dyDescent="0.4">
      <c r="A684" s="25">
        <v>45128</v>
      </c>
      <c r="B684" s="11">
        <v>452.18</v>
      </c>
      <c r="C684" s="11">
        <v>431.8732</v>
      </c>
      <c r="D684" s="11">
        <v>404.3066</v>
      </c>
      <c r="E684" s="10">
        <f t="shared" si="10"/>
        <v>0</v>
      </c>
      <c r="G684" s="29">
        <v>45126</v>
      </c>
      <c r="H684">
        <v>455.2</v>
      </c>
      <c r="I684">
        <v>430.25940000000003</v>
      </c>
      <c r="J684">
        <v>403.40379999999999</v>
      </c>
      <c r="K684" s="10">
        <v>0</v>
      </c>
    </row>
    <row r="685" spans="1:11" x14ac:dyDescent="0.4">
      <c r="A685" s="25">
        <v>45131</v>
      </c>
      <c r="B685" s="11">
        <v>454.2</v>
      </c>
      <c r="C685" s="11">
        <v>432.7002</v>
      </c>
      <c r="D685" s="11">
        <v>404.68779999999998</v>
      </c>
      <c r="E685" s="10">
        <f t="shared" si="10"/>
        <v>0</v>
      </c>
      <c r="G685" s="29">
        <v>45127</v>
      </c>
      <c r="H685">
        <v>452.18</v>
      </c>
      <c r="I685">
        <v>431.04820000000001</v>
      </c>
      <c r="J685">
        <v>403.87880000000001</v>
      </c>
      <c r="K685" s="10">
        <v>0</v>
      </c>
    </row>
    <row r="686" spans="1:11" x14ac:dyDescent="0.4">
      <c r="A686" s="25">
        <v>45132</v>
      </c>
      <c r="B686" s="11">
        <v>455.44</v>
      </c>
      <c r="C686" s="11">
        <v>433.56639999999999</v>
      </c>
      <c r="D686" s="11">
        <v>405.07960000000003</v>
      </c>
      <c r="E686" s="10">
        <f t="shared" si="10"/>
        <v>0</v>
      </c>
      <c r="G686" s="29">
        <v>45128</v>
      </c>
      <c r="H686">
        <v>452.18</v>
      </c>
      <c r="I686">
        <v>431.8732</v>
      </c>
      <c r="J686">
        <v>404.3066</v>
      </c>
      <c r="K686" s="10">
        <v>0</v>
      </c>
    </row>
    <row r="687" spans="1:11" x14ac:dyDescent="0.4">
      <c r="A687" s="25">
        <v>45133</v>
      </c>
      <c r="B687" s="11">
        <v>455.51</v>
      </c>
      <c r="C687" s="11">
        <v>434.44479999999999</v>
      </c>
      <c r="D687" s="11">
        <v>405.49110000000002</v>
      </c>
      <c r="E687" s="10">
        <f t="shared" si="10"/>
        <v>0</v>
      </c>
      <c r="G687" s="29">
        <v>45131</v>
      </c>
      <c r="H687">
        <v>454.2</v>
      </c>
      <c r="I687">
        <v>432.7002</v>
      </c>
      <c r="J687">
        <v>404.68779999999998</v>
      </c>
      <c r="K687" s="10">
        <v>0</v>
      </c>
    </row>
    <row r="688" spans="1:11" x14ac:dyDescent="0.4">
      <c r="A688" s="25">
        <v>45134</v>
      </c>
      <c r="B688" s="11">
        <v>452.49</v>
      </c>
      <c r="C688" s="11">
        <v>435.23439999999999</v>
      </c>
      <c r="D688" s="11">
        <v>405.93959999999998</v>
      </c>
      <c r="E688" s="10">
        <f t="shared" si="10"/>
        <v>0</v>
      </c>
      <c r="G688" s="29">
        <v>45132</v>
      </c>
      <c r="H688">
        <v>455.44</v>
      </c>
      <c r="I688">
        <v>433.56639999999999</v>
      </c>
      <c r="J688">
        <v>405.07960000000003</v>
      </c>
      <c r="K688" s="10">
        <v>0</v>
      </c>
    </row>
    <row r="689" spans="1:11" x14ac:dyDescent="0.4">
      <c r="A689" s="25">
        <v>45135</v>
      </c>
      <c r="B689" s="11">
        <v>456.92</v>
      </c>
      <c r="C689" s="11">
        <v>436.1678</v>
      </c>
      <c r="D689" s="11">
        <v>406.42410000000001</v>
      </c>
      <c r="E689" s="10">
        <f t="shared" si="10"/>
        <v>0</v>
      </c>
      <c r="G689" s="29">
        <v>45133</v>
      </c>
      <c r="H689">
        <v>455.51</v>
      </c>
      <c r="I689">
        <v>434.44479999999999</v>
      </c>
      <c r="J689">
        <v>405.49110000000002</v>
      </c>
      <c r="K689" s="10">
        <v>0</v>
      </c>
    </row>
    <row r="690" spans="1:11" x14ac:dyDescent="0.4">
      <c r="A690" s="25">
        <v>45138</v>
      </c>
      <c r="B690" s="11">
        <v>457.79</v>
      </c>
      <c r="C690" s="11">
        <v>437.01900000000001</v>
      </c>
      <c r="D690" s="11">
        <v>406.92439999999999</v>
      </c>
      <c r="E690" s="10">
        <f t="shared" si="10"/>
        <v>0</v>
      </c>
      <c r="G690" s="29">
        <v>45134</v>
      </c>
      <c r="H690">
        <v>452.49</v>
      </c>
      <c r="I690">
        <v>435.23439999999999</v>
      </c>
      <c r="J690">
        <v>405.93959999999998</v>
      </c>
      <c r="K690" s="10">
        <v>0</v>
      </c>
    </row>
    <row r="691" spans="1:11" x14ac:dyDescent="0.4">
      <c r="A691" s="25">
        <v>45139</v>
      </c>
      <c r="B691" s="11">
        <v>456.48</v>
      </c>
      <c r="C691" s="11">
        <v>437.76400000000001</v>
      </c>
      <c r="D691" s="11">
        <v>407.42399999999998</v>
      </c>
      <c r="E691" s="10">
        <f t="shared" si="10"/>
        <v>0</v>
      </c>
      <c r="G691" s="29">
        <v>45135</v>
      </c>
      <c r="H691">
        <v>456.92</v>
      </c>
      <c r="I691">
        <v>436.1678</v>
      </c>
      <c r="J691">
        <v>406.42410000000001</v>
      </c>
      <c r="K691" s="10">
        <v>0</v>
      </c>
    </row>
    <row r="692" spans="1:11" x14ac:dyDescent="0.4">
      <c r="A692" s="25">
        <v>45140</v>
      </c>
      <c r="B692" s="11">
        <v>450.13</v>
      </c>
      <c r="C692" s="11">
        <v>438.39420000000001</v>
      </c>
      <c r="D692" s="11">
        <v>407.84480000000002</v>
      </c>
      <c r="E692" s="10">
        <f t="shared" si="10"/>
        <v>0</v>
      </c>
      <c r="G692" s="29">
        <v>45138</v>
      </c>
      <c r="H692">
        <v>457.79</v>
      </c>
      <c r="I692">
        <v>437.01900000000001</v>
      </c>
      <c r="J692">
        <v>406.92439999999999</v>
      </c>
      <c r="K692" s="10">
        <v>0</v>
      </c>
    </row>
    <row r="693" spans="1:11" x14ac:dyDescent="0.4">
      <c r="A693" s="25">
        <v>45141</v>
      </c>
      <c r="B693" s="11">
        <v>448.84</v>
      </c>
      <c r="C693" s="11">
        <v>438.99520000000001</v>
      </c>
      <c r="D693" s="11">
        <v>408.30079999999998</v>
      </c>
      <c r="E693" s="10">
        <f t="shared" si="10"/>
        <v>0</v>
      </c>
      <c r="G693" s="29">
        <v>45139</v>
      </c>
      <c r="H693">
        <v>456.48</v>
      </c>
      <c r="I693">
        <v>437.76400000000001</v>
      </c>
      <c r="J693">
        <v>407.42399999999998</v>
      </c>
      <c r="K693" s="10">
        <v>0</v>
      </c>
    </row>
    <row r="694" spans="1:11" x14ac:dyDescent="0.4">
      <c r="A694" s="25">
        <v>45142</v>
      </c>
      <c r="B694" s="11">
        <v>446.81</v>
      </c>
      <c r="C694" s="11">
        <v>439.64960000000002</v>
      </c>
      <c r="D694" s="11">
        <v>408.70080000000002</v>
      </c>
      <c r="E694" s="10">
        <f t="shared" si="10"/>
        <v>0</v>
      </c>
      <c r="G694" s="29">
        <v>45140</v>
      </c>
      <c r="H694">
        <v>450.13</v>
      </c>
      <c r="I694">
        <v>438.39420000000001</v>
      </c>
      <c r="J694">
        <v>407.84480000000002</v>
      </c>
      <c r="K694" s="10">
        <v>0</v>
      </c>
    </row>
    <row r="695" spans="1:11" x14ac:dyDescent="0.4">
      <c r="A695" s="25">
        <v>45145</v>
      </c>
      <c r="B695" s="11">
        <v>450.71</v>
      </c>
      <c r="C695" s="11">
        <v>440.44200000000001</v>
      </c>
      <c r="D695" s="11">
        <v>409.09859999999998</v>
      </c>
      <c r="E695" s="10">
        <f t="shared" si="10"/>
        <v>0</v>
      </c>
      <c r="G695" s="29">
        <v>45141</v>
      </c>
      <c r="H695">
        <v>448.84</v>
      </c>
      <c r="I695">
        <v>438.99520000000001</v>
      </c>
      <c r="J695">
        <v>408.30079999999998</v>
      </c>
      <c r="K695" s="10">
        <v>0</v>
      </c>
    </row>
    <row r="696" spans="1:11" x14ac:dyDescent="0.4">
      <c r="A696" s="25">
        <v>45146</v>
      </c>
      <c r="B696" s="11">
        <v>448.75</v>
      </c>
      <c r="C696" s="11">
        <v>441.12400000000002</v>
      </c>
      <c r="D696" s="11">
        <v>409.49990000000003</v>
      </c>
      <c r="E696" s="10">
        <f t="shared" si="10"/>
        <v>0</v>
      </c>
      <c r="G696" s="29">
        <v>45142</v>
      </c>
      <c r="H696">
        <v>446.81</v>
      </c>
      <c r="I696">
        <v>439.64960000000002</v>
      </c>
      <c r="J696">
        <v>408.70080000000002</v>
      </c>
      <c r="K696" s="10">
        <v>0</v>
      </c>
    </row>
    <row r="697" spans="1:11" x14ac:dyDescent="0.4">
      <c r="A697" s="25">
        <v>45147</v>
      </c>
      <c r="B697" s="11">
        <v>445.75</v>
      </c>
      <c r="C697" s="11">
        <v>441.6386</v>
      </c>
      <c r="D697" s="11">
        <v>409.90159999999997</v>
      </c>
      <c r="E697" s="10">
        <f t="shared" si="10"/>
        <v>0</v>
      </c>
      <c r="G697" s="29">
        <v>45145</v>
      </c>
      <c r="H697">
        <v>450.71</v>
      </c>
      <c r="I697">
        <v>440.44200000000001</v>
      </c>
      <c r="J697">
        <v>409.09859999999998</v>
      </c>
      <c r="K697" s="10">
        <v>0</v>
      </c>
    </row>
    <row r="698" spans="1:11" x14ac:dyDescent="0.4">
      <c r="A698" s="25">
        <v>45148</v>
      </c>
      <c r="B698" s="11">
        <v>445.91</v>
      </c>
      <c r="C698" s="11">
        <v>442.15320000000003</v>
      </c>
      <c r="D698" s="11">
        <v>410.25970000000001</v>
      </c>
      <c r="E698" s="10">
        <f t="shared" si="10"/>
        <v>0</v>
      </c>
      <c r="G698" s="29">
        <v>45146</v>
      </c>
      <c r="H698">
        <v>448.75</v>
      </c>
      <c r="I698">
        <v>441.12400000000002</v>
      </c>
      <c r="J698">
        <v>409.49990000000003</v>
      </c>
      <c r="K698" s="10">
        <v>0</v>
      </c>
    </row>
    <row r="699" spans="1:11" x14ac:dyDescent="0.4">
      <c r="A699" s="25">
        <v>45149</v>
      </c>
      <c r="B699" s="11">
        <v>445.65</v>
      </c>
      <c r="C699" s="11">
        <v>442.70920000000001</v>
      </c>
      <c r="D699" s="11">
        <v>410.59359999999998</v>
      </c>
      <c r="E699" s="10">
        <f t="shared" si="10"/>
        <v>0</v>
      </c>
      <c r="G699" s="29">
        <v>45147</v>
      </c>
      <c r="H699">
        <v>445.75</v>
      </c>
      <c r="I699">
        <v>441.6386</v>
      </c>
      <c r="J699">
        <v>409.90159999999997</v>
      </c>
      <c r="K699" s="10">
        <v>0</v>
      </c>
    </row>
    <row r="700" spans="1:11" x14ac:dyDescent="0.4">
      <c r="A700" s="25">
        <v>45152</v>
      </c>
      <c r="B700" s="11">
        <v>448.11</v>
      </c>
      <c r="C700" s="11">
        <v>443.23500000000001</v>
      </c>
      <c r="D700" s="11">
        <v>410.90960000000001</v>
      </c>
      <c r="E700" s="10">
        <f t="shared" si="10"/>
        <v>0</v>
      </c>
      <c r="G700" s="29">
        <v>45148</v>
      </c>
      <c r="H700">
        <v>445.91</v>
      </c>
      <c r="I700">
        <v>442.15320000000003</v>
      </c>
      <c r="J700">
        <v>410.25970000000001</v>
      </c>
      <c r="K700" s="10">
        <v>0</v>
      </c>
    </row>
    <row r="701" spans="1:11" x14ac:dyDescent="0.4">
      <c r="A701" s="25">
        <v>45153</v>
      </c>
      <c r="B701" s="11">
        <v>442.89</v>
      </c>
      <c r="C701" s="11">
        <v>443.53440000000001</v>
      </c>
      <c r="D701" s="11">
        <v>411.21390000000002</v>
      </c>
      <c r="E701" s="10">
        <f t="shared" si="10"/>
        <v>0</v>
      </c>
      <c r="G701" s="29">
        <v>45149</v>
      </c>
      <c r="H701">
        <v>445.65</v>
      </c>
      <c r="I701">
        <v>442.70920000000001</v>
      </c>
      <c r="J701">
        <v>410.59359999999998</v>
      </c>
      <c r="K701" s="10">
        <v>0</v>
      </c>
    </row>
    <row r="702" spans="1:11" x14ac:dyDescent="0.4">
      <c r="A702" s="25">
        <v>45154</v>
      </c>
      <c r="B702" s="11">
        <v>439.64</v>
      </c>
      <c r="C702" s="11">
        <v>443.78519999999997</v>
      </c>
      <c r="D702" s="11">
        <v>411.51220000000001</v>
      </c>
      <c r="E702" s="10">
        <f t="shared" si="10"/>
        <v>0</v>
      </c>
      <c r="G702" s="29">
        <v>45152</v>
      </c>
      <c r="H702">
        <v>448.11</v>
      </c>
      <c r="I702">
        <v>443.23500000000001</v>
      </c>
      <c r="J702">
        <v>410.90960000000001</v>
      </c>
      <c r="K702" s="10">
        <v>0</v>
      </c>
    </row>
    <row r="703" spans="1:11" x14ac:dyDescent="0.4">
      <c r="A703" s="25">
        <v>45155</v>
      </c>
      <c r="B703" s="11">
        <v>436.29</v>
      </c>
      <c r="C703" s="11">
        <v>443.9504</v>
      </c>
      <c r="D703" s="11">
        <v>411.74860000000001</v>
      </c>
      <c r="E703" s="10">
        <f t="shared" si="10"/>
        <v>0</v>
      </c>
      <c r="G703" s="29">
        <v>45153</v>
      </c>
      <c r="H703">
        <v>442.89</v>
      </c>
      <c r="I703">
        <v>443.53440000000001</v>
      </c>
      <c r="J703">
        <v>411.21390000000002</v>
      </c>
      <c r="K703" s="10">
        <v>0</v>
      </c>
    </row>
    <row r="704" spans="1:11" x14ac:dyDescent="0.4">
      <c r="A704" s="25">
        <v>45156</v>
      </c>
      <c r="B704" s="11">
        <v>436.5</v>
      </c>
      <c r="C704" s="11">
        <v>444.14940000000001</v>
      </c>
      <c r="D704" s="11">
        <v>412</v>
      </c>
      <c r="E704" s="10">
        <f t="shared" si="10"/>
        <v>0</v>
      </c>
      <c r="G704" s="29">
        <v>45154</v>
      </c>
      <c r="H704">
        <v>439.64</v>
      </c>
      <c r="I704">
        <v>443.78519999999997</v>
      </c>
      <c r="J704">
        <v>411.51220000000001</v>
      </c>
      <c r="K704" s="10">
        <v>0</v>
      </c>
    </row>
    <row r="705" spans="1:11" x14ac:dyDescent="0.4">
      <c r="A705" s="25">
        <v>45159</v>
      </c>
      <c r="B705" s="11">
        <v>439.34</v>
      </c>
      <c r="C705" s="11">
        <v>444.35359999999997</v>
      </c>
      <c r="D705" s="11">
        <v>412.27409999999998</v>
      </c>
      <c r="E705" s="10">
        <f t="shared" si="10"/>
        <v>0</v>
      </c>
      <c r="G705" s="29">
        <v>45155</v>
      </c>
      <c r="H705">
        <v>436.29</v>
      </c>
      <c r="I705">
        <v>443.9504</v>
      </c>
      <c r="J705">
        <v>411.74860000000001</v>
      </c>
      <c r="K705" s="10">
        <v>0</v>
      </c>
    </row>
    <row r="706" spans="1:11" x14ac:dyDescent="0.4">
      <c r="A706" s="25">
        <v>45160</v>
      </c>
      <c r="B706" s="11">
        <v>438.15</v>
      </c>
      <c r="C706" s="11">
        <v>444.51859999999999</v>
      </c>
      <c r="D706" s="11">
        <v>412.59050000000002</v>
      </c>
      <c r="E706" s="10">
        <f t="shared" si="10"/>
        <v>0</v>
      </c>
      <c r="G706" s="29">
        <v>45156</v>
      </c>
      <c r="H706">
        <v>436.5</v>
      </c>
      <c r="I706">
        <v>444.14940000000001</v>
      </c>
      <c r="J706">
        <v>412</v>
      </c>
      <c r="K706" s="10">
        <v>0</v>
      </c>
    </row>
    <row r="707" spans="1:11" x14ac:dyDescent="0.4">
      <c r="A707" s="25">
        <v>45161</v>
      </c>
      <c r="B707" s="11">
        <v>443.03</v>
      </c>
      <c r="C707" s="11">
        <v>444.70319999999998</v>
      </c>
      <c r="D707" s="11">
        <v>412.95060000000001</v>
      </c>
      <c r="E707" s="10">
        <f t="shared" ref="E707:E770" si="11">IF(AND(C707&gt;D707, C706&lt;D706), 1, 0)</f>
        <v>0</v>
      </c>
      <c r="G707" s="29">
        <v>45159</v>
      </c>
      <c r="H707">
        <v>439.34</v>
      </c>
      <c r="I707">
        <v>444.35359999999997</v>
      </c>
      <c r="J707">
        <v>412.27409999999998</v>
      </c>
      <c r="K707" s="10">
        <v>0</v>
      </c>
    </row>
    <row r="708" spans="1:11" x14ac:dyDescent="0.4">
      <c r="A708" s="25">
        <v>45162</v>
      </c>
      <c r="B708" s="11">
        <v>436.89</v>
      </c>
      <c r="C708" s="11">
        <v>444.70780000000002</v>
      </c>
      <c r="D708" s="11">
        <v>413.25330000000002</v>
      </c>
      <c r="E708" s="10">
        <f t="shared" si="11"/>
        <v>0</v>
      </c>
      <c r="G708" s="29">
        <v>45160</v>
      </c>
      <c r="H708">
        <v>438.15</v>
      </c>
      <c r="I708">
        <v>444.51859999999999</v>
      </c>
      <c r="J708">
        <v>412.59050000000002</v>
      </c>
      <c r="K708" s="10">
        <v>0</v>
      </c>
    </row>
    <row r="709" spans="1:11" x14ac:dyDescent="0.4">
      <c r="A709" s="25">
        <v>45163</v>
      </c>
      <c r="B709" s="11">
        <v>439.97</v>
      </c>
      <c r="C709" s="11">
        <v>444.7636</v>
      </c>
      <c r="D709" s="11">
        <v>413.55340000000001</v>
      </c>
      <c r="E709" s="10">
        <f t="shared" si="11"/>
        <v>0</v>
      </c>
      <c r="G709" s="29">
        <v>45161</v>
      </c>
      <c r="H709">
        <v>443.03</v>
      </c>
      <c r="I709">
        <v>444.70319999999998</v>
      </c>
      <c r="J709">
        <v>412.95060000000001</v>
      </c>
      <c r="K709" s="10">
        <v>0</v>
      </c>
    </row>
    <row r="710" spans="1:11" x14ac:dyDescent="0.4">
      <c r="A710" s="25">
        <v>45166</v>
      </c>
      <c r="B710" s="11">
        <v>442.76</v>
      </c>
      <c r="C710" s="11">
        <v>444.76679999999999</v>
      </c>
      <c r="D710" s="11">
        <v>413.85719999999998</v>
      </c>
      <c r="E710" s="10">
        <f t="shared" si="11"/>
        <v>0</v>
      </c>
      <c r="G710" s="29">
        <v>45162</v>
      </c>
      <c r="H710">
        <v>436.89</v>
      </c>
      <c r="I710">
        <v>444.70780000000002</v>
      </c>
      <c r="J710">
        <v>413.25330000000002</v>
      </c>
      <c r="K710" s="10">
        <v>0</v>
      </c>
    </row>
    <row r="711" spans="1:11" x14ac:dyDescent="0.4">
      <c r="A711" s="25">
        <v>45167</v>
      </c>
      <c r="B711" s="11">
        <v>449.16</v>
      </c>
      <c r="C711" s="11">
        <v>444.96080000000001</v>
      </c>
      <c r="D711" s="11">
        <v>414.23239999999998</v>
      </c>
      <c r="E711" s="10">
        <f t="shared" si="11"/>
        <v>0</v>
      </c>
      <c r="G711" s="29">
        <v>45163</v>
      </c>
      <c r="H711">
        <v>439.97</v>
      </c>
      <c r="I711">
        <v>444.7636</v>
      </c>
      <c r="J711">
        <v>413.55340000000001</v>
      </c>
      <c r="K711" s="10">
        <v>0</v>
      </c>
    </row>
    <row r="712" spans="1:11" x14ac:dyDescent="0.4">
      <c r="A712" s="25">
        <v>45168</v>
      </c>
      <c r="B712" s="11">
        <v>451.01</v>
      </c>
      <c r="C712" s="11">
        <v>445.23739999999998</v>
      </c>
      <c r="D712" s="11">
        <v>414.51400000000001</v>
      </c>
      <c r="E712" s="10">
        <f t="shared" si="11"/>
        <v>0</v>
      </c>
      <c r="G712" s="29">
        <v>45166</v>
      </c>
      <c r="H712">
        <v>442.76</v>
      </c>
      <c r="I712">
        <v>444.76679999999999</v>
      </c>
      <c r="J712">
        <v>413.85719999999998</v>
      </c>
      <c r="K712" s="10">
        <v>0</v>
      </c>
    </row>
    <row r="713" spans="1:11" x14ac:dyDescent="0.4">
      <c r="A713" s="25">
        <v>45169</v>
      </c>
      <c r="B713" s="11">
        <v>450.35</v>
      </c>
      <c r="C713" s="11">
        <v>445.54559999999998</v>
      </c>
      <c r="D713" s="11">
        <v>414.77319999999997</v>
      </c>
      <c r="E713" s="10">
        <f t="shared" si="11"/>
        <v>0</v>
      </c>
      <c r="G713" s="29">
        <v>45167</v>
      </c>
      <c r="H713">
        <v>449.16</v>
      </c>
      <c r="I713">
        <v>444.96080000000001</v>
      </c>
      <c r="J713">
        <v>414.23239999999998</v>
      </c>
      <c r="K713" s="10">
        <v>0</v>
      </c>
    </row>
    <row r="714" spans="1:11" x14ac:dyDescent="0.4">
      <c r="A714" s="25">
        <v>45170</v>
      </c>
      <c r="B714" s="11">
        <v>451.19</v>
      </c>
      <c r="C714" s="11">
        <v>445.83920000000001</v>
      </c>
      <c r="D714" s="11">
        <v>415.05349999999999</v>
      </c>
      <c r="E714" s="10">
        <f t="shared" si="11"/>
        <v>0</v>
      </c>
      <c r="G714" s="29">
        <v>45168</v>
      </c>
      <c r="H714">
        <v>451.01</v>
      </c>
      <c r="I714">
        <v>445.23739999999998</v>
      </c>
      <c r="J714">
        <v>414.51400000000001</v>
      </c>
      <c r="K714" s="10">
        <v>0</v>
      </c>
    </row>
    <row r="715" spans="1:11" x14ac:dyDescent="0.4">
      <c r="A715" s="25">
        <v>45174</v>
      </c>
      <c r="B715" s="11">
        <v>449.24</v>
      </c>
      <c r="C715" s="11">
        <v>446.15980000000002</v>
      </c>
      <c r="D715" s="11">
        <v>415.30720000000002</v>
      </c>
      <c r="E715" s="10">
        <f t="shared" si="11"/>
        <v>0</v>
      </c>
      <c r="G715" s="29">
        <v>45169</v>
      </c>
      <c r="H715">
        <v>450.35</v>
      </c>
      <c r="I715">
        <v>445.54559999999998</v>
      </c>
      <c r="J715">
        <v>414.77319999999997</v>
      </c>
      <c r="K715" s="10">
        <v>0</v>
      </c>
    </row>
    <row r="716" spans="1:11" x14ac:dyDescent="0.4">
      <c r="A716" s="25">
        <v>45175</v>
      </c>
      <c r="B716" s="11">
        <v>446.22</v>
      </c>
      <c r="C716" s="11">
        <v>446.4554</v>
      </c>
      <c r="D716" s="11">
        <v>415.56110000000001</v>
      </c>
      <c r="E716" s="10">
        <f t="shared" si="11"/>
        <v>0</v>
      </c>
      <c r="G716" s="29">
        <v>45170</v>
      </c>
      <c r="H716">
        <v>451.19</v>
      </c>
      <c r="I716">
        <v>445.83920000000001</v>
      </c>
      <c r="J716">
        <v>415.05349999999999</v>
      </c>
      <c r="K716" s="10">
        <v>0</v>
      </c>
    </row>
    <row r="717" spans="1:11" x14ac:dyDescent="0.4">
      <c r="A717" s="25">
        <v>45176</v>
      </c>
      <c r="B717" s="11">
        <v>444.85</v>
      </c>
      <c r="C717" s="11">
        <v>446.62900000000002</v>
      </c>
      <c r="D717" s="11">
        <v>415.81420000000003</v>
      </c>
      <c r="E717" s="10">
        <f t="shared" si="11"/>
        <v>0</v>
      </c>
      <c r="G717" s="29">
        <v>45174</v>
      </c>
      <c r="H717">
        <v>449.24</v>
      </c>
      <c r="I717">
        <v>446.15980000000002</v>
      </c>
      <c r="J717">
        <v>415.30720000000002</v>
      </c>
      <c r="K717" s="10">
        <v>0</v>
      </c>
    </row>
    <row r="718" spans="1:11" x14ac:dyDescent="0.4">
      <c r="A718" s="25">
        <v>45177</v>
      </c>
      <c r="B718" s="11">
        <v>445.52</v>
      </c>
      <c r="C718" s="11">
        <v>446.8116</v>
      </c>
      <c r="D718" s="11">
        <v>416.0616</v>
      </c>
      <c r="E718" s="10">
        <f t="shared" si="11"/>
        <v>0</v>
      </c>
      <c r="G718" s="29">
        <v>45175</v>
      </c>
      <c r="H718">
        <v>446.22</v>
      </c>
      <c r="I718">
        <v>446.4554</v>
      </c>
      <c r="J718">
        <v>415.56110000000001</v>
      </c>
      <c r="K718" s="10">
        <v>0</v>
      </c>
    </row>
    <row r="719" spans="1:11" x14ac:dyDescent="0.4">
      <c r="A719" s="25">
        <v>45180</v>
      </c>
      <c r="B719" s="11">
        <v>448.45</v>
      </c>
      <c r="C719" s="11">
        <v>447.01839999999999</v>
      </c>
      <c r="D719" s="11">
        <v>416.33089999999999</v>
      </c>
      <c r="E719" s="10">
        <f t="shared" si="11"/>
        <v>0</v>
      </c>
      <c r="G719" s="29">
        <v>45176</v>
      </c>
      <c r="H719">
        <v>444.85</v>
      </c>
      <c r="I719">
        <v>446.62900000000002</v>
      </c>
      <c r="J719">
        <v>415.81420000000003</v>
      </c>
      <c r="K719" s="10">
        <v>0</v>
      </c>
    </row>
    <row r="720" spans="1:11" x14ac:dyDescent="0.4">
      <c r="A720" s="25">
        <v>45181</v>
      </c>
      <c r="B720" s="11">
        <v>445.99</v>
      </c>
      <c r="C720" s="11">
        <v>447.07260000000002</v>
      </c>
      <c r="D720" s="11">
        <v>416.56139999999999</v>
      </c>
      <c r="E720" s="10">
        <f t="shared" si="11"/>
        <v>0</v>
      </c>
      <c r="G720" s="29">
        <v>45177</v>
      </c>
      <c r="H720">
        <v>445.52</v>
      </c>
      <c r="I720">
        <v>446.8116</v>
      </c>
      <c r="J720">
        <v>416.0616</v>
      </c>
      <c r="K720" s="10">
        <v>0</v>
      </c>
    </row>
    <row r="721" spans="1:11" x14ac:dyDescent="0.4">
      <c r="A721" s="25">
        <v>45182</v>
      </c>
      <c r="B721" s="11">
        <v>446.51</v>
      </c>
      <c r="C721" s="11">
        <v>447.12700000000001</v>
      </c>
      <c r="D721" s="11">
        <v>416.78179999999998</v>
      </c>
      <c r="E721" s="10">
        <f t="shared" si="11"/>
        <v>0</v>
      </c>
      <c r="G721" s="29">
        <v>45180</v>
      </c>
      <c r="H721">
        <v>448.45</v>
      </c>
      <c r="I721">
        <v>447.01839999999999</v>
      </c>
      <c r="J721">
        <v>416.33089999999999</v>
      </c>
      <c r="K721" s="10">
        <v>0</v>
      </c>
    </row>
    <row r="722" spans="1:11" x14ac:dyDescent="0.4">
      <c r="A722" s="25">
        <v>45183</v>
      </c>
      <c r="B722" s="11">
        <v>450.36</v>
      </c>
      <c r="C722" s="11">
        <v>447.27159999999998</v>
      </c>
      <c r="D722" s="11">
        <v>417.02199999999999</v>
      </c>
      <c r="E722" s="10">
        <f t="shared" si="11"/>
        <v>0</v>
      </c>
      <c r="G722" s="29">
        <v>45181</v>
      </c>
      <c r="H722">
        <v>445.99</v>
      </c>
      <c r="I722">
        <v>447.07260000000002</v>
      </c>
      <c r="J722">
        <v>416.56139999999999</v>
      </c>
      <c r="K722" s="10">
        <v>0</v>
      </c>
    </row>
    <row r="723" spans="1:11" x14ac:dyDescent="0.4">
      <c r="A723" s="25">
        <v>45184</v>
      </c>
      <c r="B723" s="11">
        <v>443.37</v>
      </c>
      <c r="C723" s="11">
        <v>447.3458</v>
      </c>
      <c r="D723" s="11">
        <v>417.25920000000002</v>
      </c>
      <c r="E723" s="10">
        <f t="shared" si="11"/>
        <v>0</v>
      </c>
      <c r="G723" s="29">
        <v>45182</v>
      </c>
      <c r="H723">
        <v>446.51</v>
      </c>
      <c r="I723">
        <v>447.12700000000001</v>
      </c>
      <c r="J723">
        <v>416.78179999999998</v>
      </c>
      <c r="K723" s="10">
        <v>0</v>
      </c>
    </row>
    <row r="724" spans="1:11" x14ac:dyDescent="0.4">
      <c r="A724" s="25">
        <v>45187</v>
      </c>
      <c r="B724" s="11">
        <v>443.63</v>
      </c>
      <c r="C724" s="11">
        <v>447.44740000000002</v>
      </c>
      <c r="D724" s="11">
        <v>417.50119999999998</v>
      </c>
      <c r="E724" s="10">
        <f t="shared" si="11"/>
        <v>0</v>
      </c>
      <c r="G724" s="29">
        <v>45183</v>
      </c>
      <c r="H724">
        <v>450.36</v>
      </c>
      <c r="I724">
        <v>447.27159999999998</v>
      </c>
      <c r="J724">
        <v>417.02199999999999</v>
      </c>
      <c r="K724" s="10">
        <v>0</v>
      </c>
    </row>
    <row r="725" spans="1:11" x14ac:dyDescent="0.4">
      <c r="A725" s="25">
        <v>45188</v>
      </c>
      <c r="B725" s="11">
        <v>442.71</v>
      </c>
      <c r="C725" s="11">
        <v>447.50839999999999</v>
      </c>
      <c r="D725" s="11">
        <v>417.6764</v>
      </c>
      <c r="E725" s="10">
        <f t="shared" si="11"/>
        <v>0</v>
      </c>
      <c r="G725" s="29">
        <v>45184</v>
      </c>
      <c r="H725">
        <v>443.37</v>
      </c>
      <c r="I725">
        <v>447.3458</v>
      </c>
      <c r="J725">
        <v>417.25920000000002</v>
      </c>
      <c r="K725" s="10">
        <v>0</v>
      </c>
    </row>
    <row r="726" spans="1:11" x14ac:dyDescent="0.4">
      <c r="A726" s="25">
        <v>45189</v>
      </c>
      <c r="B726" s="11">
        <v>438.64</v>
      </c>
      <c r="C726" s="11">
        <v>447.43200000000002</v>
      </c>
      <c r="D726" s="11">
        <v>417.83269999999999</v>
      </c>
      <c r="E726" s="10">
        <f t="shared" si="11"/>
        <v>0</v>
      </c>
      <c r="G726" s="29">
        <v>45187</v>
      </c>
      <c r="H726">
        <v>443.63</v>
      </c>
      <c r="I726">
        <v>447.44740000000002</v>
      </c>
      <c r="J726">
        <v>417.50119999999998</v>
      </c>
      <c r="K726" s="10">
        <v>0</v>
      </c>
    </row>
    <row r="727" spans="1:11" x14ac:dyDescent="0.4">
      <c r="A727" s="25">
        <v>45190</v>
      </c>
      <c r="B727" s="11">
        <v>431.39</v>
      </c>
      <c r="C727" s="11">
        <v>447.13940000000002</v>
      </c>
      <c r="D727" s="11">
        <v>417.95510000000002</v>
      </c>
      <c r="E727" s="10">
        <f t="shared" si="11"/>
        <v>0</v>
      </c>
      <c r="G727" s="29">
        <v>45188</v>
      </c>
      <c r="H727">
        <v>442.71</v>
      </c>
      <c r="I727">
        <v>447.50839999999999</v>
      </c>
      <c r="J727">
        <v>417.6764</v>
      </c>
      <c r="K727" s="10">
        <v>0</v>
      </c>
    </row>
    <row r="728" spans="1:11" x14ac:dyDescent="0.4">
      <c r="A728" s="25">
        <v>45191</v>
      </c>
      <c r="B728" s="11">
        <v>430.42</v>
      </c>
      <c r="C728" s="11">
        <v>446.75659999999999</v>
      </c>
      <c r="D728" s="11">
        <v>418.10919999999999</v>
      </c>
      <c r="E728" s="10">
        <f t="shared" si="11"/>
        <v>0</v>
      </c>
      <c r="G728" s="29">
        <v>45189</v>
      </c>
      <c r="H728">
        <v>438.64</v>
      </c>
      <c r="I728">
        <v>447.43200000000002</v>
      </c>
      <c r="J728">
        <v>417.83269999999999</v>
      </c>
      <c r="K728" s="10">
        <v>0</v>
      </c>
    </row>
    <row r="729" spans="1:11" x14ac:dyDescent="0.4">
      <c r="A729" s="25">
        <v>45194</v>
      </c>
      <c r="B729" s="11">
        <v>432.23</v>
      </c>
      <c r="C729" s="11">
        <v>446.41559999999998</v>
      </c>
      <c r="D729" s="11">
        <v>418.30119999999999</v>
      </c>
      <c r="E729" s="10">
        <f t="shared" si="11"/>
        <v>0</v>
      </c>
      <c r="G729" s="29">
        <v>45190</v>
      </c>
      <c r="H729">
        <v>431.39</v>
      </c>
      <c r="I729">
        <v>447.13940000000002</v>
      </c>
      <c r="J729">
        <v>417.95510000000002</v>
      </c>
      <c r="K729" s="10">
        <v>0</v>
      </c>
    </row>
    <row r="730" spans="1:11" x14ac:dyDescent="0.4">
      <c r="A730" s="25">
        <v>45195</v>
      </c>
      <c r="B730" s="11">
        <v>425.88</v>
      </c>
      <c r="C730" s="11">
        <v>445.91640000000001</v>
      </c>
      <c r="D730" s="11">
        <v>418.46480000000003</v>
      </c>
      <c r="E730" s="10">
        <f t="shared" si="11"/>
        <v>0</v>
      </c>
      <c r="G730" s="29">
        <v>45191</v>
      </c>
      <c r="H730">
        <v>430.42</v>
      </c>
      <c r="I730">
        <v>446.75659999999999</v>
      </c>
      <c r="J730">
        <v>418.10919999999999</v>
      </c>
      <c r="K730" s="10">
        <v>0</v>
      </c>
    </row>
    <row r="731" spans="1:11" x14ac:dyDescent="0.4">
      <c r="A731" s="25">
        <v>45196</v>
      </c>
      <c r="B731" s="11">
        <v>426.05</v>
      </c>
      <c r="C731" s="11">
        <v>445.35359999999997</v>
      </c>
      <c r="D731" s="11">
        <v>418.6139</v>
      </c>
      <c r="E731" s="10">
        <f t="shared" si="11"/>
        <v>0</v>
      </c>
      <c r="G731" s="29">
        <v>45194</v>
      </c>
      <c r="H731">
        <v>432.23</v>
      </c>
      <c r="I731">
        <v>446.41559999999998</v>
      </c>
      <c r="J731">
        <v>418.30119999999999</v>
      </c>
      <c r="K731" s="10">
        <v>0</v>
      </c>
    </row>
    <row r="732" spans="1:11" x14ac:dyDescent="0.4">
      <c r="A732" s="25">
        <v>45197</v>
      </c>
      <c r="B732" s="11">
        <v>428.52</v>
      </c>
      <c r="C732" s="11">
        <v>444.82</v>
      </c>
      <c r="D732" s="11">
        <v>418.7901</v>
      </c>
      <c r="E732" s="10">
        <f t="shared" si="11"/>
        <v>0</v>
      </c>
      <c r="G732" s="29">
        <v>45195</v>
      </c>
      <c r="H732">
        <v>425.88</v>
      </c>
      <c r="I732">
        <v>445.91640000000001</v>
      </c>
      <c r="J732">
        <v>418.46480000000003</v>
      </c>
      <c r="K732" s="10">
        <v>0</v>
      </c>
    </row>
    <row r="733" spans="1:11" x14ac:dyDescent="0.4">
      <c r="A733" s="25">
        <v>45198</v>
      </c>
      <c r="B733" s="11">
        <v>427.48</v>
      </c>
      <c r="C733" s="11">
        <v>444.32600000000002</v>
      </c>
      <c r="D733" s="11">
        <v>418.93279999999999</v>
      </c>
      <c r="E733" s="10">
        <f t="shared" si="11"/>
        <v>0</v>
      </c>
      <c r="G733" s="29">
        <v>45196</v>
      </c>
      <c r="H733">
        <v>426.05</v>
      </c>
      <c r="I733">
        <v>445.35359999999997</v>
      </c>
      <c r="J733">
        <v>418.6139</v>
      </c>
      <c r="K733" s="10">
        <v>0</v>
      </c>
    </row>
    <row r="734" spans="1:11" x14ac:dyDescent="0.4">
      <c r="A734" s="25">
        <v>45201</v>
      </c>
      <c r="B734" s="11">
        <v>427.31</v>
      </c>
      <c r="C734" s="11">
        <v>443.82859999999999</v>
      </c>
      <c r="D734" s="11">
        <v>419.05939999999998</v>
      </c>
      <c r="E734" s="10">
        <f t="shared" si="11"/>
        <v>0</v>
      </c>
      <c r="G734" s="29">
        <v>45197</v>
      </c>
      <c r="H734">
        <v>428.52</v>
      </c>
      <c r="I734">
        <v>444.82</v>
      </c>
      <c r="J734">
        <v>418.7901</v>
      </c>
      <c r="K734" s="10">
        <v>0</v>
      </c>
    </row>
    <row r="735" spans="1:11" x14ac:dyDescent="0.4">
      <c r="A735" s="25">
        <v>45202</v>
      </c>
      <c r="B735" s="11">
        <v>421.59</v>
      </c>
      <c r="C735" s="11">
        <v>443.1764</v>
      </c>
      <c r="D735" s="11">
        <v>419.17039999999997</v>
      </c>
      <c r="E735" s="10">
        <f t="shared" si="11"/>
        <v>0</v>
      </c>
      <c r="G735" s="29">
        <v>45198</v>
      </c>
      <c r="H735">
        <v>427.48</v>
      </c>
      <c r="I735">
        <v>444.32600000000002</v>
      </c>
      <c r="J735">
        <v>418.93279999999999</v>
      </c>
      <c r="K735" s="10">
        <v>0</v>
      </c>
    </row>
    <row r="736" spans="1:11" x14ac:dyDescent="0.4">
      <c r="A736" s="25">
        <v>45203</v>
      </c>
      <c r="B736" s="11">
        <v>424.66</v>
      </c>
      <c r="C736" s="11">
        <v>442.56079999999997</v>
      </c>
      <c r="D736" s="11">
        <v>419.34559999999999</v>
      </c>
      <c r="E736" s="10">
        <f t="shared" si="11"/>
        <v>0</v>
      </c>
      <c r="G736" s="29">
        <v>45201</v>
      </c>
      <c r="H736">
        <v>427.31</v>
      </c>
      <c r="I736">
        <v>443.82859999999999</v>
      </c>
      <c r="J736">
        <v>419.05939999999998</v>
      </c>
      <c r="K736" s="10">
        <v>0</v>
      </c>
    </row>
    <row r="737" spans="1:11" x14ac:dyDescent="0.4">
      <c r="A737" s="25">
        <v>45204</v>
      </c>
      <c r="B737" s="11">
        <v>424.5</v>
      </c>
      <c r="C737" s="11">
        <v>441.94060000000002</v>
      </c>
      <c r="D737" s="11">
        <v>419.55169999999998</v>
      </c>
      <c r="E737" s="10">
        <f t="shared" si="11"/>
        <v>0</v>
      </c>
      <c r="G737" s="29">
        <v>45202</v>
      </c>
      <c r="H737">
        <v>421.59</v>
      </c>
      <c r="I737">
        <v>443.1764</v>
      </c>
      <c r="J737">
        <v>419.17039999999997</v>
      </c>
      <c r="K737" s="10">
        <v>0</v>
      </c>
    </row>
    <row r="738" spans="1:11" x14ac:dyDescent="0.4">
      <c r="A738" s="25">
        <v>45205</v>
      </c>
      <c r="B738" s="11">
        <v>429.54</v>
      </c>
      <c r="C738" s="11">
        <v>441.48160000000001</v>
      </c>
      <c r="D738" s="11">
        <v>419.79930000000002</v>
      </c>
      <c r="E738" s="10">
        <f t="shared" si="11"/>
        <v>0</v>
      </c>
      <c r="G738" s="29">
        <v>45203</v>
      </c>
      <c r="H738">
        <v>424.66</v>
      </c>
      <c r="I738">
        <v>442.56079999999997</v>
      </c>
      <c r="J738">
        <v>419.34559999999999</v>
      </c>
      <c r="K738" s="10">
        <v>0</v>
      </c>
    </row>
    <row r="739" spans="1:11" x14ac:dyDescent="0.4">
      <c r="A739" s="25">
        <v>45208</v>
      </c>
      <c r="B739" s="11">
        <v>432.29</v>
      </c>
      <c r="C739" s="11">
        <v>440.98899999999998</v>
      </c>
      <c r="D739" s="11">
        <v>420.05799999999999</v>
      </c>
      <c r="E739" s="10">
        <f t="shared" si="11"/>
        <v>0</v>
      </c>
      <c r="G739" s="29">
        <v>45204</v>
      </c>
      <c r="H739">
        <v>424.5</v>
      </c>
      <c r="I739">
        <v>441.94060000000002</v>
      </c>
      <c r="J739">
        <v>419.55169999999998</v>
      </c>
      <c r="K739" s="10">
        <v>0</v>
      </c>
    </row>
    <row r="740" spans="1:11" x14ac:dyDescent="0.4">
      <c r="A740" s="25">
        <v>45209</v>
      </c>
      <c r="B740" s="11">
        <v>434.54</v>
      </c>
      <c r="C740" s="11">
        <v>440.524</v>
      </c>
      <c r="D740" s="11">
        <v>420.2996</v>
      </c>
      <c r="E740" s="10">
        <f t="shared" si="11"/>
        <v>0</v>
      </c>
      <c r="G740" s="29">
        <v>45205</v>
      </c>
      <c r="H740">
        <v>429.54</v>
      </c>
      <c r="I740">
        <v>441.48160000000001</v>
      </c>
      <c r="J740">
        <v>419.79930000000002</v>
      </c>
      <c r="K740" s="10">
        <v>0</v>
      </c>
    </row>
    <row r="741" spans="1:11" x14ac:dyDescent="0.4">
      <c r="A741" s="25">
        <v>45210</v>
      </c>
      <c r="B741" s="11">
        <v>436.32</v>
      </c>
      <c r="C741" s="11">
        <v>440.12079999999997</v>
      </c>
      <c r="D741" s="11">
        <v>420.57760000000002</v>
      </c>
      <c r="E741" s="10">
        <f t="shared" si="11"/>
        <v>0</v>
      </c>
      <c r="G741" s="29">
        <v>45208</v>
      </c>
      <c r="H741">
        <v>432.29</v>
      </c>
      <c r="I741">
        <v>440.98899999999998</v>
      </c>
      <c r="J741">
        <v>420.05799999999999</v>
      </c>
      <c r="K741" s="10">
        <v>0</v>
      </c>
    </row>
    <row r="742" spans="1:11" x14ac:dyDescent="0.4">
      <c r="A742" s="25">
        <v>45211</v>
      </c>
      <c r="B742" s="11">
        <v>433.66</v>
      </c>
      <c r="C742" s="11">
        <v>439.79140000000001</v>
      </c>
      <c r="D742" s="11">
        <v>420.83139999999997</v>
      </c>
      <c r="E742" s="10">
        <f t="shared" si="11"/>
        <v>0</v>
      </c>
      <c r="G742" s="29">
        <v>45209</v>
      </c>
      <c r="H742">
        <v>434.54</v>
      </c>
      <c r="I742">
        <v>440.524</v>
      </c>
      <c r="J742">
        <v>420.2996</v>
      </c>
      <c r="K742" s="10">
        <v>0</v>
      </c>
    </row>
    <row r="743" spans="1:11" x14ac:dyDescent="0.4">
      <c r="A743" s="25">
        <v>45212</v>
      </c>
      <c r="B743" s="11">
        <v>431.5</v>
      </c>
      <c r="C743" s="11">
        <v>439.44459999999998</v>
      </c>
      <c r="D743" s="11">
        <v>421.08179999999999</v>
      </c>
      <c r="E743" s="10">
        <f t="shared" si="11"/>
        <v>0</v>
      </c>
      <c r="G743" s="29">
        <v>45210</v>
      </c>
      <c r="H743">
        <v>436.32</v>
      </c>
      <c r="I743">
        <v>440.12079999999997</v>
      </c>
      <c r="J743">
        <v>420.57760000000002</v>
      </c>
      <c r="K743" s="10">
        <v>0</v>
      </c>
    </row>
    <row r="744" spans="1:11" x14ac:dyDescent="0.4">
      <c r="A744" s="25">
        <v>45215</v>
      </c>
      <c r="B744" s="11">
        <v>436.04</v>
      </c>
      <c r="C744" s="11">
        <v>439.22919999999999</v>
      </c>
      <c r="D744" s="11">
        <v>421.37880000000001</v>
      </c>
      <c r="E744" s="10">
        <f t="shared" si="11"/>
        <v>0</v>
      </c>
      <c r="G744" s="29">
        <v>45211</v>
      </c>
      <c r="H744">
        <v>433.66</v>
      </c>
      <c r="I744">
        <v>439.79140000000001</v>
      </c>
      <c r="J744">
        <v>420.83139999999997</v>
      </c>
      <c r="K744" s="10">
        <v>0</v>
      </c>
    </row>
    <row r="745" spans="1:11" x14ac:dyDescent="0.4">
      <c r="A745" s="25">
        <v>45216</v>
      </c>
      <c r="B745" s="11">
        <v>436.02</v>
      </c>
      <c r="C745" s="11">
        <v>438.93540000000002</v>
      </c>
      <c r="D745" s="11">
        <v>421.64159999999998</v>
      </c>
      <c r="E745" s="10">
        <f t="shared" si="11"/>
        <v>0</v>
      </c>
      <c r="G745" s="29">
        <v>45212</v>
      </c>
      <c r="H745">
        <v>431.5</v>
      </c>
      <c r="I745">
        <v>439.44459999999998</v>
      </c>
      <c r="J745">
        <v>421.08179999999999</v>
      </c>
      <c r="K745" s="10">
        <v>0</v>
      </c>
    </row>
    <row r="746" spans="1:11" x14ac:dyDescent="0.4">
      <c r="A746" s="25">
        <v>45217</v>
      </c>
      <c r="B746" s="11">
        <v>430.21</v>
      </c>
      <c r="C746" s="11">
        <v>438.56459999999998</v>
      </c>
      <c r="D746" s="11">
        <v>421.88060000000002</v>
      </c>
      <c r="E746" s="10">
        <f t="shared" si="11"/>
        <v>0</v>
      </c>
      <c r="G746" s="29">
        <v>45215</v>
      </c>
      <c r="H746">
        <v>436.04</v>
      </c>
      <c r="I746">
        <v>439.22919999999999</v>
      </c>
      <c r="J746">
        <v>421.37880000000001</v>
      </c>
      <c r="K746" s="10">
        <v>0</v>
      </c>
    </row>
    <row r="747" spans="1:11" x14ac:dyDescent="0.4">
      <c r="A747" s="25">
        <v>45218</v>
      </c>
      <c r="B747" s="11">
        <v>426.43</v>
      </c>
      <c r="C747" s="11">
        <v>438.1782</v>
      </c>
      <c r="D747" s="11">
        <v>422.10860000000002</v>
      </c>
      <c r="E747" s="10">
        <f t="shared" si="11"/>
        <v>0</v>
      </c>
      <c r="G747" s="29">
        <v>45216</v>
      </c>
      <c r="H747">
        <v>436.02</v>
      </c>
      <c r="I747">
        <v>438.93540000000002</v>
      </c>
      <c r="J747">
        <v>421.64159999999998</v>
      </c>
      <c r="K747" s="10">
        <v>0</v>
      </c>
    </row>
    <row r="748" spans="1:11" x14ac:dyDescent="0.4">
      <c r="A748" s="25">
        <v>45219</v>
      </c>
      <c r="B748" s="11">
        <v>421.19</v>
      </c>
      <c r="C748" s="11">
        <v>437.68380000000002</v>
      </c>
      <c r="D748" s="11">
        <v>422.29579999999999</v>
      </c>
      <c r="E748" s="10">
        <f t="shared" si="11"/>
        <v>0</v>
      </c>
      <c r="G748" s="29">
        <v>45217</v>
      </c>
      <c r="H748">
        <v>430.21</v>
      </c>
      <c r="I748">
        <v>438.56459999999998</v>
      </c>
      <c r="J748">
        <v>421.88060000000002</v>
      </c>
      <c r="K748" s="10">
        <v>0</v>
      </c>
    </row>
    <row r="749" spans="1:11" x14ac:dyDescent="0.4">
      <c r="A749" s="25">
        <v>45222</v>
      </c>
      <c r="B749" s="11">
        <v>420.46</v>
      </c>
      <c r="C749" s="11">
        <v>437.18</v>
      </c>
      <c r="D749" s="11">
        <v>422.50119999999998</v>
      </c>
      <c r="E749" s="10">
        <f t="shared" si="11"/>
        <v>0</v>
      </c>
      <c r="G749" s="29">
        <v>45218</v>
      </c>
      <c r="H749">
        <v>426.43</v>
      </c>
      <c r="I749">
        <v>438.1782</v>
      </c>
      <c r="J749">
        <v>422.10860000000002</v>
      </c>
      <c r="K749" s="10">
        <v>0</v>
      </c>
    </row>
    <row r="750" spans="1:11" x14ac:dyDescent="0.4">
      <c r="A750" s="25">
        <v>45223</v>
      </c>
      <c r="B750" s="11">
        <v>423.63</v>
      </c>
      <c r="C750" s="11">
        <v>436.69040000000001</v>
      </c>
      <c r="D750" s="11">
        <v>422.6789</v>
      </c>
      <c r="E750" s="10">
        <f t="shared" si="11"/>
        <v>0</v>
      </c>
      <c r="G750" s="29">
        <v>45219</v>
      </c>
      <c r="H750">
        <v>421.19</v>
      </c>
      <c r="I750">
        <v>437.68380000000002</v>
      </c>
      <c r="J750">
        <v>422.29579999999999</v>
      </c>
      <c r="K750" s="10">
        <v>0</v>
      </c>
    </row>
    <row r="751" spans="1:11" x14ac:dyDescent="0.4">
      <c r="A751" s="25">
        <v>45224</v>
      </c>
      <c r="B751" s="11">
        <v>417.55</v>
      </c>
      <c r="C751" s="11">
        <v>436.18360000000001</v>
      </c>
      <c r="D751" s="11">
        <v>422.82740000000001</v>
      </c>
      <c r="E751" s="10">
        <f t="shared" si="11"/>
        <v>0</v>
      </c>
      <c r="G751" s="29">
        <v>45222</v>
      </c>
      <c r="H751">
        <v>420.46</v>
      </c>
      <c r="I751">
        <v>437.18</v>
      </c>
      <c r="J751">
        <v>422.50119999999998</v>
      </c>
      <c r="K751" s="10">
        <v>0</v>
      </c>
    </row>
    <row r="752" spans="1:11" x14ac:dyDescent="0.4">
      <c r="A752" s="25">
        <v>45225</v>
      </c>
      <c r="B752" s="11">
        <v>412.55</v>
      </c>
      <c r="C752" s="11">
        <v>435.64179999999999</v>
      </c>
      <c r="D752" s="11">
        <v>422.93720000000002</v>
      </c>
      <c r="E752" s="10">
        <f t="shared" si="11"/>
        <v>0</v>
      </c>
      <c r="G752" s="29">
        <v>45223</v>
      </c>
      <c r="H752">
        <v>423.63</v>
      </c>
      <c r="I752">
        <v>436.69040000000001</v>
      </c>
      <c r="J752">
        <v>422.6789</v>
      </c>
      <c r="K752" s="10">
        <v>0</v>
      </c>
    </row>
    <row r="753" spans="1:11" x14ac:dyDescent="0.4">
      <c r="A753" s="25">
        <v>45226</v>
      </c>
      <c r="B753" s="11">
        <v>410.68</v>
      </c>
      <c r="C753" s="11">
        <v>435.12959999999998</v>
      </c>
      <c r="D753" s="11">
        <v>423.01299999999998</v>
      </c>
      <c r="E753" s="10">
        <f t="shared" si="11"/>
        <v>0</v>
      </c>
      <c r="G753" s="29">
        <v>45224</v>
      </c>
      <c r="H753">
        <v>417.55</v>
      </c>
      <c r="I753">
        <v>436.18360000000001</v>
      </c>
      <c r="J753">
        <v>422.82740000000001</v>
      </c>
      <c r="K753" s="10">
        <v>0</v>
      </c>
    </row>
    <row r="754" spans="1:11" x14ac:dyDescent="0.4">
      <c r="A754" s="25">
        <v>45229</v>
      </c>
      <c r="B754" s="11">
        <v>415.59</v>
      </c>
      <c r="C754" s="11">
        <v>434.71140000000003</v>
      </c>
      <c r="D754" s="11">
        <v>423.1062</v>
      </c>
      <c r="E754" s="10">
        <f t="shared" si="11"/>
        <v>0</v>
      </c>
      <c r="G754" s="29">
        <v>45225</v>
      </c>
      <c r="H754">
        <v>412.55</v>
      </c>
      <c r="I754">
        <v>435.64179999999999</v>
      </c>
      <c r="J754">
        <v>422.93720000000002</v>
      </c>
      <c r="K754" s="10">
        <v>0</v>
      </c>
    </row>
    <row r="755" spans="1:11" x14ac:dyDescent="0.4">
      <c r="A755" s="25">
        <v>45230</v>
      </c>
      <c r="B755" s="11">
        <v>418.2</v>
      </c>
      <c r="C755" s="11">
        <v>434.28859999999997</v>
      </c>
      <c r="D755" s="11">
        <v>423.20460000000003</v>
      </c>
      <c r="E755" s="10">
        <f t="shared" si="11"/>
        <v>0</v>
      </c>
      <c r="G755" s="29">
        <v>45226</v>
      </c>
      <c r="H755">
        <v>410.68</v>
      </c>
      <c r="I755">
        <v>435.12959999999998</v>
      </c>
      <c r="J755">
        <v>423.01299999999998</v>
      </c>
      <c r="K755" s="10">
        <v>0</v>
      </c>
    </row>
    <row r="756" spans="1:11" x14ac:dyDescent="0.4">
      <c r="A756" s="25">
        <v>45231</v>
      </c>
      <c r="B756" s="11">
        <v>422.66</v>
      </c>
      <c r="C756" s="11">
        <v>433.97879999999998</v>
      </c>
      <c r="D756" s="11">
        <v>423.32909999999998</v>
      </c>
      <c r="E756" s="10">
        <f t="shared" si="11"/>
        <v>0</v>
      </c>
      <c r="G756" s="29">
        <v>45229</v>
      </c>
      <c r="H756">
        <v>415.59</v>
      </c>
      <c r="I756">
        <v>434.71140000000003</v>
      </c>
      <c r="J756">
        <v>423.1062</v>
      </c>
      <c r="K756" s="10">
        <v>0</v>
      </c>
    </row>
    <row r="757" spans="1:11" x14ac:dyDescent="0.4">
      <c r="A757" s="25">
        <v>45232</v>
      </c>
      <c r="B757" s="11">
        <v>430.76</v>
      </c>
      <c r="C757" s="11">
        <v>433.73340000000002</v>
      </c>
      <c r="D757" s="11">
        <v>423.52539999999999</v>
      </c>
      <c r="E757" s="10">
        <f t="shared" si="11"/>
        <v>0</v>
      </c>
      <c r="G757" s="29">
        <v>45230</v>
      </c>
      <c r="H757">
        <v>418.2</v>
      </c>
      <c r="I757">
        <v>434.28859999999997</v>
      </c>
      <c r="J757">
        <v>423.20460000000003</v>
      </c>
      <c r="K757" s="10">
        <v>0</v>
      </c>
    </row>
    <row r="758" spans="1:11" x14ac:dyDescent="0.4">
      <c r="A758" s="25">
        <v>45233</v>
      </c>
      <c r="B758" s="11">
        <v>434.69</v>
      </c>
      <c r="C758" s="11">
        <v>433.68939999999998</v>
      </c>
      <c r="D758" s="11">
        <v>423.75569999999999</v>
      </c>
      <c r="E758" s="10">
        <f t="shared" si="11"/>
        <v>0</v>
      </c>
      <c r="G758" s="29">
        <v>45231</v>
      </c>
      <c r="H758">
        <v>422.66</v>
      </c>
      <c r="I758">
        <v>433.97879999999998</v>
      </c>
      <c r="J758">
        <v>423.32909999999998</v>
      </c>
      <c r="K758" s="10">
        <v>0</v>
      </c>
    </row>
    <row r="759" spans="1:11" x14ac:dyDescent="0.4">
      <c r="A759" s="25">
        <v>45236</v>
      </c>
      <c r="B759" s="11">
        <v>435.69</v>
      </c>
      <c r="C759" s="11">
        <v>433.60379999999998</v>
      </c>
      <c r="D759" s="11">
        <v>423.95479999999998</v>
      </c>
      <c r="E759" s="10">
        <f t="shared" si="11"/>
        <v>0</v>
      </c>
      <c r="G759" s="29">
        <v>45232</v>
      </c>
      <c r="H759">
        <v>430.76</v>
      </c>
      <c r="I759">
        <v>433.73340000000002</v>
      </c>
      <c r="J759">
        <v>423.52539999999999</v>
      </c>
      <c r="K759" s="10">
        <v>0</v>
      </c>
    </row>
    <row r="760" spans="1:11" x14ac:dyDescent="0.4">
      <c r="A760" s="25">
        <v>45237</v>
      </c>
      <c r="B760" s="11">
        <v>436.93</v>
      </c>
      <c r="C760" s="11">
        <v>433.48719999999997</v>
      </c>
      <c r="D760" s="11">
        <v>424.13619999999997</v>
      </c>
      <c r="E760" s="10">
        <f t="shared" si="11"/>
        <v>0</v>
      </c>
      <c r="G760" s="29">
        <v>45233</v>
      </c>
      <c r="H760">
        <v>434.69</v>
      </c>
      <c r="I760">
        <v>433.68939999999998</v>
      </c>
      <c r="J760">
        <v>423.75569999999999</v>
      </c>
      <c r="K760" s="10">
        <v>0</v>
      </c>
    </row>
    <row r="761" spans="1:11" x14ac:dyDescent="0.4">
      <c r="A761" s="25">
        <v>45238</v>
      </c>
      <c r="B761" s="11">
        <v>437.25</v>
      </c>
      <c r="C761" s="11">
        <v>433.24900000000002</v>
      </c>
      <c r="D761" s="11">
        <v>424.32150000000001</v>
      </c>
      <c r="E761" s="10">
        <f t="shared" si="11"/>
        <v>0</v>
      </c>
      <c r="G761" s="29">
        <v>45236</v>
      </c>
      <c r="H761">
        <v>435.69</v>
      </c>
      <c r="I761">
        <v>433.60379999999998</v>
      </c>
      <c r="J761">
        <v>423.95479999999998</v>
      </c>
      <c r="K761" s="10">
        <v>0</v>
      </c>
    </row>
    <row r="762" spans="1:11" x14ac:dyDescent="0.4">
      <c r="A762" s="25">
        <v>45239</v>
      </c>
      <c r="B762" s="11">
        <v>433.84</v>
      </c>
      <c r="C762" s="11">
        <v>432.90559999999999</v>
      </c>
      <c r="D762" s="11">
        <v>424.48899999999998</v>
      </c>
      <c r="E762" s="10">
        <f t="shared" si="11"/>
        <v>0</v>
      </c>
      <c r="G762" s="29">
        <v>45237</v>
      </c>
      <c r="H762">
        <v>436.93</v>
      </c>
      <c r="I762">
        <v>433.48719999999997</v>
      </c>
      <c r="J762">
        <v>424.13619999999997</v>
      </c>
      <c r="K762" s="10">
        <v>0</v>
      </c>
    </row>
    <row r="763" spans="1:11" x14ac:dyDescent="0.4">
      <c r="A763" s="25">
        <v>45240</v>
      </c>
      <c r="B763" s="11">
        <v>440.61</v>
      </c>
      <c r="C763" s="11">
        <v>432.71080000000001</v>
      </c>
      <c r="D763" s="11">
        <v>424.66820000000001</v>
      </c>
      <c r="E763" s="10">
        <f t="shared" si="11"/>
        <v>0</v>
      </c>
      <c r="G763" s="29">
        <v>45238</v>
      </c>
      <c r="H763">
        <v>437.25</v>
      </c>
      <c r="I763">
        <v>433.24900000000002</v>
      </c>
      <c r="J763">
        <v>424.32150000000001</v>
      </c>
      <c r="K763" s="10">
        <v>0</v>
      </c>
    </row>
    <row r="764" spans="1:11" x14ac:dyDescent="0.4">
      <c r="A764" s="25">
        <v>45243</v>
      </c>
      <c r="B764" s="11">
        <v>440.19</v>
      </c>
      <c r="C764" s="11">
        <v>432.49079999999998</v>
      </c>
      <c r="D764" s="11">
        <v>424.8408</v>
      </c>
      <c r="E764" s="10">
        <f t="shared" si="11"/>
        <v>0</v>
      </c>
      <c r="G764" s="29">
        <v>45239</v>
      </c>
      <c r="H764">
        <v>433.84</v>
      </c>
      <c r="I764">
        <v>432.90559999999999</v>
      </c>
      <c r="J764">
        <v>424.48899999999998</v>
      </c>
      <c r="K764" s="10">
        <v>0</v>
      </c>
    </row>
    <row r="765" spans="1:11" x14ac:dyDescent="0.4">
      <c r="A765" s="25">
        <v>45244</v>
      </c>
      <c r="B765" s="11">
        <v>448.73</v>
      </c>
      <c r="C765" s="11">
        <v>432.48059999999998</v>
      </c>
      <c r="D765" s="11">
        <v>425.08150000000001</v>
      </c>
      <c r="E765" s="10">
        <f t="shared" si="11"/>
        <v>0</v>
      </c>
      <c r="G765" s="29">
        <v>45240</v>
      </c>
      <c r="H765">
        <v>440.61</v>
      </c>
      <c r="I765">
        <v>432.71080000000001</v>
      </c>
      <c r="J765">
        <v>424.66820000000001</v>
      </c>
      <c r="K765" s="10">
        <v>0</v>
      </c>
    </row>
    <row r="766" spans="1:11" x14ac:dyDescent="0.4">
      <c r="A766" s="25">
        <v>45245</v>
      </c>
      <c r="B766" s="11">
        <v>449.68</v>
      </c>
      <c r="C766" s="11">
        <v>432.5498</v>
      </c>
      <c r="D766" s="11">
        <v>425.29750000000001</v>
      </c>
      <c r="E766" s="10">
        <f t="shared" si="11"/>
        <v>0</v>
      </c>
      <c r="G766" s="29">
        <v>45243</v>
      </c>
      <c r="H766">
        <v>440.19</v>
      </c>
      <c r="I766">
        <v>432.49079999999998</v>
      </c>
      <c r="J766">
        <v>424.8408</v>
      </c>
      <c r="K766" s="10">
        <v>0</v>
      </c>
    </row>
    <row r="767" spans="1:11" x14ac:dyDescent="0.4">
      <c r="A767" s="25">
        <v>45246</v>
      </c>
      <c r="B767" s="11">
        <v>450.23</v>
      </c>
      <c r="C767" s="11">
        <v>432.6574</v>
      </c>
      <c r="D767" s="11">
        <v>425.49459999999999</v>
      </c>
      <c r="E767" s="10">
        <f t="shared" si="11"/>
        <v>0</v>
      </c>
      <c r="G767" s="29">
        <v>45244</v>
      </c>
      <c r="H767">
        <v>448.73</v>
      </c>
      <c r="I767">
        <v>432.48059999999998</v>
      </c>
      <c r="J767">
        <v>425.08150000000001</v>
      </c>
      <c r="K767" s="10">
        <v>0</v>
      </c>
    </row>
    <row r="768" spans="1:11" x14ac:dyDescent="0.4">
      <c r="A768" s="25">
        <v>45247</v>
      </c>
      <c r="B768" s="11">
        <v>450.79</v>
      </c>
      <c r="C768" s="11">
        <v>432.76280000000003</v>
      </c>
      <c r="D768" s="11">
        <v>425.66469999999998</v>
      </c>
      <c r="E768" s="10">
        <f t="shared" si="11"/>
        <v>0</v>
      </c>
      <c r="G768" s="29">
        <v>45245</v>
      </c>
      <c r="H768">
        <v>449.68</v>
      </c>
      <c r="I768">
        <v>432.5498</v>
      </c>
      <c r="J768">
        <v>425.29750000000001</v>
      </c>
      <c r="K768" s="10">
        <v>0</v>
      </c>
    </row>
    <row r="769" spans="1:11" x14ac:dyDescent="0.4">
      <c r="A769" s="25">
        <v>45250</v>
      </c>
      <c r="B769" s="11">
        <v>454.26</v>
      </c>
      <c r="C769" s="11">
        <v>432.87900000000002</v>
      </c>
      <c r="D769" s="11">
        <v>425.87419999999997</v>
      </c>
      <c r="E769" s="10">
        <f t="shared" si="11"/>
        <v>0</v>
      </c>
      <c r="G769" s="29">
        <v>45246</v>
      </c>
      <c r="H769">
        <v>450.23</v>
      </c>
      <c r="I769">
        <v>432.6574</v>
      </c>
      <c r="J769">
        <v>425.49459999999999</v>
      </c>
      <c r="K769" s="10">
        <v>0</v>
      </c>
    </row>
    <row r="770" spans="1:11" x14ac:dyDescent="0.4">
      <c r="A770" s="25">
        <v>45251</v>
      </c>
      <c r="B770" s="11">
        <v>453.27</v>
      </c>
      <c r="C770" s="11">
        <v>433.02460000000002</v>
      </c>
      <c r="D770" s="11">
        <v>426.09140000000002</v>
      </c>
      <c r="E770" s="10">
        <f t="shared" si="11"/>
        <v>0</v>
      </c>
      <c r="G770" s="29">
        <v>45247</v>
      </c>
      <c r="H770">
        <v>450.79</v>
      </c>
      <c r="I770">
        <v>432.76280000000003</v>
      </c>
      <c r="J770">
        <v>425.66469999999998</v>
      </c>
      <c r="K770" s="10">
        <v>0</v>
      </c>
    </row>
    <row r="771" spans="1:11" x14ac:dyDescent="0.4">
      <c r="A771" s="25">
        <v>45252</v>
      </c>
      <c r="B771" s="11">
        <v>455.02</v>
      </c>
      <c r="C771" s="11">
        <v>433.19479999999999</v>
      </c>
      <c r="D771" s="11">
        <v>426.29059999999998</v>
      </c>
      <c r="E771" s="10">
        <f t="shared" ref="E771:E834" si="12">IF(AND(C771&gt;D771, C770&lt;D770), 1, 0)</f>
        <v>0</v>
      </c>
      <c r="G771" s="29">
        <v>45250</v>
      </c>
      <c r="H771">
        <v>454.26</v>
      </c>
      <c r="I771">
        <v>432.87900000000002</v>
      </c>
      <c r="J771">
        <v>425.87419999999997</v>
      </c>
      <c r="K771" s="10">
        <v>0</v>
      </c>
    </row>
    <row r="772" spans="1:11" x14ac:dyDescent="0.4">
      <c r="A772" s="25">
        <v>45254</v>
      </c>
      <c r="B772" s="11">
        <v>455.3</v>
      </c>
      <c r="C772" s="11">
        <v>433.29360000000003</v>
      </c>
      <c r="D772" s="11">
        <v>426.5138</v>
      </c>
      <c r="E772" s="10">
        <f t="shared" si="12"/>
        <v>0</v>
      </c>
      <c r="G772" s="29">
        <v>45251</v>
      </c>
      <c r="H772">
        <v>453.27</v>
      </c>
      <c r="I772">
        <v>433.02460000000002</v>
      </c>
      <c r="J772">
        <v>426.09140000000002</v>
      </c>
      <c r="K772" s="10">
        <v>0</v>
      </c>
    </row>
    <row r="773" spans="1:11" x14ac:dyDescent="0.4">
      <c r="A773" s="25">
        <v>45257</v>
      </c>
      <c r="B773" s="11">
        <v>454.48</v>
      </c>
      <c r="C773" s="11">
        <v>433.51580000000001</v>
      </c>
      <c r="D773" s="11">
        <v>426.75080000000003</v>
      </c>
      <c r="E773" s="10">
        <f t="shared" si="12"/>
        <v>0</v>
      </c>
      <c r="G773" s="29">
        <v>45252</v>
      </c>
      <c r="H773">
        <v>455.02</v>
      </c>
      <c r="I773">
        <v>433.19479999999999</v>
      </c>
      <c r="J773">
        <v>426.29059999999998</v>
      </c>
      <c r="K773" s="10">
        <v>0</v>
      </c>
    </row>
    <row r="774" spans="1:11" x14ac:dyDescent="0.4">
      <c r="A774" s="25">
        <v>45258</v>
      </c>
      <c r="B774" s="11">
        <v>454.93</v>
      </c>
      <c r="C774" s="11">
        <v>433.74180000000001</v>
      </c>
      <c r="D774" s="11">
        <v>426.98520000000002</v>
      </c>
      <c r="E774" s="10">
        <f t="shared" si="12"/>
        <v>0</v>
      </c>
      <c r="G774" s="29">
        <v>45254</v>
      </c>
      <c r="H774">
        <v>455.3</v>
      </c>
      <c r="I774">
        <v>433.29360000000003</v>
      </c>
      <c r="J774">
        <v>426.5138</v>
      </c>
      <c r="K774" s="10">
        <v>0</v>
      </c>
    </row>
    <row r="775" spans="1:11" x14ac:dyDescent="0.4">
      <c r="A775" s="25">
        <v>45259</v>
      </c>
      <c r="B775" s="11">
        <v>454.61</v>
      </c>
      <c r="C775" s="11">
        <v>433.97980000000001</v>
      </c>
      <c r="D775" s="11">
        <v>427.19420000000002</v>
      </c>
      <c r="E775" s="10">
        <f t="shared" si="12"/>
        <v>0</v>
      </c>
      <c r="G775" s="29">
        <v>45257</v>
      </c>
      <c r="H775">
        <v>454.48</v>
      </c>
      <c r="I775">
        <v>433.51580000000001</v>
      </c>
      <c r="J775">
        <v>426.75080000000003</v>
      </c>
      <c r="K775" s="10">
        <v>0</v>
      </c>
    </row>
    <row r="776" spans="1:11" x14ac:dyDescent="0.4">
      <c r="A776" s="25">
        <v>45260</v>
      </c>
      <c r="B776" s="11">
        <v>456.4</v>
      </c>
      <c r="C776" s="11">
        <v>434.33499999999998</v>
      </c>
      <c r="D776" s="11">
        <v>427.41300000000001</v>
      </c>
      <c r="E776" s="10">
        <f t="shared" si="12"/>
        <v>0</v>
      </c>
      <c r="G776" s="29">
        <v>45258</v>
      </c>
      <c r="H776">
        <v>454.93</v>
      </c>
      <c r="I776">
        <v>433.74180000000001</v>
      </c>
      <c r="J776">
        <v>426.98520000000002</v>
      </c>
      <c r="K776" s="10">
        <v>0</v>
      </c>
    </row>
    <row r="777" spans="1:11" x14ac:dyDescent="0.4">
      <c r="A777" s="25">
        <v>45261</v>
      </c>
      <c r="B777" s="11">
        <v>459.1</v>
      </c>
      <c r="C777" s="11">
        <v>434.88920000000002</v>
      </c>
      <c r="D777" s="11">
        <v>427.6386</v>
      </c>
      <c r="E777" s="10">
        <f t="shared" si="12"/>
        <v>0</v>
      </c>
      <c r="G777" s="29">
        <v>45259</v>
      </c>
      <c r="H777">
        <v>454.61</v>
      </c>
      <c r="I777">
        <v>433.97980000000001</v>
      </c>
      <c r="J777">
        <v>427.19420000000002</v>
      </c>
      <c r="K777" s="10">
        <v>0</v>
      </c>
    </row>
    <row r="778" spans="1:11" x14ac:dyDescent="0.4">
      <c r="A778" s="25">
        <v>45264</v>
      </c>
      <c r="B778" s="11">
        <v>456.69</v>
      </c>
      <c r="C778" s="11">
        <v>435.41460000000001</v>
      </c>
      <c r="D778" s="11">
        <v>427.88060000000002</v>
      </c>
      <c r="E778" s="10">
        <f t="shared" si="12"/>
        <v>0</v>
      </c>
      <c r="G778" s="29">
        <v>45260</v>
      </c>
      <c r="H778">
        <v>456.4</v>
      </c>
      <c r="I778">
        <v>434.33499999999998</v>
      </c>
      <c r="J778">
        <v>427.41300000000001</v>
      </c>
      <c r="K778" s="10">
        <v>0</v>
      </c>
    </row>
    <row r="779" spans="1:11" x14ac:dyDescent="0.4">
      <c r="A779" s="25">
        <v>45265</v>
      </c>
      <c r="B779" s="11">
        <v>456.6</v>
      </c>
      <c r="C779" s="11">
        <v>435.90199999999999</v>
      </c>
      <c r="D779" s="11">
        <v>428.12729999999999</v>
      </c>
      <c r="E779" s="10">
        <f t="shared" si="12"/>
        <v>0</v>
      </c>
      <c r="G779" s="29">
        <v>45261</v>
      </c>
      <c r="H779">
        <v>459.1</v>
      </c>
      <c r="I779">
        <v>434.88920000000002</v>
      </c>
      <c r="J779">
        <v>427.6386</v>
      </c>
      <c r="K779" s="10">
        <v>0</v>
      </c>
    </row>
    <row r="780" spans="1:11" x14ac:dyDescent="0.4">
      <c r="A780" s="25">
        <v>45266</v>
      </c>
      <c r="B780" s="11">
        <v>454.76</v>
      </c>
      <c r="C780" s="11">
        <v>436.4796</v>
      </c>
      <c r="D780" s="11">
        <v>428.40559999999999</v>
      </c>
      <c r="E780" s="10">
        <f t="shared" si="12"/>
        <v>0</v>
      </c>
      <c r="G780" s="29">
        <v>45264</v>
      </c>
      <c r="H780">
        <v>456.69</v>
      </c>
      <c r="I780">
        <v>435.41460000000001</v>
      </c>
      <c r="J780">
        <v>427.88060000000002</v>
      </c>
      <c r="K780" s="10">
        <v>0</v>
      </c>
    </row>
    <row r="781" spans="1:11" x14ac:dyDescent="0.4">
      <c r="A781" s="25">
        <v>45267</v>
      </c>
      <c r="B781" s="11">
        <v>458.23</v>
      </c>
      <c r="C781" s="11">
        <v>437.1232</v>
      </c>
      <c r="D781" s="11">
        <v>428.70409999999998</v>
      </c>
      <c r="E781" s="10">
        <f t="shared" si="12"/>
        <v>0</v>
      </c>
      <c r="G781" s="29">
        <v>45265</v>
      </c>
      <c r="H781">
        <v>456.6</v>
      </c>
      <c r="I781">
        <v>435.90199999999999</v>
      </c>
      <c r="J781">
        <v>428.12729999999999</v>
      </c>
      <c r="K781" s="10">
        <v>0</v>
      </c>
    </row>
    <row r="782" spans="1:11" x14ac:dyDescent="0.4">
      <c r="A782" s="25">
        <v>45268</v>
      </c>
      <c r="B782" s="11">
        <v>460.2</v>
      </c>
      <c r="C782" s="11">
        <v>437.7568</v>
      </c>
      <c r="D782" s="11">
        <v>429.0018</v>
      </c>
      <c r="E782" s="10">
        <f t="shared" si="12"/>
        <v>0</v>
      </c>
      <c r="G782" s="29">
        <v>45266</v>
      </c>
      <c r="H782">
        <v>454.76</v>
      </c>
      <c r="I782">
        <v>436.4796</v>
      </c>
      <c r="J782">
        <v>428.40559999999999</v>
      </c>
      <c r="K782" s="10">
        <v>0</v>
      </c>
    </row>
    <row r="783" spans="1:11" x14ac:dyDescent="0.4">
      <c r="A783" s="25">
        <v>45271</v>
      </c>
      <c r="B783" s="11">
        <v>461.99</v>
      </c>
      <c r="C783" s="11">
        <v>438.447</v>
      </c>
      <c r="D783" s="11">
        <v>429.32979999999998</v>
      </c>
      <c r="E783" s="10">
        <f t="shared" si="12"/>
        <v>0</v>
      </c>
      <c r="G783" s="29">
        <v>45267</v>
      </c>
      <c r="H783">
        <v>458.23</v>
      </c>
      <c r="I783">
        <v>437.1232</v>
      </c>
      <c r="J783">
        <v>428.70409999999998</v>
      </c>
      <c r="K783" s="10">
        <v>0</v>
      </c>
    </row>
    <row r="784" spans="1:11" x14ac:dyDescent="0.4">
      <c r="A784" s="25">
        <v>45272</v>
      </c>
      <c r="B784" s="11">
        <v>464.1</v>
      </c>
      <c r="C784" s="11">
        <v>439.18279999999999</v>
      </c>
      <c r="D784" s="11">
        <v>429.6617</v>
      </c>
      <c r="E784" s="10">
        <f t="shared" si="12"/>
        <v>0</v>
      </c>
      <c r="G784" s="29">
        <v>45268</v>
      </c>
      <c r="H784">
        <v>460.2</v>
      </c>
      <c r="I784">
        <v>437.7568</v>
      </c>
      <c r="J784">
        <v>429.0018</v>
      </c>
      <c r="K784" s="10">
        <v>0</v>
      </c>
    </row>
    <row r="785" spans="1:11" x14ac:dyDescent="0.4">
      <c r="A785" s="25">
        <v>45273</v>
      </c>
      <c r="B785" s="11">
        <v>470.5</v>
      </c>
      <c r="C785" s="11">
        <v>440.161</v>
      </c>
      <c r="D785" s="11">
        <v>430.03289999999998</v>
      </c>
      <c r="E785" s="10">
        <f t="shared" si="12"/>
        <v>0</v>
      </c>
      <c r="G785" s="29">
        <v>45271</v>
      </c>
      <c r="H785">
        <v>461.99</v>
      </c>
      <c r="I785">
        <v>438.447</v>
      </c>
      <c r="J785">
        <v>429.32979999999998</v>
      </c>
      <c r="K785" s="10">
        <v>0</v>
      </c>
    </row>
    <row r="786" spans="1:11" x14ac:dyDescent="0.4">
      <c r="A786" s="25">
        <v>45274</v>
      </c>
      <c r="B786" s="11">
        <v>472.01</v>
      </c>
      <c r="C786" s="11">
        <v>441.108</v>
      </c>
      <c r="D786" s="11">
        <v>430.41919999999999</v>
      </c>
      <c r="E786" s="10">
        <f t="shared" si="12"/>
        <v>0</v>
      </c>
      <c r="G786" s="29">
        <v>45272</v>
      </c>
      <c r="H786">
        <v>464.1</v>
      </c>
      <c r="I786">
        <v>439.18279999999999</v>
      </c>
      <c r="J786">
        <v>429.6617</v>
      </c>
      <c r="K786" s="10">
        <v>0</v>
      </c>
    </row>
    <row r="787" spans="1:11" x14ac:dyDescent="0.4">
      <c r="A787" s="25">
        <v>45275</v>
      </c>
      <c r="B787" s="11">
        <v>469.33</v>
      </c>
      <c r="C787" s="11">
        <v>442.00459999999998</v>
      </c>
      <c r="D787" s="11">
        <v>430.77679999999998</v>
      </c>
      <c r="E787" s="10">
        <f t="shared" si="12"/>
        <v>0</v>
      </c>
      <c r="G787" s="29">
        <v>45273</v>
      </c>
      <c r="H787">
        <v>470.5</v>
      </c>
      <c r="I787">
        <v>440.161</v>
      </c>
      <c r="J787">
        <v>430.03289999999998</v>
      </c>
      <c r="K787" s="10">
        <v>0</v>
      </c>
    </row>
    <row r="788" spans="1:11" x14ac:dyDescent="0.4">
      <c r="A788" s="25">
        <v>45278</v>
      </c>
      <c r="B788" s="11">
        <v>471.97</v>
      </c>
      <c r="C788" s="11">
        <v>442.85320000000002</v>
      </c>
      <c r="D788" s="11">
        <v>431.11579999999998</v>
      </c>
      <c r="E788" s="10">
        <f t="shared" si="12"/>
        <v>0</v>
      </c>
      <c r="G788" s="29">
        <v>45274</v>
      </c>
      <c r="H788">
        <v>472.01</v>
      </c>
      <c r="I788">
        <v>441.108</v>
      </c>
      <c r="J788">
        <v>430.41919999999999</v>
      </c>
      <c r="K788" s="10">
        <v>0</v>
      </c>
    </row>
    <row r="789" spans="1:11" x14ac:dyDescent="0.4">
      <c r="A789" s="25">
        <v>45279</v>
      </c>
      <c r="B789" s="11">
        <v>474.84</v>
      </c>
      <c r="C789" s="11">
        <v>443.70420000000001</v>
      </c>
      <c r="D789" s="11">
        <v>431.4676</v>
      </c>
      <c r="E789" s="10">
        <f t="shared" si="12"/>
        <v>0</v>
      </c>
      <c r="G789" s="29">
        <v>45275</v>
      </c>
      <c r="H789">
        <v>469.33</v>
      </c>
      <c r="I789">
        <v>442.00459999999998</v>
      </c>
      <c r="J789">
        <v>430.77679999999998</v>
      </c>
      <c r="K789" s="10">
        <v>0</v>
      </c>
    </row>
    <row r="790" spans="1:11" x14ac:dyDescent="0.4">
      <c r="A790" s="25">
        <v>45280</v>
      </c>
      <c r="B790" s="11">
        <v>468.26</v>
      </c>
      <c r="C790" s="11">
        <v>444.37860000000001</v>
      </c>
      <c r="D790" s="11">
        <v>431.81760000000003</v>
      </c>
      <c r="E790" s="10">
        <f t="shared" si="12"/>
        <v>0</v>
      </c>
      <c r="G790" s="29">
        <v>45278</v>
      </c>
      <c r="H790">
        <v>471.97</v>
      </c>
      <c r="I790">
        <v>442.85320000000002</v>
      </c>
      <c r="J790">
        <v>431.11579999999998</v>
      </c>
      <c r="K790" s="10">
        <v>0</v>
      </c>
    </row>
    <row r="791" spans="1:11" x14ac:dyDescent="0.4">
      <c r="A791" s="25">
        <v>45281</v>
      </c>
      <c r="B791" s="11">
        <v>472.7</v>
      </c>
      <c r="C791" s="11">
        <v>445.1062</v>
      </c>
      <c r="D791" s="11">
        <v>432.18639999999999</v>
      </c>
      <c r="E791" s="10">
        <f t="shared" si="12"/>
        <v>0</v>
      </c>
      <c r="G791" s="29">
        <v>45279</v>
      </c>
      <c r="H791">
        <v>474.84</v>
      </c>
      <c r="I791">
        <v>443.70420000000001</v>
      </c>
      <c r="J791">
        <v>431.4676</v>
      </c>
      <c r="K791" s="10">
        <v>0</v>
      </c>
    </row>
    <row r="792" spans="1:11" x14ac:dyDescent="0.4">
      <c r="A792" s="25">
        <v>45282</v>
      </c>
      <c r="B792" s="11">
        <v>473.65</v>
      </c>
      <c r="C792" s="11">
        <v>445.90600000000001</v>
      </c>
      <c r="D792" s="11">
        <v>432.59690000000001</v>
      </c>
      <c r="E792" s="10">
        <f t="shared" si="12"/>
        <v>0</v>
      </c>
      <c r="G792" s="29">
        <v>45280</v>
      </c>
      <c r="H792">
        <v>468.26</v>
      </c>
      <c r="I792">
        <v>444.37860000000001</v>
      </c>
      <c r="J792">
        <v>431.81760000000003</v>
      </c>
      <c r="K792" s="10">
        <v>0</v>
      </c>
    </row>
    <row r="793" spans="1:11" x14ac:dyDescent="0.4">
      <c r="A793" s="25">
        <v>45286</v>
      </c>
      <c r="B793" s="11">
        <v>475.65</v>
      </c>
      <c r="C793" s="11">
        <v>446.78899999999999</v>
      </c>
      <c r="D793" s="11">
        <v>433.04559999999998</v>
      </c>
      <c r="E793" s="10">
        <f t="shared" si="12"/>
        <v>0</v>
      </c>
      <c r="G793" s="29">
        <v>45281</v>
      </c>
      <c r="H793">
        <v>472.7</v>
      </c>
      <c r="I793">
        <v>445.1062</v>
      </c>
      <c r="J793">
        <v>432.18639999999999</v>
      </c>
      <c r="K793" s="10">
        <v>0</v>
      </c>
    </row>
    <row r="794" spans="1:11" x14ac:dyDescent="0.4">
      <c r="A794" s="25">
        <v>45287</v>
      </c>
      <c r="B794" s="11">
        <v>476.51</v>
      </c>
      <c r="C794" s="11">
        <v>447.59840000000003</v>
      </c>
      <c r="D794" s="11">
        <v>433.50139999999999</v>
      </c>
      <c r="E794" s="10">
        <f t="shared" si="12"/>
        <v>0</v>
      </c>
      <c r="G794" s="29">
        <v>45282</v>
      </c>
      <c r="H794">
        <v>473.65</v>
      </c>
      <c r="I794">
        <v>445.90600000000001</v>
      </c>
      <c r="J794">
        <v>432.59690000000001</v>
      </c>
      <c r="K794" s="10">
        <v>0</v>
      </c>
    </row>
    <row r="795" spans="1:11" x14ac:dyDescent="0.4">
      <c r="A795" s="25">
        <v>45288</v>
      </c>
      <c r="B795" s="11">
        <v>476.69</v>
      </c>
      <c r="C795" s="11">
        <v>448.41180000000003</v>
      </c>
      <c r="D795" s="11">
        <v>433.92619999999999</v>
      </c>
      <c r="E795" s="10">
        <f t="shared" si="12"/>
        <v>0</v>
      </c>
      <c r="G795" s="29">
        <v>45286</v>
      </c>
      <c r="H795">
        <v>475.65</v>
      </c>
      <c r="I795">
        <v>446.78899999999999</v>
      </c>
      <c r="J795">
        <v>433.04559999999998</v>
      </c>
      <c r="K795" s="10">
        <v>0</v>
      </c>
    </row>
    <row r="796" spans="1:11" x14ac:dyDescent="0.4">
      <c r="A796" s="25">
        <v>45289</v>
      </c>
      <c r="B796" s="11">
        <v>475.31</v>
      </c>
      <c r="C796" s="11">
        <v>449.31380000000001</v>
      </c>
      <c r="D796" s="11">
        <v>434.35629999999998</v>
      </c>
      <c r="E796" s="10">
        <f t="shared" si="12"/>
        <v>0</v>
      </c>
      <c r="G796" s="29">
        <v>45287</v>
      </c>
      <c r="H796">
        <v>476.51</v>
      </c>
      <c r="I796">
        <v>447.59840000000003</v>
      </c>
      <c r="J796">
        <v>433.50139999999999</v>
      </c>
      <c r="K796" s="10">
        <v>0</v>
      </c>
    </row>
    <row r="797" spans="1:11" x14ac:dyDescent="0.4">
      <c r="A797" s="25">
        <v>45293</v>
      </c>
      <c r="B797" s="11">
        <v>472.65</v>
      </c>
      <c r="C797" s="11">
        <v>450.23820000000001</v>
      </c>
      <c r="D797" s="11">
        <v>434.73899999999998</v>
      </c>
      <c r="E797" s="10">
        <f t="shared" si="12"/>
        <v>0</v>
      </c>
      <c r="G797" s="29">
        <v>45288</v>
      </c>
      <c r="H797">
        <v>476.69</v>
      </c>
      <c r="I797">
        <v>448.41180000000003</v>
      </c>
      <c r="J797">
        <v>433.92619999999999</v>
      </c>
      <c r="K797" s="10">
        <v>0</v>
      </c>
    </row>
    <row r="798" spans="1:11" x14ac:dyDescent="0.4">
      <c r="A798" s="25">
        <v>45294</v>
      </c>
      <c r="B798" s="11">
        <v>468.79</v>
      </c>
      <c r="C798" s="11">
        <v>451.1902</v>
      </c>
      <c r="D798" s="11">
        <v>435.13299999999998</v>
      </c>
      <c r="E798" s="10">
        <f t="shared" si="12"/>
        <v>0</v>
      </c>
      <c r="G798" s="29">
        <v>45289</v>
      </c>
      <c r="H798">
        <v>475.31</v>
      </c>
      <c r="I798">
        <v>449.31380000000001</v>
      </c>
      <c r="J798">
        <v>434.35629999999998</v>
      </c>
      <c r="K798" s="10">
        <v>0</v>
      </c>
    </row>
    <row r="799" spans="1:11" x14ac:dyDescent="0.4">
      <c r="A799" s="25">
        <v>45295</v>
      </c>
      <c r="B799" s="11">
        <v>467.28</v>
      </c>
      <c r="C799" s="11">
        <v>452.1266</v>
      </c>
      <c r="D799" s="11">
        <v>435.50069999999999</v>
      </c>
      <c r="E799" s="10">
        <f t="shared" si="12"/>
        <v>0</v>
      </c>
      <c r="G799" s="29">
        <v>45293</v>
      </c>
      <c r="H799">
        <v>472.65</v>
      </c>
      <c r="I799">
        <v>450.23820000000001</v>
      </c>
      <c r="J799">
        <v>434.73899999999998</v>
      </c>
      <c r="K799" s="10">
        <v>0</v>
      </c>
    </row>
    <row r="800" spans="1:11" x14ac:dyDescent="0.4">
      <c r="A800" s="25">
        <v>45296</v>
      </c>
      <c r="B800" s="11">
        <v>467.92</v>
      </c>
      <c r="C800" s="11">
        <v>453.01240000000001</v>
      </c>
      <c r="D800" s="11">
        <v>435.8458</v>
      </c>
      <c r="E800" s="10">
        <f t="shared" si="12"/>
        <v>0</v>
      </c>
      <c r="G800" s="29">
        <v>45294</v>
      </c>
      <c r="H800">
        <v>468.79</v>
      </c>
      <c r="I800">
        <v>451.1902</v>
      </c>
      <c r="J800">
        <v>435.13299999999998</v>
      </c>
      <c r="K800" s="10">
        <v>0</v>
      </c>
    </row>
    <row r="801" spans="1:11" x14ac:dyDescent="0.4">
      <c r="A801" s="25">
        <v>45299</v>
      </c>
      <c r="B801" s="11">
        <v>474.6</v>
      </c>
      <c r="C801" s="11">
        <v>454.15339999999998</v>
      </c>
      <c r="D801" s="11">
        <v>436.25819999999999</v>
      </c>
      <c r="E801" s="10">
        <f t="shared" si="12"/>
        <v>0</v>
      </c>
      <c r="G801" s="29">
        <v>45295</v>
      </c>
      <c r="H801">
        <v>467.28</v>
      </c>
      <c r="I801">
        <v>452.1266</v>
      </c>
      <c r="J801">
        <v>435.50069999999999</v>
      </c>
      <c r="K801" s="10">
        <v>0</v>
      </c>
    </row>
    <row r="802" spans="1:11" x14ac:dyDescent="0.4">
      <c r="A802" s="25">
        <v>45300</v>
      </c>
      <c r="B802" s="11">
        <v>473.88</v>
      </c>
      <c r="C802" s="11">
        <v>455.38</v>
      </c>
      <c r="D802" s="11">
        <v>436.66180000000003</v>
      </c>
      <c r="E802" s="10">
        <f t="shared" si="12"/>
        <v>0</v>
      </c>
      <c r="G802" s="29">
        <v>45296</v>
      </c>
      <c r="H802">
        <v>467.92</v>
      </c>
      <c r="I802">
        <v>453.01240000000001</v>
      </c>
      <c r="J802">
        <v>435.8458</v>
      </c>
      <c r="K802" s="10">
        <v>0</v>
      </c>
    </row>
    <row r="803" spans="1:11" x14ac:dyDescent="0.4">
      <c r="A803" s="25">
        <v>45301</v>
      </c>
      <c r="B803" s="11">
        <v>476.56</v>
      </c>
      <c r="C803" s="11">
        <v>456.69760000000002</v>
      </c>
      <c r="D803" s="11">
        <v>437.06580000000002</v>
      </c>
      <c r="E803" s="10">
        <f t="shared" si="12"/>
        <v>0</v>
      </c>
      <c r="G803" s="29">
        <v>45299</v>
      </c>
      <c r="H803">
        <v>474.6</v>
      </c>
      <c r="I803">
        <v>454.15339999999998</v>
      </c>
      <c r="J803">
        <v>436.25819999999999</v>
      </c>
      <c r="K803" s="10">
        <v>0</v>
      </c>
    </row>
    <row r="804" spans="1:11" x14ac:dyDescent="0.4">
      <c r="A804" s="25">
        <v>45302</v>
      </c>
      <c r="B804" s="11">
        <v>476.35</v>
      </c>
      <c r="C804" s="11">
        <v>457.9128</v>
      </c>
      <c r="D804" s="11">
        <v>437.46510000000001</v>
      </c>
      <c r="E804" s="10">
        <f t="shared" si="12"/>
        <v>0</v>
      </c>
      <c r="G804" s="29">
        <v>45300</v>
      </c>
      <c r="H804">
        <v>473.88</v>
      </c>
      <c r="I804">
        <v>455.38</v>
      </c>
      <c r="J804">
        <v>436.66180000000003</v>
      </c>
      <c r="K804" s="10">
        <v>0</v>
      </c>
    </row>
    <row r="805" spans="1:11" x14ac:dyDescent="0.4">
      <c r="A805" s="25">
        <v>45303</v>
      </c>
      <c r="B805" s="11">
        <v>476.68</v>
      </c>
      <c r="C805" s="11">
        <v>459.08240000000001</v>
      </c>
      <c r="D805" s="11">
        <v>437.87049999999999</v>
      </c>
      <c r="E805" s="10">
        <f t="shared" si="12"/>
        <v>0</v>
      </c>
      <c r="G805" s="29">
        <v>45301</v>
      </c>
      <c r="H805">
        <v>476.56</v>
      </c>
      <c r="I805">
        <v>456.69760000000002</v>
      </c>
      <c r="J805">
        <v>437.06580000000002</v>
      </c>
      <c r="K805" s="10">
        <v>0</v>
      </c>
    </row>
    <row r="806" spans="1:11" x14ac:dyDescent="0.4">
      <c r="A806" s="25">
        <v>45307</v>
      </c>
      <c r="B806" s="11">
        <v>474.93</v>
      </c>
      <c r="C806" s="11">
        <v>460.12779999999998</v>
      </c>
      <c r="D806" s="11">
        <v>438.23840000000001</v>
      </c>
      <c r="E806" s="10">
        <f t="shared" si="12"/>
        <v>0</v>
      </c>
      <c r="G806" s="29">
        <v>45302</v>
      </c>
      <c r="H806">
        <v>476.35</v>
      </c>
      <c r="I806">
        <v>457.9128</v>
      </c>
      <c r="J806">
        <v>437.46510000000001</v>
      </c>
      <c r="K806" s="10">
        <v>0</v>
      </c>
    </row>
    <row r="807" spans="1:11" x14ac:dyDescent="0.4">
      <c r="A807" s="25">
        <v>45308</v>
      </c>
      <c r="B807" s="11">
        <v>472.29</v>
      </c>
      <c r="C807" s="11">
        <v>460.95839999999998</v>
      </c>
      <c r="D807" s="11">
        <v>438.58139999999997</v>
      </c>
      <c r="E807" s="10">
        <f t="shared" si="12"/>
        <v>0</v>
      </c>
      <c r="G807" s="29">
        <v>45303</v>
      </c>
      <c r="H807">
        <v>476.68</v>
      </c>
      <c r="I807">
        <v>459.08240000000001</v>
      </c>
      <c r="J807">
        <v>437.87049999999999</v>
      </c>
      <c r="K807" s="10">
        <v>0</v>
      </c>
    </row>
    <row r="808" spans="1:11" x14ac:dyDescent="0.4">
      <c r="A808" s="25">
        <v>45309</v>
      </c>
      <c r="B808" s="11">
        <v>476.49</v>
      </c>
      <c r="C808" s="11">
        <v>461.7944</v>
      </c>
      <c r="D808" s="11">
        <v>438.91680000000002</v>
      </c>
      <c r="E808" s="10">
        <f t="shared" si="12"/>
        <v>0</v>
      </c>
      <c r="G808" s="29">
        <v>45307</v>
      </c>
      <c r="H808">
        <v>474.93</v>
      </c>
      <c r="I808">
        <v>460.12779999999998</v>
      </c>
      <c r="J808">
        <v>438.23840000000001</v>
      </c>
      <c r="K808" s="10">
        <v>0</v>
      </c>
    </row>
    <row r="809" spans="1:11" x14ac:dyDescent="0.4">
      <c r="A809" s="25">
        <v>45310</v>
      </c>
      <c r="B809" s="11">
        <v>482.43</v>
      </c>
      <c r="C809" s="11">
        <v>462.72919999999999</v>
      </c>
      <c r="D809" s="11">
        <v>439.27420000000001</v>
      </c>
      <c r="E809" s="10">
        <f t="shared" si="12"/>
        <v>0</v>
      </c>
      <c r="G809" s="29">
        <v>45308</v>
      </c>
      <c r="H809">
        <v>472.29</v>
      </c>
      <c r="I809">
        <v>460.95839999999998</v>
      </c>
      <c r="J809">
        <v>438.58139999999997</v>
      </c>
      <c r="K809" s="10">
        <v>0</v>
      </c>
    </row>
    <row r="810" spans="1:11" x14ac:dyDescent="0.4">
      <c r="A810" s="25">
        <v>45313</v>
      </c>
      <c r="B810" s="11">
        <v>483.45</v>
      </c>
      <c r="C810" s="11">
        <v>463.65960000000001</v>
      </c>
      <c r="D810" s="11">
        <v>439.64819999999997</v>
      </c>
      <c r="E810" s="10">
        <f t="shared" si="12"/>
        <v>0</v>
      </c>
      <c r="G810" s="29">
        <v>45309</v>
      </c>
      <c r="H810">
        <v>476.49</v>
      </c>
      <c r="I810">
        <v>461.7944</v>
      </c>
      <c r="J810">
        <v>438.91680000000002</v>
      </c>
      <c r="K810" s="10">
        <v>0</v>
      </c>
    </row>
    <row r="811" spans="1:11" x14ac:dyDescent="0.4">
      <c r="A811" s="25">
        <v>45314</v>
      </c>
      <c r="B811" s="11">
        <v>484.86</v>
      </c>
      <c r="C811" s="11">
        <v>464.61180000000002</v>
      </c>
      <c r="D811" s="11">
        <v>440.03440000000001</v>
      </c>
      <c r="E811" s="10">
        <f t="shared" si="12"/>
        <v>0</v>
      </c>
      <c r="G811" s="29">
        <v>45310</v>
      </c>
      <c r="H811">
        <v>482.43</v>
      </c>
      <c r="I811">
        <v>462.72919999999999</v>
      </c>
      <c r="J811">
        <v>439.27420000000001</v>
      </c>
      <c r="K811" s="10">
        <v>0</v>
      </c>
    </row>
    <row r="812" spans="1:11" x14ac:dyDescent="0.4">
      <c r="A812" s="25">
        <v>45315</v>
      </c>
      <c r="B812" s="11">
        <v>485.39</v>
      </c>
      <c r="C812" s="11">
        <v>465.64280000000002</v>
      </c>
      <c r="D812" s="11">
        <v>440.41539999999998</v>
      </c>
      <c r="E812" s="10">
        <f t="shared" si="12"/>
        <v>0</v>
      </c>
      <c r="G812" s="29">
        <v>45313</v>
      </c>
      <c r="H812">
        <v>483.45</v>
      </c>
      <c r="I812">
        <v>463.65960000000001</v>
      </c>
      <c r="J812">
        <v>439.64819999999997</v>
      </c>
      <c r="K812" s="10">
        <v>0</v>
      </c>
    </row>
    <row r="813" spans="1:11" x14ac:dyDescent="0.4">
      <c r="A813" s="25">
        <v>45316</v>
      </c>
      <c r="B813" s="11">
        <v>488.03</v>
      </c>
      <c r="C813" s="11">
        <v>466.59120000000001</v>
      </c>
      <c r="D813" s="11">
        <v>440.80759999999998</v>
      </c>
      <c r="E813" s="10">
        <f t="shared" si="12"/>
        <v>0</v>
      </c>
      <c r="G813" s="29">
        <v>45314</v>
      </c>
      <c r="H813">
        <v>484.86</v>
      </c>
      <c r="I813">
        <v>464.61180000000002</v>
      </c>
      <c r="J813">
        <v>440.03440000000001</v>
      </c>
      <c r="K813" s="10">
        <v>0</v>
      </c>
    </row>
    <row r="814" spans="1:11" x14ac:dyDescent="0.4">
      <c r="A814" s="25">
        <v>45317</v>
      </c>
      <c r="B814" s="11">
        <v>487.41</v>
      </c>
      <c r="C814" s="11">
        <v>467.53559999999999</v>
      </c>
      <c r="D814" s="11">
        <v>441.19600000000003</v>
      </c>
      <c r="E814" s="10">
        <f t="shared" si="12"/>
        <v>0</v>
      </c>
      <c r="G814" s="29">
        <v>45315</v>
      </c>
      <c r="H814">
        <v>485.39</v>
      </c>
      <c r="I814">
        <v>465.64280000000002</v>
      </c>
      <c r="J814">
        <v>440.41539999999998</v>
      </c>
      <c r="K814" s="10">
        <v>0</v>
      </c>
    </row>
    <row r="815" spans="1:11" x14ac:dyDescent="0.4">
      <c r="A815" s="25">
        <v>45320</v>
      </c>
      <c r="B815" s="11">
        <v>491.27</v>
      </c>
      <c r="C815" s="11">
        <v>468.38639999999998</v>
      </c>
      <c r="D815" s="11">
        <v>441.6121</v>
      </c>
      <c r="E815" s="10">
        <f t="shared" si="12"/>
        <v>0</v>
      </c>
      <c r="G815" s="29">
        <v>45316</v>
      </c>
      <c r="H815">
        <v>488.03</v>
      </c>
      <c r="I815">
        <v>466.59120000000001</v>
      </c>
      <c r="J815">
        <v>440.80759999999998</v>
      </c>
      <c r="K815" s="10">
        <v>0</v>
      </c>
    </row>
    <row r="816" spans="1:11" x14ac:dyDescent="0.4">
      <c r="A816" s="25">
        <v>45321</v>
      </c>
      <c r="B816" s="11">
        <v>490.89</v>
      </c>
      <c r="C816" s="11">
        <v>469.2106</v>
      </c>
      <c r="D816" s="11">
        <v>441.99919999999997</v>
      </c>
      <c r="E816" s="10">
        <f t="shared" si="12"/>
        <v>0</v>
      </c>
      <c r="G816" s="29">
        <v>45317</v>
      </c>
      <c r="H816">
        <v>487.41</v>
      </c>
      <c r="I816">
        <v>467.53559999999999</v>
      </c>
      <c r="J816">
        <v>441.19600000000003</v>
      </c>
      <c r="K816" s="10">
        <v>0</v>
      </c>
    </row>
    <row r="817" spans="1:11" x14ac:dyDescent="0.4">
      <c r="A817" s="25">
        <v>45322</v>
      </c>
      <c r="B817" s="11">
        <v>482.88</v>
      </c>
      <c r="C817" s="11">
        <v>469.86360000000002</v>
      </c>
      <c r="D817" s="11">
        <v>442.35129999999998</v>
      </c>
      <c r="E817" s="10">
        <f t="shared" si="12"/>
        <v>0</v>
      </c>
      <c r="G817" s="29">
        <v>45320</v>
      </c>
      <c r="H817">
        <v>491.27</v>
      </c>
      <c r="I817">
        <v>468.38639999999998</v>
      </c>
      <c r="J817">
        <v>441.6121</v>
      </c>
      <c r="K817" s="10">
        <v>0</v>
      </c>
    </row>
    <row r="818" spans="1:11" x14ac:dyDescent="0.4">
      <c r="A818" s="25">
        <v>45323</v>
      </c>
      <c r="B818" s="11">
        <v>489.2</v>
      </c>
      <c r="C818" s="11">
        <v>470.6318</v>
      </c>
      <c r="D818" s="11">
        <v>442.7276</v>
      </c>
      <c r="E818" s="10">
        <f t="shared" si="12"/>
        <v>0</v>
      </c>
      <c r="G818" s="29">
        <v>45321</v>
      </c>
      <c r="H818">
        <v>490.89</v>
      </c>
      <c r="I818">
        <v>469.2106</v>
      </c>
      <c r="J818">
        <v>441.99919999999997</v>
      </c>
      <c r="K818" s="10">
        <v>0</v>
      </c>
    </row>
    <row r="819" spans="1:11" x14ac:dyDescent="0.4">
      <c r="A819" s="25">
        <v>45324</v>
      </c>
      <c r="B819" s="11">
        <v>494.35</v>
      </c>
      <c r="C819" s="11">
        <v>471.43360000000001</v>
      </c>
      <c r="D819" s="11">
        <v>443.12830000000002</v>
      </c>
      <c r="E819" s="10">
        <f t="shared" si="12"/>
        <v>0</v>
      </c>
      <c r="G819" s="29">
        <v>45322</v>
      </c>
      <c r="H819">
        <v>482.88</v>
      </c>
      <c r="I819">
        <v>469.86360000000002</v>
      </c>
      <c r="J819">
        <v>442.35129999999998</v>
      </c>
      <c r="K819" s="10">
        <v>0</v>
      </c>
    </row>
    <row r="820" spans="1:11" x14ac:dyDescent="0.4">
      <c r="A820" s="25">
        <v>45327</v>
      </c>
      <c r="B820" s="11">
        <v>492.55</v>
      </c>
      <c r="C820" s="11">
        <v>472.2192</v>
      </c>
      <c r="D820" s="11">
        <v>443.5204</v>
      </c>
      <c r="E820" s="10">
        <f t="shared" si="12"/>
        <v>0</v>
      </c>
      <c r="G820" s="29">
        <v>45323</v>
      </c>
      <c r="H820">
        <v>489.2</v>
      </c>
      <c r="I820">
        <v>470.6318</v>
      </c>
      <c r="J820">
        <v>442.7276</v>
      </c>
      <c r="K820" s="10">
        <v>0</v>
      </c>
    </row>
    <row r="821" spans="1:11" x14ac:dyDescent="0.4">
      <c r="A821" s="25">
        <v>45328</v>
      </c>
      <c r="B821" s="11">
        <v>493.98</v>
      </c>
      <c r="C821" s="11">
        <v>472.9984</v>
      </c>
      <c r="D821" s="11">
        <v>443.93079999999998</v>
      </c>
      <c r="E821" s="10">
        <f t="shared" si="12"/>
        <v>0</v>
      </c>
      <c r="G821" s="29">
        <v>45324</v>
      </c>
      <c r="H821">
        <v>494.35</v>
      </c>
      <c r="I821">
        <v>471.43360000000001</v>
      </c>
      <c r="J821">
        <v>443.12830000000002</v>
      </c>
      <c r="K821" s="10">
        <v>0</v>
      </c>
    </row>
    <row r="822" spans="1:11" x14ac:dyDescent="0.4">
      <c r="A822" s="25">
        <v>45329</v>
      </c>
      <c r="B822" s="11">
        <v>498.1</v>
      </c>
      <c r="C822" s="11">
        <v>473.8544</v>
      </c>
      <c r="D822" s="11">
        <v>444.36040000000003</v>
      </c>
      <c r="E822" s="10">
        <f t="shared" si="12"/>
        <v>0</v>
      </c>
      <c r="G822" s="29">
        <v>45327</v>
      </c>
      <c r="H822">
        <v>492.55</v>
      </c>
      <c r="I822">
        <v>472.2192</v>
      </c>
      <c r="J822">
        <v>443.5204</v>
      </c>
      <c r="K822" s="10">
        <v>0</v>
      </c>
    </row>
    <row r="823" spans="1:11" x14ac:dyDescent="0.4">
      <c r="A823" s="25">
        <v>45330</v>
      </c>
      <c r="B823" s="11">
        <v>498.32</v>
      </c>
      <c r="C823" s="11">
        <v>474.7312</v>
      </c>
      <c r="D823" s="11">
        <v>444.78879999999998</v>
      </c>
      <c r="E823" s="10">
        <f t="shared" si="12"/>
        <v>0</v>
      </c>
      <c r="G823" s="29">
        <v>45328</v>
      </c>
      <c r="H823">
        <v>493.98</v>
      </c>
      <c r="I823">
        <v>472.9984</v>
      </c>
      <c r="J823">
        <v>443.93079999999998</v>
      </c>
      <c r="K823" s="10">
        <v>0</v>
      </c>
    </row>
    <row r="824" spans="1:11" x14ac:dyDescent="0.4">
      <c r="A824" s="25">
        <v>45331</v>
      </c>
      <c r="B824" s="11">
        <v>501.2</v>
      </c>
      <c r="C824" s="11">
        <v>475.65660000000003</v>
      </c>
      <c r="D824" s="11">
        <v>445.26440000000002</v>
      </c>
      <c r="E824" s="10">
        <f t="shared" si="12"/>
        <v>0</v>
      </c>
      <c r="G824" s="29">
        <v>45329</v>
      </c>
      <c r="H824">
        <v>498.1</v>
      </c>
      <c r="I824">
        <v>473.8544</v>
      </c>
      <c r="J824">
        <v>444.36040000000003</v>
      </c>
      <c r="K824" s="10">
        <v>0</v>
      </c>
    </row>
    <row r="825" spans="1:11" x14ac:dyDescent="0.4">
      <c r="A825" s="25">
        <v>45334</v>
      </c>
      <c r="B825" s="11">
        <v>500.98</v>
      </c>
      <c r="C825" s="11">
        <v>476.584</v>
      </c>
      <c r="D825" s="11">
        <v>445.7475</v>
      </c>
      <c r="E825" s="10">
        <f t="shared" si="12"/>
        <v>0</v>
      </c>
      <c r="G825" s="29">
        <v>45330</v>
      </c>
      <c r="H825">
        <v>498.32</v>
      </c>
      <c r="I825">
        <v>474.7312</v>
      </c>
      <c r="J825">
        <v>444.78879999999998</v>
      </c>
      <c r="K825" s="10">
        <v>0</v>
      </c>
    </row>
    <row r="826" spans="1:11" x14ac:dyDescent="0.4">
      <c r="A826" s="25">
        <v>45335</v>
      </c>
      <c r="B826" s="11">
        <v>494.08</v>
      </c>
      <c r="C826" s="11">
        <v>477.33760000000001</v>
      </c>
      <c r="D826" s="11">
        <v>446.1558</v>
      </c>
      <c r="E826" s="10">
        <f t="shared" si="12"/>
        <v>0</v>
      </c>
      <c r="G826" s="29">
        <v>45331</v>
      </c>
      <c r="H826">
        <v>501.2</v>
      </c>
      <c r="I826">
        <v>475.65660000000003</v>
      </c>
      <c r="J826">
        <v>445.26440000000002</v>
      </c>
      <c r="K826" s="10">
        <v>0</v>
      </c>
    </row>
    <row r="827" spans="1:11" x14ac:dyDescent="0.4">
      <c r="A827" s="25">
        <v>45336</v>
      </c>
      <c r="B827" s="11">
        <v>498.57</v>
      </c>
      <c r="C827" s="11">
        <v>478.12700000000001</v>
      </c>
      <c r="D827" s="11">
        <v>446.56900000000002</v>
      </c>
      <c r="E827" s="10">
        <f t="shared" si="12"/>
        <v>0</v>
      </c>
      <c r="G827" s="29">
        <v>45334</v>
      </c>
      <c r="H827">
        <v>500.98</v>
      </c>
      <c r="I827">
        <v>476.584</v>
      </c>
      <c r="J827">
        <v>445.7475</v>
      </c>
      <c r="K827" s="10">
        <v>0</v>
      </c>
    </row>
    <row r="828" spans="1:11" x14ac:dyDescent="0.4">
      <c r="A828" s="25">
        <v>45337</v>
      </c>
      <c r="B828" s="11">
        <v>502.01</v>
      </c>
      <c r="C828" s="11">
        <v>479.03339999999997</v>
      </c>
      <c r="D828" s="11">
        <v>447.0016</v>
      </c>
      <c r="E828" s="10">
        <f t="shared" si="12"/>
        <v>0</v>
      </c>
      <c r="G828" s="29">
        <v>45335</v>
      </c>
      <c r="H828">
        <v>494.08</v>
      </c>
      <c r="I828">
        <v>477.33760000000001</v>
      </c>
      <c r="J828">
        <v>446.1558</v>
      </c>
      <c r="K828" s="10">
        <v>0</v>
      </c>
    </row>
    <row r="829" spans="1:11" x14ac:dyDescent="0.4">
      <c r="A829" s="25">
        <v>45338</v>
      </c>
      <c r="B829" s="11">
        <v>499.51</v>
      </c>
      <c r="C829" s="11">
        <v>479.89159999999998</v>
      </c>
      <c r="D829" s="11">
        <v>447.44490000000002</v>
      </c>
      <c r="E829" s="10">
        <f t="shared" si="12"/>
        <v>0</v>
      </c>
      <c r="G829" s="29">
        <v>45336</v>
      </c>
      <c r="H829">
        <v>498.57</v>
      </c>
      <c r="I829">
        <v>478.12700000000001</v>
      </c>
      <c r="J829">
        <v>446.56900000000002</v>
      </c>
      <c r="K829" s="10">
        <v>0</v>
      </c>
    </row>
    <row r="830" spans="1:11" x14ac:dyDescent="0.4">
      <c r="A830" s="25">
        <v>45342</v>
      </c>
      <c r="B830" s="11">
        <v>496.76</v>
      </c>
      <c r="C830" s="11">
        <v>480.73160000000001</v>
      </c>
      <c r="D830" s="11">
        <v>447.8886</v>
      </c>
      <c r="E830" s="10">
        <f t="shared" si="12"/>
        <v>0</v>
      </c>
      <c r="G830" s="29">
        <v>45337</v>
      </c>
      <c r="H830">
        <v>502.01</v>
      </c>
      <c r="I830">
        <v>479.03339999999997</v>
      </c>
      <c r="J830">
        <v>447.0016</v>
      </c>
      <c r="K830" s="10">
        <v>0</v>
      </c>
    </row>
    <row r="831" spans="1:11" x14ac:dyDescent="0.4">
      <c r="A831" s="25">
        <v>45343</v>
      </c>
      <c r="B831" s="11">
        <v>497.21</v>
      </c>
      <c r="C831" s="11">
        <v>481.51119999999997</v>
      </c>
      <c r="D831" s="11">
        <v>448.34899999999999</v>
      </c>
      <c r="E831" s="10">
        <f t="shared" si="12"/>
        <v>0</v>
      </c>
      <c r="G831" s="29">
        <v>45338</v>
      </c>
      <c r="H831">
        <v>499.51</v>
      </c>
      <c r="I831">
        <v>479.89159999999998</v>
      </c>
      <c r="J831">
        <v>447.44490000000002</v>
      </c>
      <c r="K831" s="10">
        <v>0</v>
      </c>
    </row>
    <row r="832" spans="1:11" x14ac:dyDescent="0.4">
      <c r="A832" s="25">
        <v>45344</v>
      </c>
      <c r="B832" s="11">
        <v>507.5</v>
      </c>
      <c r="C832" s="11">
        <v>482.4572</v>
      </c>
      <c r="D832" s="11">
        <v>448.82339999999999</v>
      </c>
      <c r="E832" s="10">
        <f t="shared" si="12"/>
        <v>0</v>
      </c>
      <c r="G832" s="29">
        <v>45342</v>
      </c>
      <c r="H832">
        <v>496.76</v>
      </c>
      <c r="I832">
        <v>480.73160000000001</v>
      </c>
      <c r="J832">
        <v>447.8886</v>
      </c>
      <c r="K832" s="10">
        <v>0</v>
      </c>
    </row>
    <row r="833" spans="1:11" x14ac:dyDescent="0.4">
      <c r="A833" s="25">
        <v>45345</v>
      </c>
      <c r="B833" s="11">
        <v>507.85</v>
      </c>
      <c r="C833" s="11">
        <v>483.37439999999998</v>
      </c>
      <c r="D833" s="11">
        <v>449.2989</v>
      </c>
      <c r="E833" s="10">
        <f t="shared" si="12"/>
        <v>0</v>
      </c>
      <c r="G833" s="29">
        <v>45343</v>
      </c>
      <c r="H833">
        <v>497.21</v>
      </c>
      <c r="I833">
        <v>481.51119999999997</v>
      </c>
      <c r="J833">
        <v>448.34899999999999</v>
      </c>
      <c r="K833" s="10">
        <v>0</v>
      </c>
    </row>
    <row r="834" spans="1:11" x14ac:dyDescent="0.4">
      <c r="A834" s="25">
        <v>45348</v>
      </c>
      <c r="B834" s="11">
        <v>505.99</v>
      </c>
      <c r="C834" s="11">
        <v>484.2122</v>
      </c>
      <c r="D834" s="11">
        <v>449.77420000000001</v>
      </c>
      <c r="E834" s="10">
        <f t="shared" si="12"/>
        <v>0</v>
      </c>
      <c r="G834" s="29">
        <v>45344</v>
      </c>
      <c r="H834">
        <v>507.5</v>
      </c>
      <c r="I834">
        <v>482.4572</v>
      </c>
      <c r="J834">
        <v>448.82339999999999</v>
      </c>
      <c r="K834" s="10">
        <v>0</v>
      </c>
    </row>
    <row r="835" spans="1:11" x14ac:dyDescent="0.4">
      <c r="A835" s="25">
        <v>45349</v>
      </c>
      <c r="B835" s="11">
        <v>506.93</v>
      </c>
      <c r="C835" s="11">
        <v>484.94080000000002</v>
      </c>
      <c r="D835" s="11">
        <v>450.24459999999999</v>
      </c>
      <c r="E835" s="10">
        <f t="shared" ref="E835:E898" si="13">IF(AND(C835&gt;D835, C834&lt;D834), 1, 0)</f>
        <v>0</v>
      </c>
      <c r="G835" s="29">
        <v>45345</v>
      </c>
      <c r="H835">
        <v>507.85</v>
      </c>
      <c r="I835">
        <v>483.37439999999998</v>
      </c>
      <c r="J835">
        <v>449.2989</v>
      </c>
      <c r="K835" s="10">
        <v>0</v>
      </c>
    </row>
    <row r="836" spans="1:11" x14ac:dyDescent="0.4">
      <c r="A836" s="25">
        <v>45350</v>
      </c>
      <c r="B836" s="11">
        <v>506.26</v>
      </c>
      <c r="C836" s="11">
        <v>485.62580000000003</v>
      </c>
      <c r="D836" s="11">
        <v>450.71519999999998</v>
      </c>
      <c r="E836" s="10">
        <f t="shared" si="13"/>
        <v>0</v>
      </c>
      <c r="G836" s="29">
        <v>45348</v>
      </c>
      <c r="H836">
        <v>505.99</v>
      </c>
      <c r="I836">
        <v>484.2122</v>
      </c>
      <c r="J836">
        <v>449.77420000000001</v>
      </c>
      <c r="K836" s="10">
        <v>0</v>
      </c>
    </row>
    <row r="837" spans="1:11" x14ac:dyDescent="0.4">
      <c r="A837" s="25">
        <v>45351</v>
      </c>
      <c r="B837" s="11">
        <v>508.08</v>
      </c>
      <c r="C837" s="11">
        <v>486.4008</v>
      </c>
      <c r="D837" s="11">
        <v>451.1977</v>
      </c>
      <c r="E837" s="10">
        <f t="shared" si="13"/>
        <v>0</v>
      </c>
      <c r="G837" s="29">
        <v>45349</v>
      </c>
      <c r="H837">
        <v>506.93</v>
      </c>
      <c r="I837">
        <v>484.94080000000002</v>
      </c>
      <c r="J837">
        <v>450.24459999999999</v>
      </c>
      <c r="K837" s="10">
        <v>0</v>
      </c>
    </row>
    <row r="838" spans="1:11" x14ac:dyDescent="0.4">
      <c r="A838" s="25">
        <v>45352</v>
      </c>
      <c r="B838" s="11">
        <v>512.85</v>
      </c>
      <c r="C838" s="11">
        <v>487.21839999999997</v>
      </c>
      <c r="D838" s="11">
        <v>451.69690000000003</v>
      </c>
      <c r="E838" s="10">
        <f t="shared" si="13"/>
        <v>0</v>
      </c>
      <c r="G838" s="29">
        <v>45350</v>
      </c>
      <c r="H838">
        <v>506.26</v>
      </c>
      <c r="I838">
        <v>485.62580000000003</v>
      </c>
      <c r="J838">
        <v>450.71519999999998</v>
      </c>
      <c r="K838" s="10">
        <v>0</v>
      </c>
    </row>
    <row r="839" spans="1:11" x14ac:dyDescent="0.4">
      <c r="A839" s="25">
        <v>45355</v>
      </c>
      <c r="B839" s="11">
        <v>512.29999999999995</v>
      </c>
      <c r="C839" s="11">
        <v>487.9676</v>
      </c>
      <c r="D839" s="11">
        <v>452.2072</v>
      </c>
      <c r="E839" s="10">
        <f t="shared" si="13"/>
        <v>0</v>
      </c>
      <c r="G839" s="29">
        <v>45351</v>
      </c>
      <c r="H839">
        <v>508.08</v>
      </c>
      <c r="I839">
        <v>486.4008</v>
      </c>
      <c r="J839">
        <v>451.1977</v>
      </c>
      <c r="K839" s="10">
        <v>0</v>
      </c>
    </row>
    <row r="840" spans="1:11" x14ac:dyDescent="0.4">
      <c r="A840" s="25">
        <v>45356</v>
      </c>
      <c r="B840" s="11">
        <v>507.18</v>
      </c>
      <c r="C840" s="11">
        <v>488.74599999999998</v>
      </c>
      <c r="D840" s="11">
        <v>452.6669</v>
      </c>
      <c r="E840" s="10">
        <f t="shared" si="13"/>
        <v>0</v>
      </c>
      <c r="G840" s="29">
        <v>45352</v>
      </c>
      <c r="H840">
        <v>512.85</v>
      </c>
      <c r="I840">
        <v>487.21839999999997</v>
      </c>
      <c r="J840">
        <v>451.69690000000003</v>
      </c>
      <c r="K840" s="10">
        <v>0</v>
      </c>
    </row>
    <row r="841" spans="1:11" x14ac:dyDescent="0.4">
      <c r="A841" s="25">
        <v>45357</v>
      </c>
      <c r="B841" s="11">
        <v>509.75</v>
      </c>
      <c r="C841" s="11">
        <v>489.48700000000002</v>
      </c>
      <c r="D841" s="11">
        <v>453.11950000000002</v>
      </c>
      <c r="E841" s="10">
        <f t="shared" si="13"/>
        <v>0</v>
      </c>
      <c r="G841" s="29">
        <v>45355</v>
      </c>
      <c r="H841">
        <v>512.29999999999995</v>
      </c>
      <c r="I841">
        <v>487.9676</v>
      </c>
      <c r="J841">
        <v>452.2072</v>
      </c>
      <c r="K841" s="10">
        <v>0</v>
      </c>
    </row>
    <row r="842" spans="1:11" x14ac:dyDescent="0.4">
      <c r="A842" s="25">
        <v>45358</v>
      </c>
      <c r="B842" s="11">
        <v>514.80999999999995</v>
      </c>
      <c r="C842" s="11">
        <v>490.31020000000001</v>
      </c>
      <c r="D842" s="11">
        <v>453.60039999999998</v>
      </c>
      <c r="E842" s="10">
        <f t="shared" si="13"/>
        <v>0</v>
      </c>
      <c r="G842" s="29">
        <v>45356</v>
      </c>
      <c r="H842">
        <v>507.18</v>
      </c>
      <c r="I842">
        <v>488.74599999999998</v>
      </c>
      <c r="J842">
        <v>452.6669</v>
      </c>
      <c r="K842" s="10">
        <v>0</v>
      </c>
    </row>
    <row r="843" spans="1:11" x14ac:dyDescent="0.4">
      <c r="A843" s="25">
        <v>45359</v>
      </c>
      <c r="B843" s="11">
        <v>511.72</v>
      </c>
      <c r="C843" s="11">
        <v>491.03160000000003</v>
      </c>
      <c r="D843" s="11">
        <v>454.06509999999997</v>
      </c>
      <c r="E843" s="10">
        <f t="shared" si="13"/>
        <v>0</v>
      </c>
      <c r="G843" s="29">
        <v>45357</v>
      </c>
      <c r="H843">
        <v>509.75</v>
      </c>
      <c r="I843">
        <v>489.48700000000002</v>
      </c>
      <c r="J843">
        <v>453.11950000000002</v>
      </c>
      <c r="K843" s="10">
        <v>0</v>
      </c>
    </row>
    <row r="844" spans="1:11" x14ac:dyDescent="0.4">
      <c r="A844" s="25">
        <v>45362</v>
      </c>
      <c r="B844" s="11">
        <v>511.28</v>
      </c>
      <c r="C844" s="11">
        <v>491.72699999999998</v>
      </c>
      <c r="D844" s="11">
        <v>454.55099999999999</v>
      </c>
      <c r="E844" s="10">
        <f t="shared" si="13"/>
        <v>0</v>
      </c>
      <c r="G844" s="29">
        <v>45358</v>
      </c>
      <c r="H844">
        <v>514.80999999999995</v>
      </c>
      <c r="I844">
        <v>490.31020000000001</v>
      </c>
      <c r="J844">
        <v>453.60039999999998</v>
      </c>
      <c r="K844" s="10">
        <v>0</v>
      </c>
    </row>
    <row r="845" spans="1:11" x14ac:dyDescent="0.4">
      <c r="A845" s="25">
        <v>45363</v>
      </c>
      <c r="B845" s="11">
        <v>516.78</v>
      </c>
      <c r="C845" s="11">
        <v>492.52879999999999</v>
      </c>
      <c r="D845" s="11">
        <v>455.0795</v>
      </c>
      <c r="E845" s="10">
        <f t="shared" si="13"/>
        <v>0</v>
      </c>
      <c r="G845" s="29">
        <v>45359</v>
      </c>
      <c r="H845">
        <v>511.72</v>
      </c>
      <c r="I845">
        <v>491.03160000000003</v>
      </c>
      <c r="J845">
        <v>454.06509999999997</v>
      </c>
      <c r="K845" s="10">
        <v>0</v>
      </c>
    </row>
    <row r="846" spans="1:11" x14ac:dyDescent="0.4">
      <c r="A846" s="25">
        <v>45364</v>
      </c>
      <c r="B846" s="11">
        <v>515.97</v>
      </c>
      <c r="C846" s="11">
        <v>493.34199999999998</v>
      </c>
      <c r="D846" s="11">
        <v>455.58609999999999</v>
      </c>
      <c r="E846" s="10">
        <f t="shared" si="13"/>
        <v>0</v>
      </c>
      <c r="G846" s="29">
        <v>45362</v>
      </c>
      <c r="H846">
        <v>511.28</v>
      </c>
      <c r="I846">
        <v>491.72699999999998</v>
      </c>
      <c r="J846">
        <v>454.55099999999999</v>
      </c>
      <c r="K846" s="10">
        <v>0</v>
      </c>
    </row>
    <row r="847" spans="1:11" x14ac:dyDescent="0.4">
      <c r="A847" s="25">
        <v>45365</v>
      </c>
      <c r="B847" s="11">
        <v>514.95000000000005</v>
      </c>
      <c r="C847" s="11">
        <v>494.18799999999999</v>
      </c>
      <c r="D847" s="11">
        <v>456.06079999999997</v>
      </c>
      <c r="E847" s="10">
        <f t="shared" si="13"/>
        <v>0</v>
      </c>
      <c r="G847" s="29">
        <v>45363</v>
      </c>
      <c r="H847">
        <v>516.78</v>
      </c>
      <c r="I847">
        <v>492.52879999999999</v>
      </c>
      <c r="J847">
        <v>455.0795</v>
      </c>
      <c r="K847" s="10">
        <v>0</v>
      </c>
    </row>
    <row r="848" spans="1:11" x14ac:dyDescent="0.4">
      <c r="A848" s="25">
        <v>45366</v>
      </c>
      <c r="B848" s="11">
        <v>509.83</v>
      </c>
      <c r="C848" s="11">
        <v>495.00880000000001</v>
      </c>
      <c r="D848" s="11">
        <v>456.50900000000001</v>
      </c>
      <c r="E848" s="10">
        <f t="shared" si="13"/>
        <v>0</v>
      </c>
      <c r="G848" s="29">
        <v>45364</v>
      </c>
      <c r="H848">
        <v>515.97</v>
      </c>
      <c r="I848">
        <v>493.34199999999998</v>
      </c>
      <c r="J848">
        <v>455.58609999999999</v>
      </c>
      <c r="K848" s="10">
        <v>0</v>
      </c>
    </row>
    <row r="849" spans="1:11" x14ac:dyDescent="0.4">
      <c r="A849" s="25">
        <v>45369</v>
      </c>
      <c r="B849" s="11">
        <v>512.86</v>
      </c>
      <c r="C849" s="11">
        <v>495.92039999999997</v>
      </c>
      <c r="D849" s="11">
        <v>456.98399999999998</v>
      </c>
      <c r="E849" s="10">
        <f t="shared" si="13"/>
        <v>0</v>
      </c>
      <c r="G849" s="29">
        <v>45365</v>
      </c>
      <c r="H849">
        <v>514.95000000000005</v>
      </c>
      <c r="I849">
        <v>494.18799999999999</v>
      </c>
      <c r="J849">
        <v>456.06079999999997</v>
      </c>
      <c r="K849" s="10">
        <v>0</v>
      </c>
    </row>
    <row r="850" spans="1:11" x14ac:dyDescent="0.4">
      <c r="A850" s="25">
        <v>45370</v>
      </c>
      <c r="B850" s="11">
        <v>515.71</v>
      </c>
      <c r="C850" s="11">
        <v>496.87619999999998</v>
      </c>
      <c r="D850" s="11">
        <v>457.45350000000002</v>
      </c>
      <c r="E850" s="10">
        <f t="shared" si="13"/>
        <v>0</v>
      </c>
      <c r="G850" s="29">
        <v>45366</v>
      </c>
      <c r="H850">
        <v>509.83</v>
      </c>
      <c r="I850">
        <v>495.00880000000001</v>
      </c>
      <c r="J850">
        <v>456.50900000000001</v>
      </c>
      <c r="K850" s="10">
        <v>0</v>
      </c>
    </row>
    <row r="851" spans="1:11" x14ac:dyDescent="0.4">
      <c r="A851" s="25">
        <v>45371</v>
      </c>
      <c r="B851" s="11">
        <v>520.48</v>
      </c>
      <c r="C851" s="11">
        <v>497.79379999999998</v>
      </c>
      <c r="D851" s="11">
        <v>457.91629999999998</v>
      </c>
      <c r="E851" s="10">
        <f t="shared" si="13"/>
        <v>0</v>
      </c>
      <c r="G851" s="29">
        <v>45369</v>
      </c>
      <c r="H851">
        <v>512.86</v>
      </c>
      <c r="I851">
        <v>495.92039999999997</v>
      </c>
      <c r="J851">
        <v>456.98399999999998</v>
      </c>
      <c r="K851" s="10">
        <v>0</v>
      </c>
    </row>
    <row r="852" spans="1:11" x14ac:dyDescent="0.4">
      <c r="A852" s="25">
        <v>45372</v>
      </c>
      <c r="B852" s="11">
        <v>522.20000000000005</v>
      </c>
      <c r="C852" s="11">
        <v>498.7602</v>
      </c>
      <c r="D852" s="11">
        <v>458.39179999999999</v>
      </c>
      <c r="E852" s="10">
        <f t="shared" si="13"/>
        <v>0</v>
      </c>
      <c r="G852" s="29">
        <v>45370</v>
      </c>
      <c r="H852">
        <v>515.71</v>
      </c>
      <c r="I852">
        <v>496.87619999999998</v>
      </c>
      <c r="J852">
        <v>457.45350000000002</v>
      </c>
      <c r="K852" s="10">
        <v>0</v>
      </c>
    </row>
    <row r="853" spans="1:11" x14ac:dyDescent="0.4">
      <c r="A853" s="25">
        <v>45373</v>
      </c>
      <c r="B853" s="11">
        <v>521.21</v>
      </c>
      <c r="C853" s="11">
        <v>499.65320000000003</v>
      </c>
      <c r="D853" s="11">
        <v>458.85770000000002</v>
      </c>
      <c r="E853" s="10">
        <f t="shared" si="13"/>
        <v>0</v>
      </c>
      <c r="G853" s="29">
        <v>45371</v>
      </c>
      <c r="H853">
        <v>520.48</v>
      </c>
      <c r="I853">
        <v>497.79379999999998</v>
      </c>
      <c r="J853">
        <v>457.91629999999998</v>
      </c>
      <c r="K853" s="10">
        <v>0</v>
      </c>
    </row>
    <row r="854" spans="1:11" x14ac:dyDescent="0.4">
      <c r="A854" s="25">
        <v>45376</v>
      </c>
      <c r="B854" s="11">
        <v>519.77</v>
      </c>
      <c r="C854" s="11">
        <v>500.52159999999998</v>
      </c>
      <c r="D854" s="11">
        <v>459.32380000000001</v>
      </c>
      <c r="E854" s="10">
        <f t="shared" si="13"/>
        <v>0</v>
      </c>
      <c r="G854" s="29">
        <v>45372</v>
      </c>
      <c r="H854">
        <v>522.20000000000005</v>
      </c>
      <c r="I854">
        <v>498.7602</v>
      </c>
      <c r="J854">
        <v>458.39179999999999</v>
      </c>
      <c r="K854" s="10">
        <v>0</v>
      </c>
    </row>
    <row r="855" spans="1:11" x14ac:dyDescent="0.4">
      <c r="A855" s="25">
        <v>45377</v>
      </c>
      <c r="B855" s="11">
        <v>518.80999999999995</v>
      </c>
      <c r="C855" s="11">
        <v>501.36419999999998</v>
      </c>
      <c r="D855" s="11">
        <v>459.7722</v>
      </c>
      <c r="E855" s="10">
        <f t="shared" si="13"/>
        <v>0</v>
      </c>
      <c r="G855" s="29">
        <v>45373</v>
      </c>
      <c r="H855">
        <v>521.21</v>
      </c>
      <c r="I855">
        <v>499.65320000000003</v>
      </c>
      <c r="J855">
        <v>458.85770000000002</v>
      </c>
      <c r="K855" s="10">
        <v>0</v>
      </c>
    </row>
    <row r="856" spans="1:11" x14ac:dyDescent="0.4">
      <c r="A856" s="25">
        <v>45378</v>
      </c>
      <c r="B856" s="11">
        <v>523.16999999999996</v>
      </c>
      <c r="C856" s="11">
        <v>502.32900000000001</v>
      </c>
      <c r="D856" s="11">
        <v>460.23860000000002</v>
      </c>
      <c r="E856" s="10">
        <f t="shared" si="13"/>
        <v>0</v>
      </c>
      <c r="G856" s="29">
        <v>45376</v>
      </c>
      <c r="H856">
        <v>519.77</v>
      </c>
      <c r="I856">
        <v>500.52159999999998</v>
      </c>
      <c r="J856">
        <v>459.32380000000001</v>
      </c>
      <c r="K856" s="10">
        <v>0</v>
      </c>
    </row>
    <row r="857" spans="1:11" x14ac:dyDescent="0.4">
      <c r="A857" s="25">
        <v>45379</v>
      </c>
      <c r="B857" s="11">
        <v>523.07000000000005</v>
      </c>
      <c r="C857" s="11">
        <v>503.34460000000001</v>
      </c>
      <c r="D857" s="11">
        <v>460.68490000000003</v>
      </c>
      <c r="E857" s="10">
        <f t="shared" si="13"/>
        <v>0</v>
      </c>
      <c r="G857" s="29">
        <v>45377</v>
      </c>
      <c r="H857">
        <v>518.80999999999995</v>
      </c>
      <c r="I857">
        <v>501.36419999999998</v>
      </c>
      <c r="J857">
        <v>459.7722</v>
      </c>
      <c r="K857" s="10">
        <v>0</v>
      </c>
    </row>
    <row r="858" spans="1:11" x14ac:dyDescent="0.4">
      <c r="A858" s="25">
        <v>45383</v>
      </c>
      <c r="B858" s="11">
        <v>522.16</v>
      </c>
      <c r="C858" s="11">
        <v>504.25799999999998</v>
      </c>
      <c r="D858" s="11">
        <v>461.11239999999998</v>
      </c>
      <c r="E858" s="10">
        <f t="shared" si="13"/>
        <v>0</v>
      </c>
      <c r="G858" s="29">
        <v>45378</v>
      </c>
      <c r="H858">
        <v>523.16999999999996</v>
      </c>
      <c r="I858">
        <v>502.32900000000001</v>
      </c>
      <c r="J858">
        <v>460.23860000000002</v>
      </c>
      <c r="K858" s="10">
        <v>0</v>
      </c>
    </row>
    <row r="859" spans="1:11" x14ac:dyDescent="0.4">
      <c r="A859" s="25">
        <v>45384</v>
      </c>
      <c r="B859" s="11">
        <v>518.84</v>
      </c>
      <c r="C859" s="11">
        <v>504.9862</v>
      </c>
      <c r="D859" s="11">
        <v>461.52069999999998</v>
      </c>
      <c r="E859" s="10">
        <f t="shared" si="13"/>
        <v>0</v>
      </c>
      <c r="G859" s="29">
        <v>45379</v>
      </c>
      <c r="H859">
        <v>523.07000000000005</v>
      </c>
      <c r="I859">
        <v>503.34460000000001</v>
      </c>
      <c r="J859">
        <v>460.68490000000003</v>
      </c>
      <c r="K859" s="10">
        <v>0</v>
      </c>
    </row>
    <row r="860" spans="1:11" x14ac:dyDescent="0.4">
      <c r="A860" s="25">
        <v>45385</v>
      </c>
      <c r="B860" s="11">
        <v>519.41</v>
      </c>
      <c r="C860" s="11">
        <v>505.7054</v>
      </c>
      <c r="D860" s="11">
        <v>461.90480000000002</v>
      </c>
      <c r="E860" s="10">
        <f t="shared" si="13"/>
        <v>0</v>
      </c>
      <c r="G860" s="29">
        <v>45383</v>
      </c>
      <c r="H860">
        <v>522.16</v>
      </c>
      <c r="I860">
        <v>504.25799999999998</v>
      </c>
      <c r="J860">
        <v>461.11239999999998</v>
      </c>
      <c r="K860" s="10">
        <v>0</v>
      </c>
    </row>
    <row r="861" spans="1:11" x14ac:dyDescent="0.4">
      <c r="A861" s="25">
        <v>45386</v>
      </c>
      <c r="B861" s="11">
        <v>513.07000000000005</v>
      </c>
      <c r="C861" s="11">
        <v>506.26960000000003</v>
      </c>
      <c r="D861" s="11">
        <v>462.27280000000002</v>
      </c>
      <c r="E861" s="10">
        <f t="shared" si="13"/>
        <v>0</v>
      </c>
      <c r="G861" s="29">
        <v>45384</v>
      </c>
      <c r="H861">
        <v>518.84</v>
      </c>
      <c r="I861">
        <v>504.9862</v>
      </c>
      <c r="J861">
        <v>461.52069999999998</v>
      </c>
      <c r="K861" s="10">
        <v>0</v>
      </c>
    </row>
    <row r="862" spans="1:11" x14ac:dyDescent="0.4">
      <c r="A862" s="25">
        <v>45387</v>
      </c>
      <c r="B862" s="11">
        <v>518.42999999999995</v>
      </c>
      <c r="C862" s="11">
        <v>506.93040000000002</v>
      </c>
      <c r="D862" s="11">
        <v>462.67899999999997</v>
      </c>
      <c r="E862" s="10">
        <f t="shared" si="13"/>
        <v>0</v>
      </c>
      <c r="G862" s="29">
        <v>45385</v>
      </c>
      <c r="H862">
        <v>519.41</v>
      </c>
      <c r="I862">
        <v>505.7054</v>
      </c>
      <c r="J862">
        <v>461.90480000000002</v>
      </c>
      <c r="K862" s="10">
        <v>0</v>
      </c>
    </row>
    <row r="863" spans="1:11" x14ac:dyDescent="0.4">
      <c r="A863" s="25">
        <v>45390</v>
      </c>
      <c r="B863" s="11">
        <v>518.72</v>
      </c>
      <c r="C863" s="11">
        <v>507.54419999999999</v>
      </c>
      <c r="D863" s="11">
        <v>463.09800000000001</v>
      </c>
      <c r="E863" s="10">
        <f t="shared" si="13"/>
        <v>0</v>
      </c>
      <c r="G863" s="29">
        <v>45386</v>
      </c>
      <c r="H863">
        <v>513.07000000000005</v>
      </c>
      <c r="I863">
        <v>506.26960000000003</v>
      </c>
      <c r="J863">
        <v>462.27280000000002</v>
      </c>
      <c r="K863" s="10">
        <v>0</v>
      </c>
    </row>
    <row r="864" spans="1:11" x14ac:dyDescent="0.4">
      <c r="A864" s="25">
        <v>45391</v>
      </c>
      <c r="B864" s="11">
        <v>519.32000000000005</v>
      </c>
      <c r="C864" s="11">
        <v>508.18239999999997</v>
      </c>
      <c r="D864" s="11">
        <v>463.512</v>
      </c>
      <c r="E864" s="10">
        <f t="shared" si="13"/>
        <v>0</v>
      </c>
      <c r="G864" s="29">
        <v>45387</v>
      </c>
      <c r="H864">
        <v>518.42999999999995</v>
      </c>
      <c r="I864">
        <v>506.93040000000002</v>
      </c>
      <c r="J864">
        <v>462.67899999999997</v>
      </c>
      <c r="K864" s="10">
        <v>0</v>
      </c>
    </row>
    <row r="865" spans="1:11" x14ac:dyDescent="0.4">
      <c r="A865" s="25">
        <v>45392</v>
      </c>
      <c r="B865" s="11">
        <v>514.12</v>
      </c>
      <c r="C865" s="11">
        <v>508.63940000000002</v>
      </c>
      <c r="D865" s="11">
        <v>463.91660000000002</v>
      </c>
      <c r="E865" s="10">
        <f t="shared" si="13"/>
        <v>0</v>
      </c>
      <c r="G865" s="29">
        <v>45390</v>
      </c>
      <c r="H865">
        <v>518.72</v>
      </c>
      <c r="I865">
        <v>507.54419999999999</v>
      </c>
      <c r="J865">
        <v>463.09800000000001</v>
      </c>
      <c r="K865" s="10">
        <v>0</v>
      </c>
    </row>
    <row r="866" spans="1:11" x14ac:dyDescent="0.4">
      <c r="A866" s="25">
        <v>45393</v>
      </c>
      <c r="B866" s="11">
        <v>518</v>
      </c>
      <c r="C866" s="11">
        <v>509.1816</v>
      </c>
      <c r="D866" s="11">
        <v>464.3494</v>
      </c>
      <c r="E866" s="10">
        <f t="shared" si="13"/>
        <v>0</v>
      </c>
      <c r="G866" s="29">
        <v>45391</v>
      </c>
      <c r="H866">
        <v>519.32000000000005</v>
      </c>
      <c r="I866">
        <v>508.18239999999997</v>
      </c>
      <c r="J866">
        <v>463.512</v>
      </c>
      <c r="K866" s="10">
        <v>0</v>
      </c>
    </row>
    <row r="867" spans="1:11" x14ac:dyDescent="0.4">
      <c r="A867" s="25">
        <v>45394</v>
      </c>
      <c r="B867" s="11">
        <v>510.85</v>
      </c>
      <c r="C867" s="11">
        <v>509.74099999999999</v>
      </c>
      <c r="D867" s="11">
        <v>464.72280000000001</v>
      </c>
      <c r="E867" s="10">
        <f t="shared" si="13"/>
        <v>0</v>
      </c>
      <c r="G867" s="29">
        <v>45392</v>
      </c>
      <c r="H867">
        <v>514.12</v>
      </c>
      <c r="I867">
        <v>508.63940000000002</v>
      </c>
      <c r="J867">
        <v>463.91660000000002</v>
      </c>
      <c r="K867" s="10">
        <v>0</v>
      </c>
    </row>
    <row r="868" spans="1:11" x14ac:dyDescent="0.4">
      <c r="A868" s="25">
        <v>45397</v>
      </c>
      <c r="B868" s="11">
        <v>504.45</v>
      </c>
      <c r="C868" s="11">
        <v>510.04599999999999</v>
      </c>
      <c r="D868" s="11">
        <v>465.06299999999999</v>
      </c>
      <c r="E868" s="10">
        <f t="shared" si="13"/>
        <v>0</v>
      </c>
      <c r="G868" s="29">
        <v>45393</v>
      </c>
      <c r="H868">
        <v>518</v>
      </c>
      <c r="I868">
        <v>509.1816</v>
      </c>
      <c r="J868">
        <v>464.3494</v>
      </c>
      <c r="K868" s="10">
        <v>0</v>
      </c>
    </row>
    <row r="869" spans="1:11" x14ac:dyDescent="0.4">
      <c r="A869" s="25">
        <v>45398</v>
      </c>
      <c r="B869" s="11">
        <v>503.53</v>
      </c>
      <c r="C869" s="11">
        <v>510.2296</v>
      </c>
      <c r="D869" s="11">
        <v>465.39019999999999</v>
      </c>
      <c r="E869" s="10">
        <f t="shared" si="13"/>
        <v>0</v>
      </c>
      <c r="G869" s="29">
        <v>45394</v>
      </c>
      <c r="H869">
        <v>510.85</v>
      </c>
      <c r="I869">
        <v>509.74099999999999</v>
      </c>
      <c r="J869">
        <v>464.72280000000001</v>
      </c>
      <c r="K869" s="10">
        <v>0</v>
      </c>
    </row>
    <row r="870" spans="1:11" x14ac:dyDescent="0.4">
      <c r="A870" s="25">
        <v>45399</v>
      </c>
      <c r="B870" s="11">
        <v>500.55</v>
      </c>
      <c r="C870" s="11">
        <v>510.38959999999997</v>
      </c>
      <c r="D870" s="11">
        <v>465.67649999999998</v>
      </c>
      <c r="E870" s="10">
        <f t="shared" si="13"/>
        <v>0</v>
      </c>
      <c r="G870" s="29">
        <v>45397</v>
      </c>
      <c r="H870">
        <v>504.45</v>
      </c>
      <c r="I870">
        <v>510.04599999999999</v>
      </c>
      <c r="J870">
        <v>465.06299999999999</v>
      </c>
      <c r="K870" s="10">
        <v>0</v>
      </c>
    </row>
    <row r="871" spans="1:11" x14ac:dyDescent="0.4">
      <c r="A871" s="25">
        <v>45400</v>
      </c>
      <c r="B871" s="11">
        <v>499.52</v>
      </c>
      <c r="C871" s="11">
        <v>510.50040000000001</v>
      </c>
      <c r="D871" s="11">
        <v>465.95519999999999</v>
      </c>
      <c r="E871" s="10">
        <f t="shared" si="13"/>
        <v>0</v>
      </c>
      <c r="G871" s="29">
        <v>45398</v>
      </c>
      <c r="H871">
        <v>503.53</v>
      </c>
      <c r="I871">
        <v>510.2296</v>
      </c>
      <c r="J871">
        <v>465.39019999999999</v>
      </c>
      <c r="K871" s="10">
        <v>0</v>
      </c>
    </row>
    <row r="872" spans="1:11" x14ac:dyDescent="0.4">
      <c r="A872" s="25">
        <v>45401</v>
      </c>
      <c r="B872" s="11">
        <v>495.16</v>
      </c>
      <c r="C872" s="11">
        <v>510.44159999999999</v>
      </c>
      <c r="D872" s="11">
        <v>466.21530000000001</v>
      </c>
      <c r="E872" s="10">
        <f t="shared" si="13"/>
        <v>0</v>
      </c>
      <c r="G872" s="29">
        <v>45399</v>
      </c>
      <c r="H872">
        <v>500.55</v>
      </c>
      <c r="I872">
        <v>510.38959999999997</v>
      </c>
      <c r="J872">
        <v>465.67649999999998</v>
      </c>
      <c r="K872" s="10">
        <v>0</v>
      </c>
    </row>
    <row r="873" spans="1:11" x14ac:dyDescent="0.4">
      <c r="A873" s="25">
        <v>45404</v>
      </c>
      <c r="B873" s="11">
        <v>499.72</v>
      </c>
      <c r="C873" s="11">
        <v>510.46960000000001</v>
      </c>
      <c r="D873" s="11">
        <v>466.51560000000001</v>
      </c>
      <c r="E873" s="10">
        <f t="shared" si="13"/>
        <v>0</v>
      </c>
      <c r="G873" s="29">
        <v>45400</v>
      </c>
      <c r="H873">
        <v>499.52</v>
      </c>
      <c r="I873">
        <v>510.50040000000001</v>
      </c>
      <c r="J873">
        <v>465.95519999999999</v>
      </c>
      <c r="K873" s="10">
        <v>0</v>
      </c>
    </row>
    <row r="874" spans="1:11" x14ac:dyDescent="0.4">
      <c r="A874" s="25">
        <v>45405</v>
      </c>
      <c r="B874" s="11">
        <v>505.65</v>
      </c>
      <c r="C874" s="11">
        <v>510.55860000000001</v>
      </c>
      <c r="D874" s="11">
        <v>466.85109999999997</v>
      </c>
      <c r="E874" s="10">
        <f t="shared" si="13"/>
        <v>0</v>
      </c>
      <c r="G874" s="29">
        <v>45401</v>
      </c>
      <c r="H874">
        <v>495.16</v>
      </c>
      <c r="I874">
        <v>510.44159999999999</v>
      </c>
      <c r="J874">
        <v>466.21530000000001</v>
      </c>
      <c r="K874" s="10">
        <v>0</v>
      </c>
    </row>
    <row r="875" spans="1:11" x14ac:dyDescent="0.4">
      <c r="A875" s="25">
        <v>45406</v>
      </c>
      <c r="B875" s="11">
        <v>505.41</v>
      </c>
      <c r="C875" s="11">
        <v>510.6472</v>
      </c>
      <c r="D875" s="11">
        <v>467.1798</v>
      </c>
      <c r="E875" s="10">
        <f t="shared" si="13"/>
        <v>0</v>
      </c>
      <c r="G875" s="29">
        <v>45404</v>
      </c>
      <c r="H875">
        <v>499.72</v>
      </c>
      <c r="I875">
        <v>510.46960000000001</v>
      </c>
      <c r="J875">
        <v>466.51560000000001</v>
      </c>
      <c r="K875" s="10">
        <v>0</v>
      </c>
    </row>
    <row r="876" spans="1:11" x14ac:dyDescent="0.4">
      <c r="A876" s="25">
        <v>45407</v>
      </c>
      <c r="B876" s="11">
        <v>503.49</v>
      </c>
      <c r="C876" s="11">
        <v>510.83539999999999</v>
      </c>
      <c r="D876" s="11">
        <v>467.48500000000001</v>
      </c>
      <c r="E876" s="10">
        <f t="shared" si="13"/>
        <v>0</v>
      </c>
      <c r="G876" s="29">
        <v>45405</v>
      </c>
      <c r="H876">
        <v>505.65</v>
      </c>
      <c r="I876">
        <v>510.55860000000001</v>
      </c>
      <c r="J876">
        <v>466.85109999999997</v>
      </c>
      <c r="K876" s="10">
        <v>0</v>
      </c>
    </row>
    <row r="877" spans="1:11" x14ac:dyDescent="0.4">
      <c r="A877" s="25">
        <v>45408</v>
      </c>
      <c r="B877" s="11">
        <v>508.26</v>
      </c>
      <c r="C877" s="11">
        <v>511.0292</v>
      </c>
      <c r="D877" s="11">
        <v>467.7962</v>
      </c>
      <c r="E877" s="10">
        <f t="shared" si="13"/>
        <v>0</v>
      </c>
      <c r="G877" s="29">
        <v>45406</v>
      </c>
      <c r="H877">
        <v>505.41</v>
      </c>
      <c r="I877">
        <v>510.6472</v>
      </c>
      <c r="J877">
        <v>467.1798</v>
      </c>
      <c r="K877" s="10">
        <v>0</v>
      </c>
    </row>
    <row r="878" spans="1:11" x14ac:dyDescent="0.4">
      <c r="A878" s="25">
        <v>45411</v>
      </c>
      <c r="B878" s="11">
        <v>510.06</v>
      </c>
      <c r="C878" s="11">
        <v>511.1902</v>
      </c>
      <c r="D878" s="11">
        <v>468.09870000000001</v>
      </c>
      <c r="E878" s="10">
        <f t="shared" si="13"/>
        <v>0</v>
      </c>
      <c r="G878" s="29">
        <v>45407</v>
      </c>
      <c r="H878">
        <v>503.49</v>
      </c>
      <c r="I878">
        <v>510.83539999999999</v>
      </c>
      <c r="J878">
        <v>467.48500000000001</v>
      </c>
      <c r="K878" s="10">
        <v>0</v>
      </c>
    </row>
    <row r="879" spans="1:11" x14ac:dyDescent="0.4">
      <c r="A879" s="25">
        <v>45412</v>
      </c>
      <c r="B879" s="11">
        <v>501.98</v>
      </c>
      <c r="C879" s="11">
        <v>511.2396</v>
      </c>
      <c r="D879" s="11">
        <v>468.36219999999997</v>
      </c>
      <c r="E879" s="10">
        <f t="shared" si="13"/>
        <v>0</v>
      </c>
      <c r="G879" s="29">
        <v>45408</v>
      </c>
      <c r="H879">
        <v>508.26</v>
      </c>
      <c r="I879">
        <v>511.0292</v>
      </c>
      <c r="J879">
        <v>467.7962</v>
      </c>
      <c r="K879" s="10">
        <v>0</v>
      </c>
    </row>
    <row r="880" spans="1:11" x14ac:dyDescent="0.4">
      <c r="A880" s="25">
        <v>45413</v>
      </c>
      <c r="B880" s="11">
        <v>500.35</v>
      </c>
      <c r="C880" s="11">
        <v>511.31139999999999</v>
      </c>
      <c r="D880" s="11">
        <v>468.60980000000001</v>
      </c>
      <c r="E880" s="10">
        <f t="shared" si="13"/>
        <v>0</v>
      </c>
      <c r="G880" s="29">
        <v>45411</v>
      </c>
      <c r="H880">
        <v>510.06</v>
      </c>
      <c r="I880">
        <v>511.1902</v>
      </c>
      <c r="J880">
        <v>468.09870000000001</v>
      </c>
      <c r="K880" s="10">
        <v>0</v>
      </c>
    </row>
    <row r="881" spans="1:11" x14ac:dyDescent="0.4">
      <c r="A881" s="25">
        <v>45414</v>
      </c>
      <c r="B881" s="11">
        <v>505.03</v>
      </c>
      <c r="C881" s="11">
        <v>511.46780000000001</v>
      </c>
      <c r="D881" s="11">
        <v>468.86399999999998</v>
      </c>
      <c r="E881" s="10">
        <f t="shared" si="13"/>
        <v>0</v>
      </c>
      <c r="G881" s="29">
        <v>45412</v>
      </c>
      <c r="H881">
        <v>501.98</v>
      </c>
      <c r="I881">
        <v>511.2396</v>
      </c>
      <c r="J881">
        <v>468.36219999999997</v>
      </c>
      <c r="K881" s="10">
        <v>0</v>
      </c>
    </row>
    <row r="882" spans="1:11" x14ac:dyDescent="0.4">
      <c r="A882" s="25">
        <v>45415</v>
      </c>
      <c r="B882" s="11">
        <v>511.29</v>
      </c>
      <c r="C882" s="11">
        <v>511.54360000000003</v>
      </c>
      <c r="D882" s="11">
        <v>469.14440000000002</v>
      </c>
      <c r="E882" s="10">
        <f t="shared" si="13"/>
        <v>0</v>
      </c>
      <c r="G882" s="29">
        <v>45413</v>
      </c>
      <c r="H882">
        <v>500.35</v>
      </c>
      <c r="I882">
        <v>511.31139999999999</v>
      </c>
      <c r="J882">
        <v>468.60980000000001</v>
      </c>
      <c r="K882" s="10">
        <v>0</v>
      </c>
    </row>
    <row r="883" spans="1:11" x14ac:dyDescent="0.4">
      <c r="A883" s="25">
        <v>45418</v>
      </c>
      <c r="B883" s="11">
        <v>516.57000000000005</v>
      </c>
      <c r="C883" s="11">
        <v>511.71800000000002</v>
      </c>
      <c r="D883" s="11">
        <v>469.46640000000002</v>
      </c>
      <c r="E883" s="10">
        <f t="shared" si="13"/>
        <v>0</v>
      </c>
      <c r="G883" s="29">
        <v>45414</v>
      </c>
      <c r="H883">
        <v>505.03</v>
      </c>
      <c r="I883">
        <v>511.46780000000001</v>
      </c>
      <c r="J883">
        <v>468.86399999999998</v>
      </c>
      <c r="K883" s="10">
        <v>0</v>
      </c>
    </row>
    <row r="884" spans="1:11" x14ac:dyDescent="0.4">
      <c r="A884" s="25">
        <v>45419</v>
      </c>
      <c r="B884" s="11">
        <v>517.14</v>
      </c>
      <c r="C884" s="11">
        <v>511.94099999999997</v>
      </c>
      <c r="D884" s="11">
        <v>469.7912</v>
      </c>
      <c r="E884" s="10">
        <f t="shared" si="13"/>
        <v>0</v>
      </c>
      <c r="G884" s="29">
        <v>45415</v>
      </c>
      <c r="H884">
        <v>511.29</v>
      </c>
      <c r="I884">
        <v>511.54360000000003</v>
      </c>
      <c r="J884">
        <v>469.14440000000002</v>
      </c>
      <c r="K884" s="10">
        <v>0</v>
      </c>
    </row>
    <row r="885" spans="1:11" x14ac:dyDescent="0.4">
      <c r="A885" s="25">
        <v>45420</v>
      </c>
      <c r="B885" s="11">
        <v>517.19000000000005</v>
      </c>
      <c r="C885" s="11">
        <v>512.14620000000002</v>
      </c>
      <c r="D885" s="11">
        <v>470.10610000000003</v>
      </c>
      <c r="E885" s="10">
        <f t="shared" si="13"/>
        <v>0</v>
      </c>
      <c r="G885" s="29">
        <v>45418</v>
      </c>
      <c r="H885">
        <v>516.57000000000005</v>
      </c>
      <c r="I885">
        <v>511.71800000000002</v>
      </c>
      <c r="J885">
        <v>469.46640000000002</v>
      </c>
      <c r="K885" s="10">
        <v>0</v>
      </c>
    </row>
    <row r="886" spans="1:11" x14ac:dyDescent="0.4">
      <c r="A886" s="25">
        <v>45421</v>
      </c>
      <c r="B886" s="11">
        <v>520.16999999999996</v>
      </c>
      <c r="C886" s="11">
        <v>512.42439999999999</v>
      </c>
      <c r="D886" s="11">
        <v>470.4298</v>
      </c>
      <c r="E886" s="10">
        <f t="shared" si="13"/>
        <v>0</v>
      </c>
      <c r="G886" s="29">
        <v>45419</v>
      </c>
      <c r="H886">
        <v>517.14</v>
      </c>
      <c r="I886">
        <v>511.94099999999997</v>
      </c>
      <c r="J886">
        <v>469.7912</v>
      </c>
      <c r="K886" s="10">
        <v>0</v>
      </c>
    </row>
    <row r="887" spans="1:11" x14ac:dyDescent="0.4">
      <c r="A887" s="25">
        <v>45422</v>
      </c>
      <c r="B887" s="11">
        <v>520.84</v>
      </c>
      <c r="C887" s="11">
        <v>512.67960000000005</v>
      </c>
      <c r="D887" s="11">
        <v>470.75639999999999</v>
      </c>
      <c r="E887" s="10">
        <f t="shared" si="13"/>
        <v>0</v>
      </c>
      <c r="G887" s="29">
        <v>45420</v>
      </c>
      <c r="H887">
        <v>517.19000000000005</v>
      </c>
      <c r="I887">
        <v>512.14620000000002</v>
      </c>
      <c r="J887">
        <v>470.10610000000003</v>
      </c>
      <c r="K887" s="10">
        <v>0</v>
      </c>
    </row>
    <row r="888" spans="1:11" x14ac:dyDescent="0.4">
      <c r="A888" s="25">
        <v>45425</v>
      </c>
      <c r="B888" s="11">
        <v>520.91</v>
      </c>
      <c r="C888" s="11">
        <v>512.84079999999994</v>
      </c>
      <c r="D888" s="11">
        <v>471.0985</v>
      </c>
      <c r="E888" s="10">
        <f t="shared" si="13"/>
        <v>0</v>
      </c>
      <c r="G888" s="29">
        <v>45421</v>
      </c>
      <c r="H888">
        <v>520.16999999999996</v>
      </c>
      <c r="I888">
        <v>512.42439999999999</v>
      </c>
      <c r="J888">
        <v>470.4298</v>
      </c>
      <c r="K888" s="10">
        <v>0</v>
      </c>
    </row>
    <row r="889" spans="1:11" x14ac:dyDescent="0.4">
      <c r="A889" s="25">
        <v>45426</v>
      </c>
      <c r="B889" s="11">
        <v>523.29999999999995</v>
      </c>
      <c r="C889" s="11">
        <v>513.06079999999997</v>
      </c>
      <c r="D889" s="11">
        <v>471.43040000000002</v>
      </c>
      <c r="E889" s="10">
        <f t="shared" si="13"/>
        <v>0</v>
      </c>
      <c r="G889" s="29">
        <v>45422</v>
      </c>
      <c r="H889">
        <v>520.84</v>
      </c>
      <c r="I889">
        <v>512.67960000000005</v>
      </c>
      <c r="J889">
        <v>470.75639999999999</v>
      </c>
      <c r="K889" s="10">
        <v>0</v>
      </c>
    </row>
    <row r="890" spans="1:11" x14ac:dyDescent="0.4">
      <c r="A890" s="25">
        <v>45427</v>
      </c>
      <c r="B890" s="11">
        <v>529.78</v>
      </c>
      <c r="C890" s="11">
        <v>513.51279999999997</v>
      </c>
      <c r="D890" s="11">
        <v>471.79039999999998</v>
      </c>
      <c r="E890" s="10">
        <f t="shared" si="13"/>
        <v>0</v>
      </c>
      <c r="G890" s="29">
        <v>45425</v>
      </c>
      <c r="H890">
        <v>520.91</v>
      </c>
      <c r="I890">
        <v>512.84079999999994</v>
      </c>
      <c r="J890">
        <v>471.0985</v>
      </c>
      <c r="K890" s="10">
        <v>0</v>
      </c>
    </row>
    <row r="891" spans="1:11" x14ac:dyDescent="0.4">
      <c r="A891" s="25">
        <v>45428</v>
      </c>
      <c r="B891" s="11">
        <v>528.69000000000005</v>
      </c>
      <c r="C891" s="11">
        <v>513.89160000000004</v>
      </c>
      <c r="D891" s="11">
        <v>472.15140000000002</v>
      </c>
      <c r="E891" s="10">
        <f t="shared" si="13"/>
        <v>0</v>
      </c>
      <c r="G891" s="29">
        <v>45426</v>
      </c>
      <c r="H891">
        <v>523.29999999999995</v>
      </c>
      <c r="I891">
        <v>513.06079999999997</v>
      </c>
      <c r="J891">
        <v>471.43040000000002</v>
      </c>
      <c r="K891" s="10">
        <v>0</v>
      </c>
    </row>
    <row r="892" spans="1:11" x14ac:dyDescent="0.4">
      <c r="A892" s="25">
        <v>45429</v>
      </c>
      <c r="B892" s="11">
        <v>529.45000000000005</v>
      </c>
      <c r="C892" s="11">
        <v>514.18439999999998</v>
      </c>
      <c r="D892" s="11">
        <v>472.548</v>
      </c>
      <c r="E892" s="10">
        <f t="shared" si="13"/>
        <v>0</v>
      </c>
      <c r="G892" s="29">
        <v>45427</v>
      </c>
      <c r="H892">
        <v>529.78</v>
      </c>
      <c r="I892">
        <v>513.51279999999997</v>
      </c>
      <c r="J892">
        <v>471.79039999999998</v>
      </c>
      <c r="K892" s="10">
        <v>0</v>
      </c>
    </row>
    <row r="893" spans="1:11" x14ac:dyDescent="0.4">
      <c r="A893" s="25">
        <v>45432</v>
      </c>
      <c r="B893" s="11">
        <v>530.05999999999995</v>
      </c>
      <c r="C893" s="11">
        <v>514.55119999999999</v>
      </c>
      <c r="D893" s="11">
        <v>472.95409999999998</v>
      </c>
      <c r="E893" s="10">
        <f t="shared" si="13"/>
        <v>0</v>
      </c>
      <c r="G893" s="29">
        <v>45428</v>
      </c>
      <c r="H893">
        <v>528.69000000000005</v>
      </c>
      <c r="I893">
        <v>513.89160000000004</v>
      </c>
      <c r="J893">
        <v>472.15140000000002</v>
      </c>
      <c r="K893" s="10">
        <v>0</v>
      </c>
    </row>
    <row r="894" spans="1:11" x14ac:dyDescent="0.4">
      <c r="A894" s="25">
        <v>45433</v>
      </c>
      <c r="B894" s="11">
        <v>531.36</v>
      </c>
      <c r="C894" s="11">
        <v>514.95280000000002</v>
      </c>
      <c r="D894" s="11">
        <v>473.3768</v>
      </c>
      <c r="E894" s="10">
        <f t="shared" si="13"/>
        <v>0</v>
      </c>
      <c r="G894" s="29">
        <v>45429</v>
      </c>
      <c r="H894">
        <v>529.45000000000005</v>
      </c>
      <c r="I894">
        <v>514.18439999999998</v>
      </c>
      <c r="J894">
        <v>472.548</v>
      </c>
      <c r="K894" s="10">
        <v>0</v>
      </c>
    </row>
    <row r="895" spans="1:11" x14ac:dyDescent="0.4">
      <c r="A895" s="25">
        <v>45434</v>
      </c>
      <c r="B895" s="11">
        <v>529.83000000000004</v>
      </c>
      <c r="C895" s="11">
        <v>515.21379999999999</v>
      </c>
      <c r="D895" s="11">
        <v>473.7724</v>
      </c>
      <c r="E895" s="10">
        <f t="shared" si="13"/>
        <v>0</v>
      </c>
      <c r="G895" s="29">
        <v>45432</v>
      </c>
      <c r="H895">
        <v>530.05999999999995</v>
      </c>
      <c r="I895">
        <v>514.55119999999999</v>
      </c>
      <c r="J895">
        <v>472.95409999999998</v>
      </c>
      <c r="K895" s="10">
        <v>0</v>
      </c>
    </row>
    <row r="896" spans="1:11" x14ac:dyDescent="0.4">
      <c r="A896" s="25">
        <v>45435</v>
      </c>
      <c r="B896" s="11">
        <v>525.96</v>
      </c>
      <c r="C896" s="11">
        <v>515.41359999999997</v>
      </c>
      <c r="D896" s="11">
        <v>474.1585</v>
      </c>
      <c r="E896" s="10">
        <f t="shared" si="13"/>
        <v>0</v>
      </c>
      <c r="G896" s="29">
        <v>45433</v>
      </c>
      <c r="H896">
        <v>531.36</v>
      </c>
      <c r="I896">
        <v>514.95280000000002</v>
      </c>
      <c r="J896">
        <v>473.3768</v>
      </c>
      <c r="K896" s="10">
        <v>0</v>
      </c>
    </row>
    <row r="897" spans="1:11" x14ac:dyDescent="0.4">
      <c r="A897" s="25">
        <v>45436</v>
      </c>
      <c r="B897" s="11">
        <v>529.44000000000005</v>
      </c>
      <c r="C897" s="11">
        <v>515.70339999999999</v>
      </c>
      <c r="D897" s="11">
        <v>474.577</v>
      </c>
      <c r="E897" s="10">
        <f t="shared" si="13"/>
        <v>0</v>
      </c>
      <c r="G897" s="29">
        <v>45434</v>
      </c>
      <c r="H897">
        <v>529.83000000000004</v>
      </c>
      <c r="I897">
        <v>515.21379999999999</v>
      </c>
      <c r="J897">
        <v>473.7724</v>
      </c>
      <c r="K897" s="10">
        <v>0</v>
      </c>
    </row>
    <row r="898" spans="1:11" x14ac:dyDescent="0.4">
      <c r="A898" s="25">
        <v>45440</v>
      </c>
      <c r="B898" s="11">
        <v>529.80999999999995</v>
      </c>
      <c r="C898" s="11">
        <v>516.10299999999995</v>
      </c>
      <c r="D898" s="11">
        <v>474.99639999999999</v>
      </c>
      <c r="E898" s="10">
        <f t="shared" si="13"/>
        <v>0</v>
      </c>
      <c r="G898" s="29">
        <v>45435</v>
      </c>
      <c r="H898">
        <v>525.96</v>
      </c>
      <c r="I898">
        <v>515.41359999999997</v>
      </c>
      <c r="J898">
        <v>474.1585</v>
      </c>
      <c r="K898" s="10">
        <v>0</v>
      </c>
    </row>
    <row r="899" spans="1:11" x14ac:dyDescent="0.4">
      <c r="A899" s="25">
        <v>45441</v>
      </c>
      <c r="B899" s="11">
        <v>526.1</v>
      </c>
      <c r="C899" s="11">
        <v>516.36779999999999</v>
      </c>
      <c r="D899" s="11">
        <v>475.39870000000002</v>
      </c>
      <c r="E899" s="10">
        <f t="shared" ref="E899:E962" si="14">IF(AND(C899&gt;D899, C898&lt;D898), 1, 0)</f>
        <v>0</v>
      </c>
      <c r="G899" s="29">
        <v>45436</v>
      </c>
      <c r="H899">
        <v>529.44000000000005</v>
      </c>
      <c r="I899">
        <v>515.70339999999999</v>
      </c>
      <c r="J899">
        <v>474.577</v>
      </c>
      <c r="K899" s="10">
        <v>0</v>
      </c>
    </row>
    <row r="900" spans="1:11" x14ac:dyDescent="0.4">
      <c r="A900" s="25">
        <v>45442</v>
      </c>
      <c r="B900" s="11">
        <v>522.61</v>
      </c>
      <c r="C900" s="11">
        <v>516.50580000000002</v>
      </c>
      <c r="D900" s="11">
        <v>475.77120000000002</v>
      </c>
      <c r="E900" s="10">
        <f t="shared" si="14"/>
        <v>0</v>
      </c>
      <c r="G900" s="29">
        <v>45440</v>
      </c>
      <c r="H900">
        <v>529.80999999999995</v>
      </c>
      <c r="I900">
        <v>516.10299999999995</v>
      </c>
      <c r="J900">
        <v>474.99639999999999</v>
      </c>
      <c r="K900" s="10">
        <v>0</v>
      </c>
    </row>
    <row r="901" spans="1:11" x14ac:dyDescent="0.4">
      <c r="A901" s="25">
        <v>45443</v>
      </c>
      <c r="B901" s="11">
        <v>527.37</v>
      </c>
      <c r="C901" s="11">
        <v>516.64359999999999</v>
      </c>
      <c r="D901" s="11">
        <v>476.1936</v>
      </c>
      <c r="E901" s="10">
        <f t="shared" si="14"/>
        <v>0</v>
      </c>
      <c r="G901" s="29">
        <v>45441</v>
      </c>
      <c r="H901">
        <v>526.1</v>
      </c>
      <c r="I901">
        <v>516.36779999999999</v>
      </c>
      <c r="J901">
        <v>475.39870000000002</v>
      </c>
      <c r="K901" s="10">
        <v>0</v>
      </c>
    </row>
    <row r="902" spans="1:11" x14ac:dyDescent="0.4">
      <c r="A902" s="25">
        <v>45446</v>
      </c>
      <c r="B902" s="11">
        <v>527.79999999999995</v>
      </c>
      <c r="C902" s="11">
        <v>516.75559999999996</v>
      </c>
      <c r="D902" s="11">
        <v>476.63440000000003</v>
      </c>
      <c r="E902" s="10">
        <f t="shared" si="14"/>
        <v>0</v>
      </c>
      <c r="G902" s="29">
        <v>45442</v>
      </c>
      <c r="H902">
        <v>522.61</v>
      </c>
      <c r="I902">
        <v>516.50580000000002</v>
      </c>
      <c r="J902">
        <v>475.77120000000002</v>
      </c>
      <c r="K902" s="10">
        <v>0</v>
      </c>
    </row>
    <row r="903" spans="1:11" x14ac:dyDescent="0.4">
      <c r="A903" s="25">
        <v>45447</v>
      </c>
      <c r="B903" s="11">
        <v>528.39</v>
      </c>
      <c r="C903" s="11">
        <v>516.89919999999995</v>
      </c>
      <c r="D903" s="11">
        <v>477.0949</v>
      </c>
      <c r="E903" s="10">
        <f t="shared" si="14"/>
        <v>0</v>
      </c>
      <c r="G903" s="29">
        <v>45443</v>
      </c>
      <c r="H903">
        <v>527.37</v>
      </c>
      <c r="I903">
        <v>516.64359999999999</v>
      </c>
      <c r="J903">
        <v>476.1936</v>
      </c>
      <c r="K903" s="10">
        <v>0</v>
      </c>
    </row>
    <row r="904" spans="1:11" x14ac:dyDescent="0.4">
      <c r="A904" s="25">
        <v>45448</v>
      </c>
      <c r="B904" s="11">
        <v>534.66999999999996</v>
      </c>
      <c r="C904" s="11">
        <v>517.19719999999995</v>
      </c>
      <c r="D904" s="11">
        <v>477.58580000000001</v>
      </c>
      <c r="E904" s="10">
        <f t="shared" si="14"/>
        <v>0</v>
      </c>
      <c r="G904" s="29">
        <v>45446</v>
      </c>
      <c r="H904">
        <v>527.79999999999995</v>
      </c>
      <c r="I904">
        <v>516.75559999999996</v>
      </c>
      <c r="J904">
        <v>476.63440000000003</v>
      </c>
      <c r="K904" s="10">
        <v>0</v>
      </c>
    </row>
    <row r="905" spans="1:11" x14ac:dyDescent="0.4">
      <c r="A905" s="25">
        <v>45449</v>
      </c>
      <c r="B905" s="11">
        <v>534.66</v>
      </c>
      <c r="C905" s="11">
        <v>517.51419999999996</v>
      </c>
      <c r="D905" s="11">
        <v>478.06240000000003</v>
      </c>
      <c r="E905" s="10">
        <f t="shared" si="14"/>
        <v>0</v>
      </c>
      <c r="G905" s="29">
        <v>45447</v>
      </c>
      <c r="H905">
        <v>528.39</v>
      </c>
      <c r="I905">
        <v>516.89919999999995</v>
      </c>
      <c r="J905">
        <v>477.0949</v>
      </c>
      <c r="K905" s="10">
        <v>0</v>
      </c>
    </row>
    <row r="906" spans="1:11" x14ac:dyDescent="0.4">
      <c r="A906" s="25">
        <v>45450</v>
      </c>
      <c r="B906" s="11">
        <v>534.01</v>
      </c>
      <c r="C906" s="11">
        <v>517.73099999999999</v>
      </c>
      <c r="D906" s="11">
        <v>478.54160000000002</v>
      </c>
      <c r="E906" s="10">
        <f t="shared" si="14"/>
        <v>0</v>
      </c>
      <c r="G906" s="29">
        <v>45448</v>
      </c>
      <c r="H906">
        <v>534.66999999999996</v>
      </c>
      <c r="I906">
        <v>517.19719999999995</v>
      </c>
      <c r="J906">
        <v>477.58580000000001</v>
      </c>
      <c r="K906" s="10">
        <v>0</v>
      </c>
    </row>
    <row r="907" spans="1:11" x14ac:dyDescent="0.4">
      <c r="A907" s="25">
        <v>45453</v>
      </c>
      <c r="B907" s="11">
        <v>535.66</v>
      </c>
      <c r="C907" s="11">
        <v>517.9828</v>
      </c>
      <c r="D907" s="11">
        <v>479.00479999999999</v>
      </c>
      <c r="E907" s="10">
        <f t="shared" si="14"/>
        <v>0</v>
      </c>
      <c r="G907" s="29">
        <v>45449</v>
      </c>
      <c r="H907">
        <v>534.66</v>
      </c>
      <c r="I907">
        <v>517.51419999999996</v>
      </c>
      <c r="J907">
        <v>478.06240000000003</v>
      </c>
      <c r="K907" s="10">
        <v>0</v>
      </c>
    </row>
    <row r="908" spans="1:11" x14ac:dyDescent="0.4">
      <c r="A908" s="25">
        <v>45454</v>
      </c>
      <c r="B908" s="11">
        <v>536.95000000000005</v>
      </c>
      <c r="C908" s="11">
        <v>518.27859999999998</v>
      </c>
      <c r="D908" s="11">
        <v>479.50510000000003</v>
      </c>
      <c r="E908" s="10">
        <f t="shared" si="14"/>
        <v>0</v>
      </c>
      <c r="G908" s="29">
        <v>45450</v>
      </c>
      <c r="H908">
        <v>534.01</v>
      </c>
      <c r="I908">
        <v>517.73099999999999</v>
      </c>
      <c r="J908">
        <v>478.54160000000002</v>
      </c>
      <c r="K908" s="10">
        <v>0</v>
      </c>
    </row>
    <row r="909" spans="1:11" x14ac:dyDescent="0.4">
      <c r="A909" s="25">
        <v>45455</v>
      </c>
      <c r="B909" s="11">
        <v>541.36</v>
      </c>
      <c r="C909" s="11">
        <v>518.72900000000004</v>
      </c>
      <c r="D909" s="11">
        <v>480.012</v>
      </c>
      <c r="E909" s="10">
        <f t="shared" si="14"/>
        <v>0</v>
      </c>
      <c r="G909" s="29">
        <v>45453</v>
      </c>
      <c r="H909">
        <v>535.66</v>
      </c>
      <c r="I909">
        <v>517.9828</v>
      </c>
      <c r="J909">
        <v>479.00479999999999</v>
      </c>
      <c r="K909" s="10">
        <v>0</v>
      </c>
    </row>
    <row r="910" spans="1:11" x14ac:dyDescent="0.4">
      <c r="A910" s="25">
        <v>45456</v>
      </c>
      <c r="B910" s="11">
        <v>542.45000000000005</v>
      </c>
      <c r="C910" s="11">
        <v>519.18979999999999</v>
      </c>
      <c r="D910" s="11">
        <v>480.51049999999998</v>
      </c>
      <c r="E910" s="10">
        <f t="shared" si="14"/>
        <v>0</v>
      </c>
      <c r="G910" s="29">
        <v>45454</v>
      </c>
      <c r="H910">
        <v>536.95000000000005</v>
      </c>
      <c r="I910">
        <v>518.27859999999998</v>
      </c>
      <c r="J910">
        <v>479.50510000000003</v>
      </c>
      <c r="K910" s="10">
        <v>0</v>
      </c>
    </row>
    <row r="911" spans="1:11" x14ac:dyDescent="0.4">
      <c r="A911" s="25">
        <v>45457</v>
      </c>
      <c r="B911" s="11">
        <v>542.78</v>
      </c>
      <c r="C911" s="11">
        <v>519.78399999999999</v>
      </c>
      <c r="D911" s="11">
        <v>480.97859999999997</v>
      </c>
      <c r="E911" s="10">
        <f t="shared" si="14"/>
        <v>0</v>
      </c>
      <c r="G911" s="29">
        <v>45455</v>
      </c>
      <c r="H911">
        <v>541.36</v>
      </c>
      <c r="I911">
        <v>518.72900000000004</v>
      </c>
      <c r="J911">
        <v>480.012</v>
      </c>
      <c r="K911" s="10">
        <v>0</v>
      </c>
    </row>
    <row r="912" spans="1:11" x14ac:dyDescent="0.4">
      <c r="A912" s="25">
        <v>45460</v>
      </c>
      <c r="B912" s="11">
        <v>547.1</v>
      </c>
      <c r="C912" s="11">
        <v>520.35739999999998</v>
      </c>
      <c r="D912" s="11">
        <v>481.459</v>
      </c>
      <c r="E912" s="10">
        <f t="shared" si="14"/>
        <v>0</v>
      </c>
      <c r="G912" s="29">
        <v>45456</v>
      </c>
      <c r="H912">
        <v>542.45000000000005</v>
      </c>
      <c r="I912">
        <v>519.18979999999999</v>
      </c>
      <c r="J912">
        <v>480.51049999999998</v>
      </c>
      <c r="K912" s="10">
        <v>0</v>
      </c>
    </row>
    <row r="913" spans="1:11" x14ac:dyDescent="0.4">
      <c r="A913" s="25">
        <v>45461</v>
      </c>
      <c r="B913" s="11">
        <v>548.49</v>
      </c>
      <c r="C913" s="11">
        <v>520.95280000000002</v>
      </c>
      <c r="D913" s="11">
        <v>481.94979999999998</v>
      </c>
      <c r="E913" s="10">
        <f t="shared" si="14"/>
        <v>0</v>
      </c>
      <c r="G913" s="29">
        <v>45457</v>
      </c>
      <c r="H913">
        <v>542.78</v>
      </c>
      <c r="I913">
        <v>519.78399999999999</v>
      </c>
      <c r="J913">
        <v>480.97859999999997</v>
      </c>
      <c r="K913" s="10">
        <v>0</v>
      </c>
    </row>
    <row r="914" spans="1:11" x14ac:dyDescent="0.4">
      <c r="A914" s="25">
        <v>45463</v>
      </c>
      <c r="B914" s="11">
        <v>547</v>
      </c>
      <c r="C914" s="11">
        <v>521.50639999999999</v>
      </c>
      <c r="D914" s="11">
        <v>482.42880000000002</v>
      </c>
      <c r="E914" s="10">
        <f t="shared" si="14"/>
        <v>0</v>
      </c>
      <c r="G914" s="29">
        <v>45460</v>
      </c>
      <c r="H914">
        <v>547.1</v>
      </c>
      <c r="I914">
        <v>520.35739999999998</v>
      </c>
      <c r="J914">
        <v>481.459</v>
      </c>
      <c r="K914" s="10">
        <v>0</v>
      </c>
    </row>
    <row r="915" spans="1:11" x14ac:dyDescent="0.4">
      <c r="A915" s="25">
        <v>45464</v>
      </c>
      <c r="B915" s="11">
        <v>544.51</v>
      </c>
      <c r="C915" s="11">
        <v>522.11419999999998</v>
      </c>
      <c r="D915" s="11">
        <v>482.90519999999998</v>
      </c>
      <c r="E915" s="10">
        <f t="shared" si="14"/>
        <v>0</v>
      </c>
      <c r="G915" s="29">
        <v>45461</v>
      </c>
      <c r="H915">
        <v>548.49</v>
      </c>
      <c r="I915">
        <v>520.95280000000002</v>
      </c>
      <c r="J915">
        <v>481.94979999999998</v>
      </c>
      <c r="K915" s="10">
        <v>0</v>
      </c>
    </row>
    <row r="916" spans="1:11" x14ac:dyDescent="0.4">
      <c r="A916" s="25">
        <v>45467</v>
      </c>
      <c r="B916" s="11">
        <v>542.74</v>
      </c>
      <c r="C916" s="11">
        <v>522.60900000000004</v>
      </c>
      <c r="D916" s="11">
        <v>483.38780000000003</v>
      </c>
      <c r="E916" s="10">
        <f t="shared" si="14"/>
        <v>0</v>
      </c>
      <c r="G916" s="29">
        <v>45463</v>
      </c>
      <c r="H916">
        <v>547</v>
      </c>
      <c r="I916">
        <v>521.50639999999999</v>
      </c>
      <c r="J916">
        <v>482.42880000000002</v>
      </c>
      <c r="K916" s="10">
        <v>0</v>
      </c>
    </row>
    <row r="917" spans="1:11" x14ac:dyDescent="0.4">
      <c r="A917" s="25">
        <v>45468</v>
      </c>
      <c r="B917" s="11">
        <v>544.83000000000004</v>
      </c>
      <c r="C917" s="11">
        <v>523.28859999999997</v>
      </c>
      <c r="D917" s="11">
        <v>483.88760000000002</v>
      </c>
      <c r="E917" s="10">
        <f t="shared" si="14"/>
        <v>0</v>
      </c>
      <c r="G917" s="29">
        <v>45464</v>
      </c>
      <c r="H917">
        <v>544.51</v>
      </c>
      <c r="I917">
        <v>522.11419999999998</v>
      </c>
      <c r="J917">
        <v>482.90519999999998</v>
      </c>
      <c r="K917" s="10">
        <v>0</v>
      </c>
    </row>
    <row r="918" spans="1:11" x14ac:dyDescent="0.4">
      <c r="A918" s="25">
        <v>45469</v>
      </c>
      <c r="B918" s="11">
        <v>545.51</v>
      </c>
      <c r="C918" s="11">
        <v>524.10979999999995</v>
      </c>
      <c r="D918" s="11">
        <v>484.38760000000002</v>
      </c>
      <c r="E918" s="10">
        <f t="shared" si="14"/>
        <v>0</v>
      </c>
      <c r="G918" s="29">
        <v>45467</v>
      </c>
      <c r="H918">
        <v>542.74</v>
      </c>
      <c r="I918">
        <v>522.60900000000004</v>
      </c>
      <c r="J918">
        <v>483.38780000000003</v>
      </c>
      <c r="K918" s="10">
        <v>0</v>
      </c>
    </row>
    <row r="919" spans="1:11" x14ac:dyDescent="0.4">
      <c r="A919" s="25">
        <v>45470</v>
      </c>
      <c r="B919" s="11">
        <v>546.37</v>
      </c>
      <c r="C919" s="11">
        <v>524.96659999999997</v>
      </c>
      <c r="D919" s="11">
        <v>484.87720000000002</v>
      </c>
      <c r="E919" s="10">
        <f t="shared" si="14"/>
        <v>0</v>
      </c>
      <c r="G919" s="29">
        <v>45468</v>
      </c>
      <c r="H919">
        <v>544.83000000000004</v>
      </c>
      <c r="I919">
        <v>523.28859999999997</v>
      </c>
      <c r="J919">
        <v>483.88760000000002</v>
      </c>
      <c r="K919" s="10">
        <v>0</v>
      </c>
    </row>
    <row r="920" spans="1:11" x14ac:dyDescent="0.4">
      <c r="A920" s="25">
        <v>45471</v>
      </c>
      <c r="B920" s="11">
        <v>544.22</v>
      </c>
      <c r="C920" s="11">
        <v>525.84</v>
      </c>
      <c r="D920" s="11">
        <v>485.36840000000001</v>
      </c>
      <c r="E920" s="10">
        <f t="shared" si="14"/>
        <v>0</v>
      </c>
      <c r="G920" s="29">
        <v>45469</v>
      </c>
      <c r="H920">
        <v>545.51</v>
      </c>
      <c r="I920">
        <v>524.10979999999995</v>
      </c>
      <c r="J920">
        <v>484.38760000000002</v>
      </c>
      <c r="K920" s="10">
        <v>0</v>
      </c>
    </row>
    <row r="921" spans="1:11" x14ac:dyDescent="0.4">
      <c r="A921" s="25">
        <v>45474</v>
      </c>
      <c r="B921" s="11">
        <v>545.34</v>
      </c>
      <c r="C921" s="11">
        <v>526.75639999999999</v>
      </c>
      <c r="D921" s="11">
        <v>485.86250000000001</v>
      </c>
      <c r="E921" s="10">
        <f t="shared" si="14"/>
        <v>0</v>
      </c>
      <c r="G921" s="29">
        <v>45470</v>
      </c>
      <c r="H921">
        <v>546.37</v>
      </c>
      <c r="I921">
        <v>524.96659999999997</v>
      </c>
      <c r="J921">
        <v>484.87720000000002</v>
      </c>
      <c r="K921" s="10">
        <v>0</v>
      </c>
    </row>
    <row r="922" spans="1:11" x14ac:dyDescent="0.4">
      <c r="A922" s="25">
        <v>45475</v>
      </c>
      <c r="B922" s="11">
        <v>549.01</v>
      </c>
      <c r="C922" s="11">
        <v>527.83339999999998</v>
      </c>
      <c r="D922" s="11">
        <v>486.35579999999999</v>
      </c>
      <c r="E922" s="10">
        <f t="shared" si="14"/>
        <v>0</v>
      </c>
      <c r="G922" s="29">
        <v>45471</v>
      </c>
      <c r="H922">
        <v>544.22</v>
      </c>
      <c r="I922">
        <v>525.84</v>
      </c>
      <c r="J922">
        <v>485.36840000000001</v>
      </c>
      <c r="K922" s="10">
        <v>0</v>
      </c>
    </row>
    <row r="923" spans="1:11" x14ac:dyDescent="0.4">
      <c r="A923" s="25">
        <v>45476</v>
      </c>
      <c r="B923" s="11">
        <v>551.46</v>
      </c>
      <c r="C923" s="11">
        <v>528.8682</v>
      </c>
      <c r="D923" s="11">
        <v>486.89620000000002</v>
      </c>
      <c r="E923" s="10">
        <f t="shared" si="14"/>
        <v>0</v>
      </c>
      <c r="G923" s="29">
        <v>45474</v>
      </c>
      <c r="H923">
        <v>545.34</v>
      </c>
      <c r="I923">
        <v>526.75639999999999</v>
      </c>
      <c r="J923">
        <v>485.86250000000001</v>
      </c>
      <c r="K923" s="10">
        <v>0</v>
      </c>
    </row>
    <row r="924" spans="1:11" x14ac:dyDescent="0.4">
      <c r="A924" s="25">
        <v>45478</v>
      </c>
      <c r="B924" s="11">
        <v>554.64</v>
      </c>
      <c r="C924" s="11">
        <v>529.84799999999996</v>
      </c>
      <c r="D924" s="11">
        <v>487.45119999999997</v>
      </c>
      <c r="E924" s="10">
        <f t="shared" si="14"/>
        <v>0</v>
      </c>
      <c r="G924" s="29">
        <v>45475</v>
      </c>
      <c r="H924">
        <v>549.01</v>
      </c>
      <c r="I924">
        <v>527.83339999999998</v>
      </c>
      <c r="J924">
        <v>486.35579999999999</v>
      </c>
      <c r="K924" s="10">
        <v>0</v>
      </c>
    </row>
    <row r="925" spans="1:11" x14ac:dyDescent="0.4">
      <c r="A925" s="25">
        <v>45481</v>
      </c>
      <c r="B925" s="11">
        <v>555.28</v>
      </c>
      <c r="C925" s="11">
        <v>530.84540000000004</v>
      </c>
      <c r="D925" s="11">
        <v>488.01409999999998</v>
      </c>
      <c r="E925" s="10">
        <f t="shared" si="14"/>
        <v>0</v>
      </c>
      <c r="G925" s="29">
        <v>45476</v>
      </c>
      <c r="H925">
        <v>551.46</v>
      </c>
      <c r="I925">
        <v>528.8682</v>
      </c>
      <c r="J925">
        <v>486.89620000000002</v>
      </c>
      <c r="K925" s="10">
        <v>0</v>
      </c>
    </row>
    <row r="926" spans="1:11" x14ac:dyDescent="0.4">
      <c r="A926" s="25">
        <v>45482</v>
      </c>
      <c r="B926" s="11">
        <v>555.82000000000005</v>
      </c>
      <c r="C926" s="11">
        <v>531.89200000000005</v>
      </c>
      <c r="D926" s="11">
        <v>488.6</v>
      </c>
      <c r="E926" s="10">
        <f t="shared" si="14"/>
        <v>0</v>
      </c>
      <c r="G926" s="29">
        <v>45478</v>
      </c>
      <c r="H926">
        <v>554.64</v>
      </c>
      <c r="I926">
        <v>529.84799999999996</v>
      </c>
      <c r="J926">
        <v>487.45119999999997</v>
      </c>
      <c r="K926" s="10">
        <v>0</v>
      </c>
    </row>
    <row r="927" spans="1:11" x14ac:dyDescent="0.4">
      <c r="A927" s="25">
        <v>45483</v>
      </c>
      <c r="B927" s="11">
        <v>561.32000000000005</v>
      </c>
      <c r="C927" s="11">
        <v>532.95320000000004</v>
      </c>
      <c r="D927" s="11">
        <v>489.24959999999999</v>
      </c>
      <c r="E927" s="10">
        <f t="shared" si="14"/>
        <v>0</v>
      </c>
      <c r="G927" s="29">
        <v>45481</v>
      </c>
      <c r="H927">
        <v>555.28</v>
      </c>
      <c r="I927">
        <v>530.84540000000004</v>
      </c>
      <c r="J927">
        <v>488.01409999999998</v>
      </c>
      <c r="K927" s="10">
        <v>0</v>
      </c>
    </row>
    <row r="928" spans="1:11" x14ac:dyDescent="0.4">
      <c r="A928" s="25">
        <v>45484</v>
      </c>
      <c r="B928" s="11">
        <v>556.48</v>
      </c>
      <c r="C928" s="11">
        <v>533.88160000000005</v>
      </c>
      <c r="D928" s="11">
        <v>489.88</v>
      </c>
      <c r="E928" s="10">
        <f t="shared" si="14"/>
        <v>0</v>
      </c>
      <c r="G928" s="29">
        <v>45482</v>
      </c>
      <c r="H928">
        <v>555.82000000000005</v>
      </c>
      <c r="I928">
        <v>531.89200000000005</v>
      </c>
      <c r="J928">
        <v>488.6</v>
      </c>
      <c r="K928" s="10">
        <v>0</v>
      </c>
    </row>
    <row r="929" spans="1:11" x14ac:dyDescent="0.4">
      <c r="A929" s="25">
        <v>45485</v>
      </c>
      <c r="B929" s="11">
        <v>559.99</v>
      </c>
      <c r="C929" s="11">
        <v>535.04179999999997</v>
      </c>
      <c r="D929" s="11">
        <v>490.5188</v>
      </c>
      <c r="E929" s="10">
        <f t="shared" si="14"/>
        <v>0</v>
      </c>
      <c r="G929" s="29">
        <v>45483</v>
      </c>
      <c r="H929">
        <v>561.32000000000005</v>
      </c>
      <c r="I929">
        <v>532.95320000000004</v>
      </c>
      <c r="J929">
        <v>489.24959999999999</v>
      </c>
      <c r="K929" s="10">
        <v>0</v>
      </c>
    </row>
    <row r="930" spans="1:11" x14ac:dyDescent="0.4">
      <c r="A930" s="25">
        <v>45488</v>
      </c>
      <c r="B930" s="11">
        <v>561.53</v>
      </c>
      <c r="C930" s="11">
        <v>536.2654</v>
      </c>
      <c r="D930" s="11">
        <v>491.197</v>
      </c>
      <c r="E930" s="10">
        <f t="shared" si="14"/>
        <v>0</v>
      </c>
      <c r="G930" s="29">
        <v>45484</v>
      </c>
      <c r="H930">
        <v>556.48</v>
      </c>
      <c r="I930">
        <v>533.88160000000005</v>
      </c>
      <c r="J930">
        <v>489.88</v>
      </c>
      <c r="K930" s="10">
        <v>0</v>
      </c>
    </row>
    <row r="931" spans="1:11" x14ac:dyDescent="0.4">
      <c r="A931" s="25">
        <v>45489</v>
      </c>
      <c r="B931" s="11">
        <v>564.86</v>
      </c>
      <c r="C931" s="11">
        <v>537.46199999999999</v>
      </c>
      <c r="D931" s="11">
        <v>491.89100000000002</v>
      </c>
      <c r="E931" s="10">
        <f t="shared" si="14"/>
        <v>0</v>
      </c>
      <c r="G931" s="29">
        <v>45485</v>
      </c>
      <c r="H931">
        <v>559.99</v>
      </c>
      <c r="I931">
        <v>535.04179999999997</v>
      </c>
      <c r="J931">
        <v>490.5188</v>
      </c>
      <c r="K931" s="10">
        <v>0</v>
      </c>
    </row>
    <row r="932" spans="1:11" x14ac:dyDescent="0.4">
      <c r="A932" s="25">
        <v>45490</v>
      </c>
      <c r="B932" s="11">
        <v>556.94000000000005</v>
      </c>
      <c r="C932" s="11">
        <v>538.375</v>
      </c>
      <c r="D932" s="11">
        <v>492.53320000000002</v>
      </c>
      <c r="E932" s="10">
        <f t="shared" si="14"/>
        <v>0</v>
      </c>
      <c r="G932" s="29">
        <v>45488</v>
      </c>
      <c r="H932">
        <v>561.53</v>
      </c>
      <c r="I932">
        <v>536.2654</v>
      </c>
      <c r="J932">
        <v>491.197</v>
      </c>
      <c r="K932" s="10">
        <v>0</v>
      </c>
    </row>
    <row r="933" spans="1:11" x14ac:dyDescent="0.4">
      <c r="A933" s="25">
        <v>45491</v>
      </c>
      <c r="B933" s="11">
        <v>552.66</v>
      </c>
      <c r="C933" s="11">
        <v>539.09680000000003</v>
      </c>
      <c r="D933" s="11">
        <v>493.15899999999999</v>
      </c>
      <c r="E933" s="10">
        <f t="shared" si="14"/>
        <v>0</v>
      </c>
      <c r="G933" s="29">
        <v>45489</v>
      </c>
      <c r="H933">
        <v>564.86</v>
      </c>
      <c r="I933">
        <v>537.46199999999999</v>
      </c>
      <c r="J933">
        <v>491.89100000000002</v>
      </c>
      <c r="K933" s="10">
        <v>0</v>
      </c>
    </row>
    <row r="934" spans="1:11" x14ac:dyDescent="0.4">
      <c r="A934" s="25">
        <v>45492</v>
      </c>
      <c r="B934" s="11">
        <v>548.99</v>
      </c>
      <c r="C934" s="11">
        <v>539.73379999999997</v>
      </c>
      <c r="D934" s="11">
        <v>493.76740000000001</v>
      </c>
      <c r="E934" s="10">
        <f t="shared" si="14"/>
        <v>0</v>
      </c>
      <c r="G934" s="29">
        <v>45490</v>
      </c>
      <c r="H934">
        <v>556.94000000000005</v>
      </c>
      <c r="I934">
        <v>538.375</v>
      </c>
      <c r="J934">
        <v>492.53320000000002</v>
      </c>
      <c r="K934" s="10">
        <v>0</v>
      </c>
    </row>
    <row r="935" spans="1:11" x14ac:dyDescent="0.4">
      <c r="A935" s="25">
        <v>45495</v>
      </c>
      <c r="B935" s="11">
        <v>554.65</v>
      </c>
      <c r="C935" s="11">
        <v>540.48299999999995</v>
      </c>
      <c r="D935" s="11">
        <v>494.43279999999999</v>
      </c>
      <c r="E935" s="10">
        <f t="shared" si="14"/>
        <v>0</v>
      </c>
      <c r="G935" s="29">
        <v>45491</v>
      </c>
      <c r="H935">
        <v>552.66</v>
      </c>
      <c r="I935">
        <v>539.09680000000003</v>
      </c>
      <c r="J935">
        <v>493.15899999999999</v>
      </c>
      <c r="K935" s="10">
        <v>0</v>
      </c>
    </row>
    <row r="936" spans="1:11" x14ac:dyDescent="0.4">
      <c r="A936" s="25">
        <v>45496</v>
      </c>
      <c r="B936" s="11">
        <v>553.78</v>
      </c>
      <c r="C936" s="11">
        <v>541.15520000000004</v>
      </c>
      <c r="D936" s="11">
        <v>495.07839999999999</v>
      </c>
      <c r="E936" s="10">
        <f t="shared" si="14"/>
        <v>0</v>
      </c>
      <c r="G936" s="29">
        <v>45492</v>
      </c>
      <c r="H936">
        <v>548.99</v>
      </c>
      <c r="I936">
        <v>539.73379999999997</v>
      </c>
      <c r="J936">
        <v>493.76740000000001</v>
      </c>
      <c r="K936" s="10">
        <v>0</v>
      </c>
    </row>
    <row r="937" spans="1:11" x14ac:dyDescent="0.4">
      <c r="A937" s="25">
        <v>45497</v>
      </c>
      <c r="B937" s="11">
        <v>541.23</v>
      </c>
      <c r="C937" s="11">
        <v>541.56299999999999</v>
      </c>
      <c r="D937" s="11">
        <v>495.66199999999998</v>
      </c>
      <c r="E937" s="10">
        <f t="shared" si="14"/>
        <v>0</v>
      </c>
      <c r="G937" s="29">
        <v>45495</v>
      </c>
      <c r="H937">
        <v>554.65</v>
      </c>
      <c r="I937">
        <v>540.48299999999995</v>
      </c>
      <c r="J937">
        <v>494.43279999999999</v>
      </c>
      <c r="K937" s="10">
        <v>0</v>
      </c>
    </row>
    <row r="938" spans="1:11" x14ac:dyDescent="0.4">
      <c r="A938" s="25">
        <v>45498</v>
      </c>
      <c r="B938" s="11">
        <v>538.41</v>
      </c>
      <c r="C938" s="11">
        <v>541.91300000000001</v>
      </c>
      <c r="D938" s="11">
        <v>496.20639999999997</v>
      </c>
      <c r="E938" s="10">
        <f t="shared" si="14"/>
        <v>0</v>
      </c>
      <c r="G938" s="29">
        <v>45496</v>
      </c>
      <c r="H938">
        <v>553.78</v>
      </c>
      <c r="I938">
        <v>541.15520000000004</v>
      </c>
      <c r="J938">
        <v>495.07839999999999</v>
      </c>
      <c r="K938" s="10">
        <v>0</v>
      </c>
    </row>
    <row r="939" spans="1:11" x14ac:dyDescent="0.4">
      <c r="A939" s="25">
        <v>45499</v>
      </c>
      <c r="B939" s="11">
        <v>544.44000000000005</v>
      </c>
      <c r="C939" s="11">
        <v>542.33579999999995</v>
      </c>
      <c r="D939" s="11">
        <v>496.76710000000003</v>
      </c>
      <c r="E939" s="10">
        <f t="shared" si="14"/>
        <v>0</v>
      </c>
      <c r="G939" s="29">
        <v>45497</v>
      </c>
      <c r="H939">
        <v>541.23</v>
      </c>
      <c r="I939">
        <v>541.56299999999999</v>
      </c>
      <c r="J939">
        <v>495.66199999999998</v>
      </c>
      <c r="K939" s="10">
        <v>0</v>
      </c>
    </row>
    <row r="940" spans="1:11" x14ac:dyDescent="0.4">
      <c r="A940" s="25">
        <v>45502</v>
      </c>
      <c r="B940" s="11">
        <v>544.76</v>
      </c>
      <c r="C940" s="11">
        <v>542.6354</v>
      </c>
      <c r="D940" s="11">
        <v>497.31819999999999</v>
      </c>
      <c r="E940" s="10">
        <f t="shared" si="14"/>
        <v>0</v>
      </c>
      <c r="G940" s="29">
        <v>45498</v>
      </c>
      <c r="H940">
        <v>538.41</v>
      </c>
      <c r="I940">
        <v>541.91300000000001</v>
      </c>
      <c r="J940">
        <v>496.20639999999997</v>
      </c>
      <c r="K940" s="10">
        <v>0</v>
      </c>
    </row>
    <row r="941" spans="1:11" x14ac:dyDescent="0.4">
      <c r="A941" s="25">
        <v>45503</v>
      </c>
      <c r="B941" s="11">
        <v>542</v>
      </c>
      <c r="C941" s="11">
        <v>542.90160000000003</v>
      </c>
      <c r="D941" s="11">
        <v>497.84660000000002</v>
      </c>
      <c r="E941" s="10">
        <f t="shared" si="14"/>
        <v>0</v>
      </c>
      <c r="G941" s="29">
        <v>45499</v>
      </c>
      <c r="H941">
        <v>544.44000000000005</v>
      </c>
      <c r="I941">
        <v>542.33579999999995</v>
      </c>
      <c r="J941">
        <v>496.76710000000003</v>
      </c>
      <c r="K941" s="10">
        <v>0</v>
      </c>
    </row>
    <row r="942" spans="1:11" x14ac:dyDescent="0.4">
      <c r="A942" s="25">
        <v>45504</v>
      </c>
      <c r="B942" s="11">
        <v>550.80999999999995</v>
      </c>
      <c r="C942" s="11">
        <v>543.3288</v>
      </c>
      <c r="D942" s="11">
        <v>498.43239999999997</v>
      </c>
      <c r="E942" s="10">
        <f t="shared" si="14"/>
        <v>0</v>
      </c>
      <c r="G942" s="29">
        <v>45502</v>
      </c>
      <c r="H942">
        <v>544.76</v>
      </c>
      <c r="I942">
        <v>542.6354</v>
      </c>
      <c r="J942">
        <v>497.31819999999999</v>
      </c>
      <c r="K942" s="10">
        <v>0</v>
      </c>
    </row>
    <row r="943" spans="1:11" x14ac:dyDescent="0.4">
      <c r="A943" s="25">
        <v>45505</v>
      </c>
      <c r="B943" s="11">
        <v>543.01</v>
      </c>
      <c r="C943" s="11">
        <v>543.58780000000002</v>
      </c>
      <c r="D943" s="11">
        <v>498.98989999999998</v>
      </c>
      <c r="E943" s="10">
        <f t="shared" si="14"/>
        <v>0</v>
      </c>
      <c r="G943" s="29">
        <v>45503</v>
      </c>
      <c r="H943">
        <v>542</v>
      </c>
      <c r="I943">
        <v>542.90160000000003</v>
      </c>
      <c r="J943">
        <v>497.84660000000002</v>
      </c>
      <c r="K943" s="10">
        <v>0</v>
      </c>
    </row>
    <row r="944" spans="1:11" x14ac:dyDescent="0.4">
      <c r="A944" s="25">
        <v>45506</v>
      </c>
      <c r="B944" s="11">
        <v>532.9</v>
      </c>
      <c r="C944" s="11">
        <v>543.61860000000001</v>
      </c>
      <c r="D944" s="11">
        <v>499.4742</v>
      </c>
      <c r="E944" s="10">
        <f t="shared" si="14"/>
        <v>0</v>
      </c>
      <c r="G944" s="29">
        <v>45504</v>
      </c>
      <c r="H944">
        <v>550.80999999999995</v>
      </c>
      <c r="I944">
        <v>543.3288</v>
      </c>
      <c r="J944">
        <v>498.43239999999997</v>
      </c>
      <c r="K944" s="10">
        <v>0</v>
      </c>
    </row>
    <row r="945" spans="1:11" x14ac:dyDescent="0.4">
      <c r="A945" s="25">
        <v>45509</v>
      </c>
      <c r="B945" s="11">
        <v>517.38</v>
      </c>
      <c r="C945" s="11">
        <v>543.36959999999999</v>
      </c>
      <c r="D945" s="11">
        <v>499.88099999999997</v>
      </c>
      <c r="E945" s="10">
        <f t="shared" si="14"/>
        <v>0</v>
      </c>
      <c r="G945" s="29">
        <v>45505</v>
      </c>
      <c r="H945">
        <v>543.01</v>
      </c>
      <c r="I945">
        <v>543.58780000000002</v>
      </c>
      <c r="J945">
        <v>498.98989999999998</v>
      </c>
      <c r="K945" s="10">
        <v>0</v>
      </c>
    </row>
    <row r="946" spans="1:11" x14ac:dyDescent="0.4">
      <c r="A946" s="25">
        <v>45510</v>
      </c>
      <c r="B946" s="11">
        <v>522.15</v>
      </c>
      <c r="C946" s="11">
        <v>543.29340000000002</v>
      </c>
      <c r="D946" s="11">
        <v>500.34070000000003</v>
      </c>
      <c r="E946" s="10">
        <f t="shared" si="14"/>
        <v>0</v>
      </c>
      <c r="G946" s="29">
        <v>45506</v>
      </c>
      <c r="H946">
        <v>532.9</v>
      </c>
      <c r="I946">
        <v>543.61860000000001</v>
      </c>
      <c r="J946">
        <v>499.4742</v>
      </c>
      <c r="K946" s="10">
        <v>0</v>
      </c>
    </row>
    <row r="947" spans="1:11" x14ac:dyDescent="0.4">
      <c r="A947" s="25">
        <v>45511</v>
      </c>
      <c r="B947" s="11">
        <v>518.66</v>
      </c>
      <c r="C947" s="11">
        <v>543.07780000000002</v>
      </c>
      <c r="D947" s="11">
        <v>500.80180000000001</v>
      </c>
      <c r="E947" s="10">
        <f t="shared" si="14"/>
        <v>0</v>
      </c>
      <c r="G947" s="29">
        <v>45509</v>
      </c>
      <c r="H947">
        <v>517.38</v>
      </c>
      <c r="I947">
        <v>543.36959999999999</v>
      </c>
      <c r="J947">
        <v>499.88099999999997</v>
      </c>
      <c r="K947" s="10">
        <v>0</v>
      </c>
    </row>
    <row r="948" spans="1:11" x14ac:dyDescent="0.4">
      <c r="A948" s="25">
        <v>45512</v>
      </c>
      <c r="B948" s="11">
        <v>530.65</v>
      </c>
      <c r="C948" s="11">
        <v>543.09460000000001</v>
      </c>
      <c r="D948" s="11">
        <v>501.3492</v>
      </c>
      <c r="E948" s="10">
        <f t="shared" si="14"/>
        <v>0</v>
      </c>
      <c r="G948" s="29">
        <v>45510</v>
      </c>
      <c r="H948">
        <v>522.15</v>
      </c>
      <c r="I948">
        <v>543.29340000000002</v>
      </c>
      <c r="J948">
        <v>500.34070000000003</v>
      </c>
      <c r="K948" s="10">
        <v>0</v>
      </c>
    </row>
    <row r="949" spans="1:11" x14ac:dyDescent="0.4">
      <c r="A949" s="25">
        <v>45513</v>
      </c>
      <c r="B949" s="11">
        <v>532.99</v>
      </c>
      <c r="C949" s="11">
        <v>543.23239999999998</v>
      </c>
      <c r="D949" s="11">
        <v>501.91180000000003</v>
      </c>
      <c r="E949" s="10">
        <f t="shared" si="14"/>
        <v>0</v>
      </c>
      <c r="G949" s="29">
        <v>45511</v>
      </c>
      <c r="H949">
        <v>518.66</v>
      </c>
      <c r="I949">
        <v>543.07780000000002</v>
      </c>
      <c r="J949">
        <v>500.80180000000001</v>
      </c>
      <c r="K949" s="10">
        <v>0</v>
      </c>
    </row>
    <row r="950" spans="1:11" x14ac:dyDescent="0.4">
      <c r="A950" s="25">
        <v>45516</v>
      </c>
      <c r="B950" s="11">
        <v>533.27</v>
      </c>
      <c r="C950" s="11">
        <v>543.44560000000001</v>
      </c>
      <c r="D950" s="11">
        <v>502.46</v>
      </c>
      <c r="E950" s="10">
        <f t="shared" si="14"/>
        <v>0</v>
      </c>
      <c r="G950" s="29">
        <v>45512</v>
      </c>
      <c r="H950">
        <v>530.65</v>
      </c>
      <c r="I950">
        <v>543.09460000000001</v>
      </c>
      <c r="J950">
        <v>501.3492</v>
      </c>
      <c r="K950" s="10">
        <v>0</v>
      </c>
    </row>
    <row r="951" spans="1:11" x14ac:dyDescent="0.4">
      <c r="A951" s="25">
        <v>45517</v>
      </c>
      <c r="B951" s="11">
        <v>542.04</v>
      </c>
      <c r="C951" s="11">
        <v>543.73900000000003</v>
      </c>
      <c r="D951" s="11">
        <v>503.08240000000001</v>
      </c>
      <c r="E951" s="10">
        <f t="shared" si="14"/>
        <v>0</v>
      </c>
      <c r="G951" s="29">
        <v>45513</v>
      </c>
      <c r="H951">
        <v>532.99</v>
      </c>
      <c r="I951">
        <v>543.23239999999998</v>
      </c>
      <c r="J951">
        <v>501.91180000000003</v>
      </c>
      <c r="K951" s="10">
        <v>0</v>
      </c>
    </row>
    <row r="952" spans="1:11" x14ac:dyDescent="0.4">
      <c r="A952" s="25">
        <v>45518</v>
      </c>
      <c r="B952" s="11">
        <v>543.75</v>
      </c>
      <c r="C952" s="11">
        <v>544.05799999999999</v>
      </c>
      <c r="D952" s="11">
        <v>503.73840000000001</v>
      </c>
      <c r="E952" s="10">
        <f t="shared" si="14"/>
        <v>0</v>
      </c>
      <c r="G952" s="29">
        <v>45516</v>
      </c>
      <c r="H952">
        <v>533.27</v>
      </c>
      <c r="I952">
        <v>543.44560000000001</v>
      </c>
      <c r="J952">
        <v>502.46</v>
      </c>
      <c r="K952" s="10">
        <v>0</v>
      </c>
    </row>
    <row r="953" spans="1:11" x14ac:dyDescent="0.4">
      <c r="A953" s="25">
        <v>45519</v>
      </c>
      <c r="B953" s="11">
        <v>553.07000000000005</v>
      </c>
      <c r="C953" s="11">
        <v>544.55160000000001</v>
      </c>
      <c r="D953" s="11">
        <v>504.4504</v>
      </c>
      <c r="E953" s="10">
        <f t="shared" si="14"/>
        <v>0</v>
      </c>
      <c r="G953" s="29">
        <v>45517</v>
      </c>
      <c r="H953">
        <v>542.04</v>
      </c>
      <c r="I953">
        <v>543.73900000000003</v>
      </c>
      <c r="J953">
        <v>503.08240000000001</v>
      </c>
      <c r="K953" s="10">
        <v>0</v>
      </c>
    </row>
    <row r="954" spans="1:11" x14ac:dyDescent="0.4">
      <c r="A954" s="25">
        <v>45520</v>
      </c>
      <c r="B954" s="11">
        <v>554.30999999999995</v>
      </c>
      <c r="C954" s="11">
        <v>544.94439999999997</v>
      </c>
      <c r="D954" s="11">
        <v>505.14400000000001</v>
      </c>
      <c r="E954" s="10">
        <f t="shared" si="14"/>
        <v>0</v>
      </c>
      <c r="G954" s="29">
        <v>45518</v>
      </c>
      <c r="H954">
        <v>543.75</v>
      </c>
      <c r="I954">
        <v>544.05799999999999</v>
      </c>
      <c r="J954">
        <v>503.73840000000001</v>
      </c>
      <c r="K954" s="10">
        <v>0</v>
      </c>
    </row>
    <row r="955" spans="1:11" x14ac:dyDescent="0.4">
      <c r="A955" s="25">
        <v>45523</v>
      </c>
      <c r="B955" s="11">
        <v>559.61</v>
      </c>
      <c r="C955" s="11">
        <v>545.4434</v>
      </c>
      <c r="D955" s="11">
        <v>505.851</v>
      </c>
      <c r="E955" s="10">
        <f t="shared" si="14"/>
        <v>0</v>
      </c>
      <c r="G955" s="29">
        <v>45519</v>
      </c>
      <c r="H955">
        <v>553.07000000000005</v>
      </c>
      <c r="I955">
        <v>544.55160000000001</v>
      </c>
      <c r="J955">
        <v>504.4504</v>
      </c>
      <c r="K955" s="10">
        <v>0</v>
      </c>
    </row>
    <row r="956" spans="1:11" x14ac:dyDescent="0.4">
      <c r="A956" s="25">
        <v>45524</v>
      </c>
      <c r="B956" s="11">
        <v>558.70000000000005</v>
      </c>
      <c r="C956" s="11">
        <v>545.93719999999996</v>
      </c>
      <c r="D956" s="11">
        <v>506.53120000000001</v>
      </c>
      <c r="E956" s="10">
        <f t="shared" si="14"/>
        <v>0</v>
      </c>
      <c r="G956" s="29">
        <v>45520</v>
      </c>
      <c r="H956">
        <v>554.30999999999995</v>
      </c>
      <c r="I956">
        <v>544.94439999999997</v>
      </c>
      <c r="J956">
        <v>505.14400000000001</v>
      </c>
      <c r="K956" s="10">
        <v>0</v>
      </c>
    </row>
    <row r="957" spans="1:11" x14ac:dyDescent="0.4">
      <c r="A957" s="25">
        <v>45525</v>
      </c>
      <c r="B957" s="11">
        <v>560.62</v>
      </c>
      <c r="C957" s="11">
        <v>546.43640000000005</v>
      </c>
      <c r="D957" s="11">
        <v>507.18060000000003</v>
      </c>
      <c r="E957" s="10">
        <f t="shared" si="14"/>
        <v>0</v>
      </c>
      <c r="G957" s="29">
        <v>45523</v>
      </c>
      <c r="H957">
        <v>559.61</v>
      </c>
      <c r="I957">
        <v>545.4434</v>
      </c>
      <c r="J957">
        <v>505.851</v>
      </c>
      <c r="K957" s="10">
        <v>0</v>
      </c>
    </row>
    <row r="958" spans="1:11" x14ac:dyDescent="0.4">
      <c r="A958" s="25">
        <v>45526</v>
      </c>
      <c r="B958" s="11">
        <v>556.22</v>
      </c>
      <c r="C958" s="11">
        <v>546.82180000000005</v>
      </c>
      <c r="D958" s="11">
        <v>507.78820000000002</v>
      </c>
      <c r="E958" s="10">
        <f t="shared" si="14"/>
        <v>0</v>
      </c>
      <c r="G958" s="29">
        <v>45524</v>
      </c>
      <c r="H958">
        <v>558.70000000000005</v>
      </c>
      <c r="I958">
        <v>545.93719999999996</v>
      </c>
      <c r="J958">
        <v>506.53120000000001</v>
      </c>
      <c r="K958" s="10">
        <v>0</v>
      </c>
    </row>
    <row r="959" spans="1:11" x14ac:dyDescent="0.4">
      <c r="A959" s="25">
        <v>45527</v>
      </c>
      <c r="B959" s="11">
        <v>562.13</v>
      </c>
      <c r="C959" s="11">
        <v>547.23720000000003</v>
      </c>
      <c r="D959" s="11">
        <v>508.42039999999997</v>
      </c>
      <c r="E959" s="10">
        <f t="shared" si="14"/>
        <v>0</v>
      </c>
      <c r="G959" s="29">
        <v>45525</v>
      </c>
      <c r="H959">
        <v>560.62</v>
      </c>
      <c r="I959">
        <v>546.43640000000005</v>
      </c>
      <c r="J959">
        <v>507.18060000000003</v>
      </c>
      <c r="K959" s="10">
        <v>0</v>
      </c>
    </row>
    <row r="960" spans="1:11" x14ac:dyDescent="0.4">
      <c r="A960" s="25">
        <v>45530</v>
      </c>
      <c r="B960" s="11">
        <v>560.79</v>
      </c>
      <c r="C960" s="11">
        <v>547.60400000000004</v>
      </c>
      <c r="D960" s="11">
        <v>509.03969999999998</v>
      </c>
      <c r="E960" s="10">
        <f t="shared" si="14"/>
        <v>0</v>
      </c>
      <c r="G960" s="29">
        <v>45526</v>
      </c>
      <c r="H960">
        <v>556.22</v>
      </c>
      <c r="I960">
        <v>546.82180000000005</v>
      </c>
      <c r="J960">
        <v>507.78820000000002</v>
      </c>
      <c r="K960" s="10">
        <v>0</v>
      </c>
    </row>
    <row r="961" spans="1:11" x14ac:dyDescent="0.4">
      <c r="A961" s="25">
        <v>45531</v>
      </c>
      <c r="B961" s="11">
        <v>561.55999999999995</v>
      </c>
      <c r="C961" s="11">
        <v>547.9796</v>
      </c>
      <c r="D961" s="11">
        <v>509.66120000000001</v>
      </c>
      <c r="E961" s="10">
        <f t="shared" si="14"/>
        <v>0</v>
      </c>
      <c r="G961" s="29">
        <v>45527</v>
      </c>
      <c r="H961">
        <v>562.13</v>
      </c>
      <c r="I961">
        <v>547.23720000000003</v>
      </c>
      <c r="J961">
        <v>508.42039999999997</v>
      </c>
      <c r="K961" s="10">
        <v>0</v>
      </c>
    </row>
    <row r="962" spans="1:11" x14ac:dyDescent="0.4">
      <c r="A962" s="25">
        <v>45532</v>
      </c>
      <c r="B962" s="11">
        <v>558.29999999999995</v>
      </c>
      <c r="C962" s="11">
        <v>548.20360000000005</v>
      </c>
      <c r="D962" s="11">
        <v>510.28359999999998</v>
      </c>
      <c r="E962" s="10">
        <f t="shared" si="14"/>
        <v>0</v>
      </c>
      <c r="G962" s="29">
        <v>45530</v>
      </c>
      <c r="H962">
        <v>560.79</v>
      </c>
      <c r="I962">
        <v>547.60400000000004</v>
      </c>
      <c r="J962">
        <v>509.03969999999998</v>
      </c>
      <c r="K962" s="10">
        <v>0</v>
      </c>
    </row>
    <row r="963" spans="1:11" x14ac:dyDescent="0.4">
      <c r="A963" s="25">
        <v>45533</v>
      </c>
      <c r="B963" s="11">
        <v>558.35</v>
      </c>
      <c r="C963" s="11">
        <v>548.4008</v>
      </c>
      <c r="D963" s="11">
        <v>510.87220000000002</v>
      </c>
      <c r="E963" s="10">
        <f t="shared" ref="E963:E1026" si="15">IF(AND(C963&gt;D963, C962&lt;D962), 1, 0)</f>
        <v>0</v>
      </c>
      <c r="G963" s="29">
        <v>45531</v>
      </c>
      <c r="H963">
        <v>561.55999999999995</v>
      </c>
      <c r="I963">
        <v>547.9796</v>
      </c>
      <c r="J963">
        <v>509.66120000000001</v>
      </c>
      <c r="K963" s="10">
        <v>0</v>
      </c>
    </row>
    <row r="964" spans="1:11" x14ac:dyDescent="0.4">
      <c r="A964" s="25">
        <v>45534</v>
      </c>
      <c r="B964" s="11">
        <v>563.67999999999995</v>
      </c>
      <c r="C964" s="11">
        <v>548.73440000000005</v>
      </c>
      <c r="D964" s="11">
        <v>511.48970000000003</v>
      </c>
      <c r="E964" s="10">
        <f t="shared" si="15"/>
        <v>0</v>
      </c>
      <c r="G964" s="29">
        <v>45532</v>
      </c>
      <c r="H964">
        <v>558.29999999999995</v>
      </c>
      <c r="I964">
        <v>548.20360000000005</v>
      </c>
      <c r="J964">
        <v>510.28359999999998</v>
      </c>
      <c r="K964" s="10">
        <v>0</v>
      </c>
    </row>
    <row r="965" spans="1:11" x14ac:dyDescent="0.4">
      <c r="A965" s="25">
        <v>45538</v>
      </c>
      <c r="B965" s="11">
        <v>552.08000000000004</v>
      </c>
      <c r="C965" s="11">
        <v>548.88580000000002</v>
      </c>
      <c r="D965" s="11">
        <v>512.00639999999999</v>
      </c>
      <c r="E965" s="10">
        <f t="shared" si="15"/>
        <v>0</v>
      </c>
      <c r="G965" s="29">
        <v>45533</v>
      </c>
      <c r="H965">
        <v>558.35</v>
      </c>
      <c r="I965">
        <v>548.4008</v>
      </c>
      <c r="J965">
        <v>510.87220000000002</v>
      </c>
      <c r="K965" s="10">
        <v>0</v>
      </c>
    </row>
    <row r="966" spans="1:11" x14ac:dyDescent="0.4">
      <c r="A966" s="25">
        <v>45539</v>
      </c>
      <c r="B966" s="11">
        <v>550.95000000000005</v>
      </c>
      <c r="C966" s="11">
        <v>549.04999999999995</v>
      </c>
      <c r="D966" s="11">
        <v>512.51279999999997</v>
      </c>
      <c r="E966" s="10">
        <f t="shared" si="15"/>
        <v>0</v>
      </c>
      <c r="G966" s="29">
        <v>45534</v>
      </c>
      <c r="H966">
        <v>563.67999999999995</v>
      </c>
      <c r="I966">
        <v>548.73440000000005</v>
      </c>
      <c r="J966">
        <v>511.48970000000003</v>
      </c>
      <c r="K966" s="10">
        <v>0</v>
      </c>
    </row>
    <row r="967" spans="1:11" x14ac:dyDescent="0.4">
      <c r="A967" s="25">
        <v>45540</v>
      </c>
      <c r="B967" s="11">
        <v>549.61</v>
      </c>
      <c r="C967" s="11">
        <v>549.14559999999994</v>
      </c>
      <c r="D967" s="11">
        <v>513.00969999999995</v>
      </c>
      <c r="E967" s="10">
        <f t="shared" si="15"/>
        <v>0</v>
      </c>
      <c r="G967" s="29">
        <v>45538</v>
      </c>
      <c r="H967">
        <v>552.08000000000004</v>
      </c>
      <c r="I967">
        <v>548.88580000000002</v>
      </c>
      <c r="J967">
        <v>512.00639999999999</v>
      </c>
      <c r="K967" s="10">
        <v>0</v>
      </c>
    </row>
    <row r="968" spans="1:11" x14ac:dyDescent="0.4">
      <c r="A968" s="25">
        <v>45541</v>
      </c>
      <c r="B968" s="11">
        <v>540.36</v>
      </c>
      <c r="C968" s="11">
        <v>549.04259999999999</v>
      </c>
      <c r="D968" s="11">
        <v>513.45759999999996</v>
      </c>
      <c r="E968" s="10">
        <f t="shared" si="15"/>
        <v>0</v>
      </c>
      <c r="G968" s="29">
        <v>45539</v>
      </c>
      <c r="H968">
        <v>550.95000000000005</v>
      </c>
      <c r="I968">
        <v>549.04999999999995</v>
      </c>
      <c r="J968">
        <v>512.51279999999997</v>
      </c>
      <c r="K968" s="10">
        <v>0</v>
      </c>
    </row>
    <row r="969" spans="1:11" x14ac:dyDescent="0.4">
      <c r="A969" s="25">
        <v>45544</v>
      </c>
      <c r="B969" s="11">
        <v>546.41</v>
      </c>
      <c r="C969" s="11">
        <v>549.04340000000002</v>
      </c>
      <c r="D969" s="11">
        <v>513.91830000000004</v>
      </c>
      <c r="E969" s="10">
        <f t="shared" si="15"/>
        <v>0</v>
      </c>
      <c r="G969" s="29">
        <v>45540</v>
      </c>
      <c r="H969">
        <v>549.61</v>
      </c>
      <c r="I969">
        <v>549.14559999999994</v>
      </c>
      <c r="J969">
        <v>513.00969999999995</v>
      </c>
      <c r="K969" s="10">
        <v>0</v>
      </c>
    </row>
    <row r="970" spans="1:11" x14ac:dyDescent="0.4">
      <c r="A970" s="25">
        <v>45545</v>
      </c>
      <c r="B970" s="11">
        <v>548.79</v>
      </c>
      <c r="C970" s="11">
        <v>549.13480000000004</v>
      </c>
      <c r="D970" s="11">
        <v>514.39589999999998</v>
      </c>
      <c r="E970" s="10">
        <f t="shared" si="15"/>
        <v>0</v>
      </c>
      <c r="G970" s="29">
        <v>45541</v>
      </c>
      <c r="H970">
        <v>540.36</v>
      </c>
      <c r="I970">
        <v>549.04259999999999</v>
      </c>
      <c r="J970">
        <v>513.45759999999996</v>
      </c>
      <c r="K970" s="10">
        <v>0</v>
      </c>
    </row>
    <row r="971" spans="1:11" x14ac:dyDescent="0.4">
      <c r="A971" s="25">
        <v>45546</v>
      </c>
      <c r="B971" s="11">
        <v>554.41999999999996</v>
      </c>
      <c r="C971" s="11">
        <v>549.31640000000004</v>
      </c>
      <c r="D971" s="11">
        <v>514.89290000000005</v>
      </c>
      <c r="E971" s="10">
        <f t="shared" si="15"/>
        <v>0</v>
      </c>
      <c r="G971" s="29">
        <v>45544</v>
      </c>
      <c r="H971">
        <v>546.41</v>
      </c>
      <c r="I971">
        <v>549.04340000000002</v>
      </c>
      <c r="J971">
        <v>513.91830000000004</v>
      </c>
      <c r="K971" s="10">
        <v>0</v>
      </c>
    </row>
    <row r="972" spans="1:11" x14ac:dyDescent="0.4">
      <c r="A972" s="25">
        <v>45547</v>
      </c>
      <c r="B972" s="11">
        <v>559.09</v>
      </c>
      <c r="C972" s="11">
        <v>549.51800000000003</v>
      </c>
      <c r="D972" s="11">
        <v>515.41179999999997</v>
      </c>
      <c r="E972" s="10">
        <f t="shared" si="15"/>
        <v>0</v>
      </c>
      <c r="G972" s="29">
        <v>45545</v>
      </c>
      <c r="H972">
        <v>548.79</v>
      </c>
      <c r="I972">
        <v>549.13480000000004</v>
      </c>
      <c r="J972">
        <v>514.39589999999998</v>
      </c>
      <c r="K972" s="10">
        <v>0</v>
      </c>
    </row>
    <row r="973" spans="1:11" x14ac:dyDescent="0.4">
      <c r="A973" s="25">
        <v>45548</v>
      </c>
      <c r="B973" s="11">
        <v>562.01</v>
      </c>
      <c r="C973" s="11">
        <v>549.72900000000004</v>
      </c>
      <c r="D973" s="11">
        <v>515.94949999999994</v>
      </c>
      <c r="E973" s="10">
        <f t="shared" si="15"/>
        <v>0</v>
      </c>
      <c r="G973" s="29">
        <v>45546</v>
      </c>
      <c r="H973">
        <v>554.41999999999996</v>
      </c>
      <c r="I973">
        <v>549.31640000000004</v>
      </c>
      <c r="J973">
        <v>514.89290000000005</v>
      </c>
      <c r="K973" s="10">
        <v>0</v>
      </c>
    </row>
    <row r="974" spans="1:11" x14ac:dyDescent="0.4">
      <c r="A974" s="25">
        <v>45551</v>
      </c>
      <c r="B974" s="11">
        <v>562.84</v>
      </c>
      <c r="C974" s="11">
        <v>549.89300000000003</v>
      </c>
      <c r="D974" s="11">
        <v>516.48900000000003</v>
      </c>
      <c r="E974" s="10">
        <f t="shared" si="15"/>
        <v>0</v>
      </c>
      <c r="G974" s="29">
        <v>45547</v>
      </c>
      <c r="H974">
        <v>559.09</v>
      </c>
      <c r="I974">
        <v>549.51800000000003</v>
      </c>
      <c r="J974">
        <v>515.41179999999997</v>
      </c>
      <c r="K974" s="10">
        <v>0</v>
      </c>
    </row>
    <row r="975" spans="1:11" x14ac:dyDescent="0.4">
      <c r="A975" s="25">
        <v>45552</v>
      </c>
      <c r="B975" s="11">
        <v>563.07000000000005</v>
      </c>
      <c r="C975" s="11">
        <v>550.04880000000003</v>
      </c>
      <c r="D975" s="11">
        <v>517.03139999999996</v>
      </c>
      <c r="E975" s="10">
        <f t="shared" si="15"/>
        <v>0</v>
      </c>
      <c r="G975" s="29">
        <v>45548</v>
      </c>
      <c r="H975">
        <v>562.01</v>
      </c>
      <c r="I975">
        <v>549.72900000000004</v>
      </c>
      <c r="J975">
        <v>515.94949999999994</v>
      </c>
      <c r="K975" s="10">
        <v>0</v>
      </c>
    </row>
    <row r="976" spans="1:11" x14ac:dyDescent="0.4">
      <c r="A976" s="25">
        <v>45553</v>
      </c>
      <c r="B976" s="11">
        <v>561.4</v>
      </c>
      <c r="C976" s="11">
        <v>550.16039999999998</v>
      </c>
      <c r="D976" s="11">
        <v>517.55640000000005</v>
      </c>
      <c r="E976" s="10">
        <f t="shared" si="15"/>
        <v>0</v>
      </c>
      <c r="G976" s="29">
        <v>45551</v>
      </c>
      <c r="H976">
        <v>562.84</v>
      </c>
      <c r="I976">
        <v>549.89300000000003</v>
      </c>
      <c r="J976">
        <v>516.48900000000003</v>
      </c>
      <c r="K976" s="10">
        <v>0</v>
      </c>
    </row>
    <row r="977" spans="1:11" x14ac:dyDescent="0.4">
      <c r="A977" s="25">
        <v>45554</v>
      </c>
      <c r="B977" s="11">
        <v>570.98</v>
      </c>
      <c r="C977" s="11">
        <v>550.35360000000003</v>
      </c>
      <c r="D977" s="11">
        <v>518.11580000000004</v>
      </c>
      <c r="E977" s="10">
        <f t="shared" si="15"/>
        <v>0</v>
      </c>
      <c r="G977" s="29">
        <v>45552</v>
      </c>
      <c r="H977">
        <v>563.07000000000005</v>
      </c>
      <c r="I977">
        <v>550.04880000000003</v>
      </c>
      <c r="J977">
        <v>517.03139999999996</v>
      </c>
      <c r="K977" s="10">
        <v>0</v>
      </c>
    </row>
    <row r="978" spans="1:11" x14ac:dyDescent="0.4">
      <c r="A978" s="25">
        <v>45555</v>
      </c>
      <c r="B978" s="11">
        <v>568.25</v>
      </c>
      <c r="C978" s="11">
        <v>550.58900000000006</v>
      </c>
      <c r="D978" s="11">
        <v>518.67359999999996</v>
      </c>
      <c r="E978" s="10">
        <f t="shared" si="15"/>
        <v>0</v>
      </c>
      <c r="G978" s="29">
        <v>45553</v>
      </c>
      <c r="H978">
        <v>561.4</v>
      </c>
      <c r="I978">
        <v>550.16039999999998</v>
      </c>
      <c r="J978">
        <v>517.55640000000005</v>
      </c>
      <c r="K978" s="10">
        <v>0</v>
      </c>
    </row>
    <row r="979" spans="1:11" x14ac:dyDescent="0.4">
      <c r="A979" s="25">
        <v>45558</v>
      </c>
      <c r="B979" s="11">
        <v>569.66999999999996</v>
      </c>
      <c r="C979" s="11">
        <v>550.7826</v>
      </c>
      <c r="D979" s="11">
        <v>519.23889999999994</v>
      </c>
      <c r="E979" s="10">
        <f t="shared" si="15"/>
        <v>0</v>
      </c>
      <c r="G979" s="29">
        <v>45554</v>
      </c>
      <c r="H979">
        <v>570.98</v>
      </c>
      <c r="I979">
        <v>550.35360000000003</v>
      </c>
      <c r="J979">
        <v>518.11580000000004</v>
      </c>
      <c r="K979" s="10">
        <v>0</v>
      </c>
    </row>
    <row r="980" spans="1:11" x14ac:dyDescent="0.4">
      <c r="A980" s="25">
        <v>45559</v>
      </c>
      <c r="B980" s="11">
        <v>571.29999999999995</v>
      </c>
      <c r="C980" s="11">
        <v>550.97799999999995</v>
      </c>
      <c r="D980" s="11">
        <v>519.82159999999999</v>
      </c>
      <c r="E980" s="10">
        <f t="shared" si="15"/>
        <v>0</v>
      </c>
      <c r="G980" s="29">
        <v>45555</v>
      </c>
      <c r="H980">
        <v>568.25</v>
      </c>
      <c r="I980">
        <v>550.58900000000006</v>
      </c>
      <c r="J980">
        <v>518.67359999999996</v>
      </c>
      <c r="K980" s="10">
        <v>0</v>
      </c>
    </row>
    <row r="981" spans="1:11" x14ac:dyDescent="0.4">
      <c r="A981" s="25">
        <v>45560</v>
      </c>
      <c r="B981" s="11">
        <v>570.04</v>
      </c>
      <c r="C981" s="11">
        <v>551.08159999999998</v>
      </c>
      <c r="D981" s="11">
        <v>520.38059999999996</v>
      </c>
      <c r="E981" s="10">
        <f t="shared" si="15"/>
        <v>0</v>
      </c>
      <c r="G981" s="29">
        <v>45558</v>
      </c>
      <c r="H981">
        <v>569.66999999999996</v>
      </c>
      <c r="I981">
        <v>550.7826</v>
      </c>
      <c r="J981">
        <v>519.23889999999994</v>
      </c>
      <c r="K981" s="10">
        <v>0</v>
      </c>
    </row>
    <row r="982" spans="1:11" x14ac:dyDescent="0.4">
      <c r="A982" s="25">
        <v>45561</v>
      </c>
      <c r="B982" s="11">
        <v>572.29999999999995</v>
      </c>
      <c r="C982" s="11">
        <v>551.38879999999995</v>
      </c>
      <c r="D982" s="11">
        <v>520.94119999999998</v>
      </c>
      <c r="E982" s="10">
        <f t="shared" si="15"/>
        <v>0</v>
      </c>
      <c r="G982" s="29">
        <v>45559</v>
      </c>
      <c r="H982">
        <v>571.29999999999995</v>
      </c>
      <c r="I982">
        <v>550.97799999999995</v>
      </c>
      <c r="J982">
        <v>519.82159999999999</v>
      </c>
      <c r="K982" s="10">
        <v>0</v>
      </c>
    </row>
    <row r="983" spans="1:11" x14ac:dyDescent="0.4">
      <c r="A983" s="25">
        <v>45562</v>
      </c>
      <c r="B983" s="11">
        <v>571.47</v>
      </c>
      <c r="C983" s="11">
        <v>551.76499999999999</v>
      </c>
      <c r="D983" s="11">
        <v>521.48860000000002</v>
      </c>
      <c r="E983" s="10">
        <f t="shared" si="15"/>
        <v>0</v>
      </c>
      <c r="G983" s="29">
        <v>45560</v>
      </c>
      <c r="H983">
        <v>570.04</v>
      </c>
      <c r="I983">
        <v>551.08159999999998</v>
      </c>
      <c r="J983">
        <v>520.38059999999996</v>
      </c>
      <c r="K983" s="10">
        <v>0</v>
      </c>
    </row>
    <row r="984" spans="1:11" x14ac:dyDescent="0.4">
      <c r="A984" s="25">
        <v>45565</v>
      </c>
      <c r="B984" s="11">
        <v>573.76</v>
      </c>
      <c r="C984" s="11">
        <v>552.2604</v>
      </c>
      <c r="D984" s="11">
        <v>522.03679999999997</v>
      </c>
      <c r="E984" s="10">
        <f t="shared" si="15"/>
        <v>0</v>
      </c>
      <c r="G984" s="29">
        <v>45561</v>
      </c>
      <c r="H984">
        <v>572.29999999999995</v>
      </c>
      <c r="I984">
        <v>551.38879999999995</v>
      </c>
      <c r="J984">
        <v>520.94119999999998</v>
      </c>
      <c r="K984" s="10">
        <v>0</v>
      </c>
    </row>
    <row r="985" spans="1:11" x14ac:dyDescent="0.4">
      <c r="A985" s="25">
        <v>45566</v>
      </c>
      <c r="B985" s="11">
        <v>568.62</v>
      </c>
      <c r="C985" s="11">
        <v>552.53980000000001</v>
      </c>
      <c r="D985" s="11">
        <v>522.52739999999994</v>
      </c>
      <c r="E985" s="10">
        <f t="shared" si="15"/>
        <v>0</v>
      </c>
      <c r="G985" s="29">
        <v>45562</v>
      </c>
      <c r="H985">
        <v>571.47</v>
      </c>
      <c r="I985">
        <v>551.76499999999999</v>
      </c>
      <c r="J985">
        <v>521.48860000000002</v>
      </c>
      <c r="K985" s="10">
        <v>0</v>
      </c>
    </row>
    <row r="986" spans="1:11" x14ac:dyDescent="0.4">
      <c r="A986" s="25">
        <v>45567</v>
      </c>
      <c r="B986" s="11">
        <v>568.86</v>
      </c>
      <c r="C986" s="11">
        <v>552.84140000000002</v>
      </c>
      <c r="D986" s="11">
        <v>523.01170000000002</v>
      </c>
      <c r="E986" s="10">
        <f t="shared" si="15"/>
        <v>0</v>
      </c>
      <c r="G986" s="29">
        <v>45565</v>
      </c>
      <c r="H986">
        <v>573.76</v>
      </c>
      <c r="I986">
        <v>552.2604</v>
      </c>
      <c r="J986">
        <v>522.03679999999997</v>
      </c>
      <c r="K986" s="10">
        <v>0</v>
      </c>
    </row>
    <row r="987" spans="1:11" x14ac:dyDescent="0.4">
      <c r="A987" s="25">
        <v>45568</v>
      </c>
      <c r="B987" s="11">
        <v>567.82000000000005</v>
      </c>
      <c r="C987" s="11">
        <v>553.3732</v>
      </c>
      <c r="D987" s="11">
        <v>523.50419999999997</v>
      </c>
      <c r="E987" s="10">
        <f t="shared" si="15"/>
        <v>0</v>
      </c>
      <c r="G987" s="29">
        <v>45566</v>
      </c>
      <c r="H987">
        <v>568.62</v>
      </c>
      <c r="I987">
        <v>552.53980000000001</v>
      </c>
      <c r="J987">
        <v>522.52739999999994</v>
      </c>
      <c r="K987" s="10">
        <v>0</v>
      </c>
    </row>
    <row r="988" spans="1:11" x14ac:dyDescent="0.4">
      <c r="A988" s="25">
        <v>45569</v>
      </c>
      <c r="B988" s="11">
        <v>572.98</v>
      </c>
      <c r="C988" s="11">
        <v>554.06460000000004</v>
      </c>
      <c r="D988" s="11">
        <v>524.00919999999996</v>
      </c>
      <c r="E988" s="10">
        <f t="shared" si="15"/>
        <v>0</v>
      </c>
      <c r="G988" s="29">
        <v>45567</v>
      </c>
      <c r="H988">
        <v>568.86</v>
      </c>
      <c r="I988">
        <v>552.84140000000002</v>
      </c>
      <c r="J988">
        <v>523.01170000000002</v>
      </c>
      <c r="K988" s="10">
        <v>0</v>
      </c>
    </row>
    <row r="989" spans="1:11" x14ac:dyDescent="0.4">
      <c r="A989" s="25">
        <v>45572</v>
      </c>
      <c r="B989" s="11">
        <v>567.79999999999995</v>
      </c>
      <c r="C989" s="11">
        <v>554.53179999999998</v>
      </c>
      <c r="D989" s="11">
        <v>524.47400000000005</v>
      </c>
      <c r="E989" s="10">
        <f t="shared" si="15"/>
        <v>0</v>
      </c>
      <c r="G989" s="29">
        <v>45568</v>
      </c>
      <c r="H989">
        <v>567.82000000000005</v>
      </c>
      <c r="I989">
        <v>553.3732</v>
      </c>
      <c r="J989">
        <v>523.50419999999997</v>
      </c>
      <c r="K989" s="10">
        <v>0</v>
      </c>
    </row>
    <row r="990" spans="1:11" x14ac:dyDescent="0.4">
      <c r="A990" s="25">
        <v>45573</v>
      </c>
      <c r="B990" s="11">
        <v>573.16999999999996</v>
      </c>
      <c r="C990" s="11">
        <v>555.1</v>
      </c>
      <c r="D990" s="11">
        <v>524.99860000000001</v>
      </c>
      <c r="E990" s="10">
        <f t="shared" si="15"/>
        <v>0</v>
      </c>
      <c r="G990" s="29">
        <v>45569</v>
      </c>
      <c r="H990">
        <v>572.98</v>
      </c>
      <c r="I990">
        <v>554.06460000000004</v>
      </c>
      <c r="J990">
        <v>524.00919999999996</v>
      </c>
      <c r="K990" s="10">
        <v>0</v>
      </c>
    </row>
    <row r="991" spans="1:11" x14ac:dyDescent="0.4">
      <c r="A991" s="25">
        <v>45574</v>
      </c>
      <c r="B991" s="11">
        <v>577.14</v>
      </c>
      <c r="C991" s="11">
        <v>555.80280000000005</v>
      </c>
      <c r="D991" s="11">
        <v>525.52080000000001</v>
      </c>
      <c r="E991" s="10">
        <f t="shared" si="15"/>
        <v>0</v>
      </c>
      <c r="G991" s="29">
        <v>45572</v>
      </c>
      <c r="H991">
        <v>567.79999999999995</v>
      </c>
      <c r="I991">
        <v>554.53179999999998</v>
      </c>
      <c r="J991">
        <v>524.47400000000005</v>
      </c>
      <c r="K991" s="10">
        <v>0</v>
      </c>
    </row>
    <row r="992" spans="1:11" x14ac:dyDescent="0.4">
      <c r="A992" s="25">
        <v>45575</v>
      </c>
      <c r="B992" s="11">
        <v>576.13</v>
      </c>
      <c r="C992" s="11">
        <v>556.30920000000003</v>
      </c>
      <c r="D992" s="11">
        <v>526.03319999999997</v>
      </c>
      <c r="E992" s="10">
        <f t="shared" si="15"/>
        <v>0</v>
      </c>
      <c r="G992" s="29">
        <v>45573</v>
      </c>
      <c r="H992">
        <v>573.16999999999996</v>
      </c>
      <c r="I992">
        <v>555.1</v>
      </c>
      <c r="J992">
        <v>524.99860000000001</v>
      </c>
      <c r="K992" s="10">
        <v>0</v>
      </c>
    </row>
    <row r="993" spans="1:11" x14ac:dyDescent="0.4">
      <c r="A993" s="25">
        <v>45576</v>
      </c>
      <c r="B993" s="11">
        <v>579.58000000000004</v>
      </c>
      <c r="C993" s="11">
        <v>557.04060000000004</v>
      </c>
      <c r="D993" s="11">
        <v>526.55280000000005</v>
      </c>
      <c r="E993" s="10">
        <f t="shared" si="15"/>
        <v>0</v>
      </c>
      <c r="G993" s="29">
        <v>45574</v>
      </c>
      <c r="H993">
        <v>577.14</v>
      </c>
      <c r="I993">
        <v>555.80280000000005</v>
      </c>
      <c r="J993">
        <v>525.52080000000001</v>
      </c>
      <c r="K993" s="10">
        <v>0</v>
      </c>
    </row>
    <row r="994" spans="1:11" x14ac:dyDescent="0.4">
      <c r="A994" s="25">
        <v>45579</v>
      </c>
      <c r="B994" s="11">
        <v>584.32000000000005</v>
      </c>
      <c r="C994" s="11">
        <v>558.06899999999996</v>
      </c>
      <c r="D994" s="11">
        <v>527.09180000000003</v>
      </c>
      <c r="E994" s="10">
        <f t="shared" si="15"/>
        <v>0</v>
      </c>
      <c r="G994" s="29">
        <v>45575</v>
      </c>
      <c r="H994">
        <v>576.13</v>
      </c>
      <c r="I994">
        <v>556.30920000000003</v>
      </c>
      <c r="J994">
        <v>526.03319999999997</v>
      </c>
      <c r="K994" s="10">
        <v>0</v>
      </c>
    </row>
    <row r="995" spans="1:11" x14ac:dyDescent="0.4">
      <c r="A995" s="25">
        <v>45580</v>
      </c>
      <c r="B995" s="11">
        <v>579.78</v>
      </c>
      <c r="C995" s="11">
        <v>559.31700000000001</v>
      </c>
      <c r="D995" s="11">
        <v>527.60730000000001</v>
      </c>
      <c r="E995" s="10">
        <f t="shared" si="15"/>
        <v>0</v>
      </c>
      <c r="G995" s="29">
        <v>45576</v>
      </c>
      <c r="H995">
        <v>579.58000000000004</v>
      </c>
      <c r="I995">
        <v>557.04060000000004</v>
      </c>
      <c r="J995">
        <v>526.55280000000005</v>
      </c>
      <c r="K995" s="10">
        <v>0</v>
      </c>
    </row>
    <row r="996" spans="1:11" x14ac:dyDescent="0.4">
      <c r="A996" s="25">
        <v>45581</v>
      </c>
      <c r="B996" s="11">
        <v>582.29999999999995</v>
      </c>
      <c r="C996" s="11">
        <v>560.52</v>
      </c>
      <c r="D996" s="11">
        <v>528.1422</v>
      </c>
      <c r="E996" s="10">
        <f t="shared" si="15"/>
        <v>0</v>
      </c>
      <c r="G996" s="29">
        <v>45579</v>
      </c>
      <c r="H996">
        <v>584.32000000000005</v>
      </c>
      <c r="I996">
        <v>558.06899999999996</v>
      </c>
      <c r="J996">
        <v>527.09180000000003</v>
      </c>
      <c r="K996" s="10">
        <v>0</v>
      </c>
    </row>
    <row r="997" spans="1:11" x14ac:dyDescent="0.4">
      <c r="A997" s="25">
        <v>45582</v>
      </c>
      <c r="B997" s="11">
        <v>582.35</v>
      </c>
      <c r="C997" s="11">
        <v>561.79380000000003</v>
      </c>
      <c r="D997" s="11">
        <v>528.69079999999997</v>
      </c>
      <c r="E997" s="10">
        <f t="shared" si="15"/>
        <v>0</v>
      </c>
      <c r="G997" s="29">
        <v>45580</v>
      </c>
      <c r="H997">
        <v>579.78</v>
      </c>
      <c r="I997">
        <v>559.31700000000001</v>
      </c>
      <c r="J997">
        <v>527.60730000000001</v>
      </c>
      <c r="K997" s="10">
        <v>0</v>
      </c>
    </row>
    <row r="998" spans="1:11" x14ac:dyDescent="0.4">
      <c r="A998" s="25">
        <v>45583</v>
      </c>
      <c r="B998" s="11">
        <v>584.59</v>
      </c>
      <c r="C998" s="11">
        <v>562.87260000000003</v>
      </c>
      <c r="D998" s="11">
        <v>529.26980000000003</v>
      </c>
      <c r="E998" s="10">
        <f t="shared" si="15"/>
        <v>0</v>
      </c>
      <c r="G998" s="29">
        <v>45581</v>
      </c>
      <c r="H998">
        <v>582.29999999999995</v>
      </c>
      <c r="I998">
        <v>560.52</v>
      </c>
      <c r="J998">
        <v>528.1422</v>
      </c>
      <c r="K998" s="10">
        <v>0</v>
      </c>
    </row>
    <row r="999" spans="1:11" x14ac:dyDescent="0.4">
      <c r="A999" s="25">
        <v>45586</v>
      </c>
      <c r="B999" s="11">
        <v>583.63</v>
      </c>
      <c r="C999" s="11">
        <v>563.8854</v>
      </c>
      <c r="D999" s="11">
        <v>529.85149999999999</v>
      </c>
      <c r="E999" s="10">
        <f t="shared" si="15"/>
        <v>0</v>
      </c>
      <c r="G999" s="29">
        <v>45582</v>
      </c>
      <c r="H999">
        <v>582.35</v>
      </c>
      <c r="I999">
        <v>561.79380000000003</v>
      </c>
      <c r="J999">
        <v>528.69079999999997</v>
      </c>
      <c r="K999" s="10">
        <v>0</v>
      </c>
    </row>
    <row r="1000" spans="1:11" x14ac:dyDescent="0.4">
      <c r="A1000" s="25">
        <v>45587</v>
      </c>
      <c r="B1000" s="11">
        <v>583.32000000000005</v>
      </c>
      <c r="C1000" s="11">
        <v>564.88639999999998</v>
      </c>
      <c r="D1000" s="11">
        <v>530.42849999999999</v>
      </c>
      <c r="E1000" s="10">
        <f t="shared" si="15"/>
        <v>0</v>
      </c>
      <c r="G1000" s="29">
        <v>45583</v>
      </c>
      <c r="H1000">
        <v>584.59</v>
      </c>
      <c r="I1000">
        <v>562.87260000000003</v>
      </c>
      <c r="J1000">
        <v>529.26980000000003</v>
      </c>
      <c r="K1000" s="10">
        <v>0</v>
      </c>
    </row>
    <row r="1001" spans="1:11" x14ac:dyDescent="0.4">
      <c r="A1001" s="25">
        <v>45588</v>
      </c>
      <c r="B1001" s="11">
        <v>577.99</v>
      </c>
      <c r="C1001" s="11">
        <v>565.60540000000003</v>
      </c>
      <c r="D1001" s="11">
        <v>530.94539999999995</v>
      </c>
      <c r="E1001" s="10">
        <f t="shared" si="15"/>
        <v>0</v>
      </c>
      <c r="G1001" s="29">
        <v>45586</v>
      </c>
      <c r="H1001">
        <v>583.63</v>
      </c>
      <c r="I1001">
        <v>563.8854</v>
      </c>
      <c r="J1001">
        <v>529.85149999999999</v>
      </c>
      <c r="K1001" s="10">
        <v>0</v>
      </c>
    </row>
    <row r="1002" spans="1:11" x14ac:dyDescent="0.4">
      <c r="A1002" s="25">
        <v>45589</v>
      </c>
      <c r="B1002" s="11">
        <v>579.24</v>
      </c>
      <c r="C1002" s="11">
        <v>566.3152</v>
      </c>
      <c r="D1002" s="11">
        <v>531.47220000000004</v>
      </c>
      <c r="E1002" s="10">
        <f t="shared" si="15"/>
        <v>0</v>
      </c>
      <c r="G1002" s="29">
        <v>45587</v>
      </c>
      <c r="H1002">
        <v>583.32000000000005</v>
      </c>
      <c r="I1002">
        <v>564.88639999999998</v>
      </c>
      <c r="J1002">
        <v>530.42849999999999</v>
      </c>
      <c r="K1002" s="10">
        <v>0</v>
      </c>
    </row>
    <row r="1003" spans="1:11" x14ac:dyDescent="0.4">
      <c r="A1003" s="25">
        <v>45590</v>
      </c>
      <c r="B1003" s="11">
        <v>579.04</v>
      </c>
      <c r="C1003" s="11">
        <v>566.83460000000002</v>
      </c>
      <c r="D1003" s="11">
        <v>531.9846</v>
      </c>
      <c r="E1003" s="10">
        <f t="shared" si="15"/>
        <v>0</v>
      </c>
      <c r="G1003" s="29">
        <v>45588</v>
      </c>
      <c r="H1003">
        <v>577.99</v>
      </c>
      <c r="I1003">
        <v>565.60540000000003</v>
      </c>
      <c r="J1003">
        <v>530.94539999999995</v>
      </c>
      <c r="K1003" s="10">
        <v>0</v>
      </c>
    </row>
    <row r="1004" spans="1:11" x14ac:dyDescent="0.4">
      <c r="A1004" s="25">
        <v>45593</v>
      </c>
      <c r="B1004" s="11">
        <v>580.83000000000004</v>
      </c>
      <c r="C1004" s="11">
        <v>567.36500000000001</v>
      </c>
      <c r="D1004" s="11">
        <v>532.50699999999995</v>
      </c>
      <c r="E1004" s="10">
        <f t="shared" si="15"/>
        <v>0</v>
      </c>
      <c r="G1004" s="29">
        <v>45589</v>
      </c>
      <c r="H1004">
        <v>579.24</v>
      </c>
      <c r="I1004">
        <v>566.3152</v>
      </c>
      <c r="J1004">
        <v>531.47220000000004</v>
      </c>
      <c r="K1004" s="10">
        <v>0</v>
      </c>
    </row>
    <row r="1005" spans="1:11" x14ac:dyDescent="0.4">
      <c r="A1005" s="25">
        <v>45594</v>
      </c>
      <c r="B1005" s="11">
        <v>581.77</v>
      </c>
      <c r="C1005" s="11">
        <v>567.80820000000006</v>
      </c>
      <c r="D1005" s="11">
        <v>533.03250000000003</v>
      </c>
      <c r="E1005" s="10">
        <f t="shared" si="15"/>
        <v>0</v>
      </c>
      <c r="G1005" s="29">
        <v>45590</v>
      </c>
      <c r="H1005">
        <v>579.04</v>
      </c>
      <c r="I1005">
        <v>566.83460000000002</v>
      </c>
      <c r="J1005">
        <v>531.9846</v>
      </c>
      <c r="K1005" s="10">
        <v>0</v>
      </c>
    </row>
    <row r="1006" spans="1:11" x14ac:dyDescent="0.4">
      <c r="A1006" s="25">
        <v>45595</v>
      </c>
      <c r="B1006" s="11">
        <v>580.01</v>
      </c>
      <c r="C1006" s="11">
        <v>568.23440000000005</v>
      </c>
      <c r="D1006" s="11">
        <v>533.55790000000002</v>
      </c>
      <c r="E1006" s="10">
        <f t="shared" si="15"/>
        <v>0</v>
      </c>
      <c r="G1006" s="29">
        <v>45593</v>
      </c>
      <c r="H1006">
        <v>580.83000000000004</v>
      </c>
      <c r="I1006">
        <v>567.36500000000001</v>
      </c>
      <c r="J1006">
        <v>532.50699999999995</v>
      </c>
      <c r="K1006" s="10">
        <v>0</v>
      </c>
    </row>
    <row r="1007" spans="1:11" x14ac:dyDescent="0.4">
      <c r="A1007" s="25">
        <v>45596</v>
      </c>
      <c r="B1007" s="11">
        <v>568.64</v>
      </c>
      <c r="C1007" s="11">
        <v>568.39480000000003</v>
      </c>
      <c r="D1007" s="11">
        <v>534.03959999999995</v>
      </c>
      <c r="E1007" s="10">
        <f t="shared" si="15"/>
        <v>0</v>
      </c>
      <c r="G1007" s="29">
        <v>45594</v>
      </c>
      <c r="H1007">
        <v>581.77</v>
      </c>
      <c r="I1007">
        <v>567.80820000000006</v>
      </c>
      <c r="J1007">
        <v>533.03250000000003</v>
      </c>
      <c r="K1007" s="10">
        <v>0</v>
      </c>
    </row>
    <row r="1008" spans="1:11" x14ac:dyDescent="0.4">
      <c r="A1008" s="25">
        <v>45597</v>
      </c>
      <c r="B1008" s="11">
        <v>571.04</v>
      </c>
      <c r="C1008" s="11">
        <v>568.69119999999998</v>
      </c>
      <c r="D1008" s="11">
        <v>534.51239999999996</v>
      </c>
      <c r="E1008" s="10">
        <f t="shared" si="15"/>
        <v>0</v>
      </c>
      <c r="G1008" s="29">
        <v>45595</v>
      </c>
      <c r="H1008">
        <v>580.01</v>
      </c>
      <c r="I1008">
        <v>568.23440000000005</v>
      </c>
      <c r="J1008">
        <v>533.55790000000002</v>
      </c>
      <c r="K1008" s="10">
        <v>0</v>
      </c>
    </row>
    <row r="1009" spans="1:11" x14ac:dyDescent="0.4">
      <c r="A1009" s="25">
        <v>45600</v>
      </c>
      <c r="B1009" s="11">
        <v>569.80999999999995</v>
      </c>
      <c r="C1009" s="11">
        <v>568.84479999999996</v>
      </c>
      <c r="D1009" s="11">
        <v>534.94929999999999</v>
      </c>
      <c r="E1009" s="10">
        <f t="shared" si="15"/>
        <v>0</v>
      </c>
      <c r="G1009" s="29">
        <v>45596</v>
      </c>
      <c r="H1009">
        <v>568.64</v>
      </c>
      <c r="I1009">
        <v>568.39480000000003</v>
      </c>
      <c r="J1009">
        <v>534.03959999999995</v>
      </c>
      <c r="K1009" s="10">
        <v>0</v>
      </c>
    </row>
    <row r="1010" spans="1:11" x14ac:dyDescent="0.4">
      <c r="A1010" s="25">
        <v>45601</v>
      </c>
      <c r="B1010" s="11">
        <v>576.70000000000005</v>
      </c>
      <c r="C1010" s="11">
        <v>569.16300000000001</v>
      </c>
      <c r="D1010" s="11">
        <v>535.41560000000004</v>
      </c>
      <c r="E1010" s="10">
        <f t="shared" si="15"/>
        <v>0</v>
      </c>
      <c r="G1010" s="29">
        <v>45597</v>
      </c>
      <c r="H1010">
        <v>571.04</v>
      </c>
      <c r="I1010">
        <v>568.69119999999998</v>
      </c>
      <c r="J1010">
        <v>534.51239999999996</v>
      </c>
      <c r="K1010" s="10">
        <v>0</v>
      </c>
    </row>
    <row r="1011" spans="1:11" x14ac:dyDescent="0.4">
      <c r="A1011" s="25">
        <v>45602</v>
      </c>
      <c r="B1011" s="11">
        <v>591.04</v>
      </c>
      <c r="C1011" s="11">
        <v>569.75260000000003</v>
      </c>
      <c r="D1011" s="11">
        <v>535.94640000000004</v>
      </c>
      <c r="E1011" s="10">
        <f t="shared" si="15"/>
        <v>0</v>
      </c>
      <c r="G1011" s="29">
        <v>45600</v>
      </c>
      <c r="H1011">
        <v>569.80999999999995</v>
      </c>
      <c r="I1011">
        <v>568.84479999999996</v>
      </c>
      <c r="J1011">
        <v>534.94929999999999</v>
      </c>
      <c r="K1011" s="10">
        <v>0</v>
      </c>
    </row>
    <row r="1012" spans="1:11" x14ac:dyDescent="0.4">
      <c r="A1012" s="25">
        <v>45603</v>
      </c>
      <c r="B1012" s="11">
        <v>595.61</v>
      </c>
      <c r="C1012" s="11">
        <v>570.49879999999996</v>
      </c>
      <c r="D1012" s="11">
        <v>536.49760000000003</v>
      </c>
      <c r="E1012" s="10">
        <f t="shared" si="15"/>
        <v>0</v>
      </c>
      <c r="G1012" s="29">
        <v>45601</v>
      </c>
      <c r="H1012">
        <v>576.70000000000005</v>
      </c>
      <c r="I1012">
        <v>569.16300000000001</v>
      </c>
      <c r="J1012">
        <v>535.41560000000004</v>
      </c>
      <c r="K1012" s="10">
        <v>0</v>
      </c>
    </row>
    <row r="1013" spans="1:11" x14ac:dyDescent="0.4">
      <c r="A1013" s="25">
        <v>45604</v>
      </c>
      <c r="B1013" s="11">
        <v>598.19000000000005</v>
      </c>
      <c r="C1013" s="11">
        <v>571.29560000000004</v>
      </c>
      <c r="D1013" s="11">
        <v>537.04840000000002</v>
      </c>
      <c r="E1013" s="10">
        <f t="shared" si="15"/>
        <v>0</v>
      </c>
      <c r="G1013" s="29">
        <v>45602</v>
      </c>
      <c r="H1013">
        <v>591.04</v>
      </c>
      <c r="I1013">
        <v>569.75260000000003</v>
      </c>
      <c r="J1013">
        <v>535.94640000000004</v>
      </c>
      <c r="K1013" s="10">
        <v>0</v>
      </c>
    </row>
    <row r="1014" spans="1:11" x14ac:dyDescent="0.4">
      <c r="A1014" s="25">
        <v>45607</v>
      </c>
      <c r="B1014" s="11">
        <v>598.76</v>
      </c>
      <c r="C1014" s="11">
        <v>571.99720000000002</v>
      </c>
      <c r="D1014" s="11">
        <v>537.60509999999999</v>
      </c>
      <c r="E1014" s="10">
        <f t="shared" si="15"/>
        <v>0</v>
      </c>
      <c r="G1014" s="29">
        <v>45603</v>
      </c>
      <c r="H1014">
        <v>595.61</v>
      </c>
      <c r="I1014">
        <v>570.49879999999996</v>
      </c>
      <c r="J1014">
        <v>536.49760000000003</v>
      </c>
      <c r="K1014" s="10">
        <v>0</v>
      </c>
    </row>
    <row r="1015" spans="1:11" x14ac:dyDescent="0.4">
      <c r="A1015" s="25">
        <v>45608</v>
      </c>
      <c r="B1015" s="11">
        <v>596.9</v>
      </c>
      <c r="C1015" s="11">
        <v>572.89359999999999</v>
      </c>
      <c r="D1015" s="11">
        <v>538.13319999999999</v>
      </c>
      <c r="E1015" s="10">
        <f t="shared" si="15"/>
        <v>0</v>
      </c>
      <c r="G1015" s="29">
        <v>45604</v>
      </c>
      <c r="H1015">
        <v>598.19000000000005</v>
      </c>
      <c r="I1015">
        <v>571.29560000000004</v>
      </c>
      <c r="J1015">
        <v>537.04840000000002</v>
      </c>
      <c r="K1015" s="10">
        <v>0</v>
      </c>
    </row>
    <row r="1016" spans="1:11" x14ac:dyDescent="0.4">
      <c r="A1016" s="25">
        <v>45609</v>
      </c>
      <c r="B1016" s="11">
        <v>597.19000000000005</v>
      </c>
      <c r="C1016" s="11">
        <v>573.8184</v>
      </c>
      <c r="D1016" s="11">
        <v>538.66480000000001</v>
      </c>
      <c r="E1016" s="10">
        <f t="shared" si="15"/>
        <v>0</v>
      </c>
      <c r="G1016" s="29">
        <v>45607</v>
      </c>
      <c r="H1016">
        <v>598.76</v>
      </c>
      <c r="I1016">
        <v>571.99720000000002</v>
      </c>
      <c r="J1016">
        <v>537.60509999999999</v>
      </c>
      <c r="K1016" s="10">
        <v>0</v>
      </c>
    </row>
    <row r="1017" spans="1:11" x14ac:dyDescent="0.4">
      <c r="A1017" s="25">
        <v>45610</v>
      </c>
      <c r="B1017" s="11">
        <v>593.35</v>
      </c>
      <c r="C1017" s="11">
        <v>574.69320000000005</v>
      </c>
      <c r="D1017" s="11">
        <v>539.21709999999996</v>
      </c>
      <c r="E1017" s="10">
        <f t="shared" si="15"/>
        <v>0</v>
      </c>
      <c r="G1017" s="29">
        <v>45608</v>
      </c>
      <c r="H1017">
        <v>596.9</v>
      </c>
      <c r="I1017">
        <v>572.89359999999999</v>
      </c>
      <c r="J1017">
        <v>538.13319999999999</v>
      </c>
      <c r="K1017" s="10">
        <v>0</v>
      </c>
    </row>
    <row r="1018" spans="1:11" x14ac:dyDescent="0.4">
      <c r="A1018" s="25">
        <v>45611</v>
      </c>
      <c r="B1018" s="11">
        <v>585.75</v>
      </c>
      <c r="C1018" s="11">
        <v>575.601</v>
      </c>
      <c r="D1018" s="11">
        <v>539.69979999999998</v>
      </c>
      <c r="E1018" s="10">
        <f t="shared" si="15"/>
        <v>0</v>
      </c>
      <c r="G1018" s="29">
        <v>45609</v>
      </c>
      <c r="H1018">
        <v>597.19000000000005</v>
      </c>
      <c r="I1018">
        <v>573.8184</v>
      </c>
      <c r="J1018">
        <v>538.66480000000001</v>
      </c>
      <c r="K1018" s="10">
        <v>0</v>
      </c>
    </row>
    <row r="1019" spans="1:11" x14ac:dyDescent="0.4">
      <c r="A1019" s="25">
        <v>45614</v>
      </c>
      <c r="B1019" s="11">
        <v>588.15</v>
      </c>
      <c r="C1019" s="11">
        <v>576.43579999999997</v>
      </c>
      <c r="D1019" s="11">
        <v>540.16880000000003</v>
      </c>
      <c r="E1019" s="10">
        <f t="shared" si="15"/>
        <v>0</v>
      </c>
      <c r="G1019" s="29">
        <v>45610</v>
      </c>
      <c r="H1019">
        <v>593.35</v>
      </c>
      <c r="I1019">
        <v>574.69320000000005</v>
      </c>
      <c r="J1019">
        <v>539.21709999999996</v>
      </c>
      <c r="K1019" s="10">
        <v>0</v>
      </c>
    </row>
    <row r="1020" spans="1:11" x14ac:dyDescent="0.4">
      <c r="A1020" s="25">
        <v>45615</v>
      </c>
      <c r="B1020" s="11">
        <v>590.29999999999995</v>
      </c>
      <c r="C1020" s="11">
        <v>577.26599999999996</v>
      </c>
      <c r="D1020" s="11">
        <v>540.6576</v>
      </c>
      <c r="E1020" s="10">
        <f t="shared" si="15"/>
        <v>0</v>
      </c>
      <c r="G1020" s="29">
        <v>45611</v>
      </c>
      <c r="H1020">
        <v>585.75</v>
      </c>
      <c r="I1020">
        <v>575.601</v>
      </c>
      <c r="J1020">
        <v>539.69979999999998</v>
      </c>
      <c r="K1020" s="10">
        <v>0</v>
      </c>
    </row>
    <row r="1021" spans="1:11" x14ac:dyDescent="0.4">
      <c r="A1021" s="25">
        <v>45616</v>
      </c>
      <c r="B1021" s="11">
        <v>590.5</v>
      </c>
      <c r="C1021" s="11">
        <v>577.98760000000004</v>
      </c>
      <c r="D1021" s="11">
        <v>541.14020000000005</v>
      </c>
      <c r="E1021" s="10">
        <f t="shared" si="15"/>
        <v>0</v>
      </c>
      <c r="G1021" s="29">
        <v>45614</v>
      </c>
      <c r="H1021">
        <v>588.15</v>
      </c>
      <c r="I1021">
        <v>576.43579999999997</v>
      </c>
      <c r="J1021">
        <v>540.16880000000003</v>
      </c>
      <c r="K1021" s="10">
        <v>0</v>
      </c>
    </row>
    <row r="1022" spans="1:11" x14ac:dyDescent="0.4">
      <c r="A1022" s="25">
        <v>45617</v>
      </c>
      <c r="B1022" s="11">
        <v>593.66999999999996</v>
      </c>
      <c r="C1022" s="11">
        <v>578.67920000000004</v>
      </c>
      <c r="D1022" s="11">
        <v>541.61800000000005</v>
      </c>
      <c r="E1022" s="10">
        <f t="shared" si="15"/>
        <v>0</v>
      </c>
      <c r="G1022" s="29">
        <v>45615</v>
      </c>
      <c r="H1022">
        <v>590.29999999999995</v>
      </c>
      <c r="I1022">
        <v>577.26599999999996</v>
      </c>
      <c r="J1022">
        <v>540.6576</v>
      </c>
      <c r="K1022" s="10">
        <v>0</v>
      </c>
    </row>
    <row r="1023" spans="1:11" x14ac:dyDescent="0.4">
      <c r="A1023" s="25">
        <v>45618</v>
      </c>
      <c r="B1023" s="11">
        <v>595.51</v>
      </c>
      <c r="C1023" s="11">
        <v>579.3492</v>
      </c>
      <c r="D1023" s="11">
        <v>542.10400000000004</v>
      </c>
      <c r="E1023" s="10">
        <f t="shared" si="15"/>
        <v>0</v>
      </c>
      <c r="G1023" s="29">
        <v>45616</v>
      </c>
      <c r="H1023">
        <v>590.5</v>
      </c>
      <c r="I1023">
        <v>577.98760000000004</v>
      </c>
      <c r="J1023">
        <v>541.14020000000005</v>
      </c>
      <c r="K1023" s="10">
        <v>0</v>
      </c>
    </row>
    <row r="1024" spans="1:11" x14ac:dyDescent="0.4">
      <c r="A1024" s="25">
        <v>45621</v>
      </c>
      <c r="B1024" s="11">
        <v>597.53</v>
      </c>
      <c r="C1024" s="11">
        <v>580.04300000000001</v>
      </c>
      <c r="D1024" s="11">
        <v>542.5856</v>
      </c>
      <c r="E1024" s="10">
        <f t="shared" si="15"/>
        <v>0</v>
      </c>
      <c r="G1024" s="29">
        <v>45617</v>
      </c>
      <c r="H1024">
        <v>593.66999999999996</v>
      </c>
      <c r="I1024">
        <v>578.67920000000004</v>
      </c>
      <c r="J1024">
        <v>541.61800000000005</v>
      </c>
      <c r="K1024" s="10">
        <v>0</v>
      </c>
    </row>
    <row r="1025" spans="1:11" x14ac:dyDescent="0.4">
      <c r="A1025" s="25">
        <v>45622</v>
      </c>
      <c r="B1025" s="11">
        <v>600.65</v>
      </c>
      <c r="C1025" s="11">
        <v>580.79459999999995</v>
      </c>
      <c r="D1025" s="11">
        <v>543.08399999999995</v>
      </c>
      <c r="E1025" s="10">
        <f t="shared" si="15"/>
        <v>0</v>
      </c>
      <c r="G1025" s="29">
        <v>45618</v>
      </c>
      <c r="H1025">
        <v>595.51</v>
      </c>
      <c r="I1025">
        <v>579.3492</v>
      </c>
      <c r="J1025">
        <v>542.10400000000004</v>
      </c>
      <c r="K1025" s="10">
        <v>0</v>
      </c>
    </row>
    <row r="1026" spans="1:11" x14ac:dyDescent="0.4">
      <c r="A1026" s="25">
        <v>45623</v>
      </c>
      <c r="B1026" s="11">
        <v>598.83000000000004</v>
      </c>
      <c r="C1026" s="11">
        <v>581.54319999999996</v>
      </c>
      <c r="D1026" s="11">
        <v>543.6078</v>
      </c>
      <c r="E1026" s="10">
        <f t="shared" si="15"/>
        <v>0</v>
      </c>
      <c r="G1026" s="29">
        <v>45621</v>
      </c>
      <c r="H1026">
        <v>597.53</v>
      </c>
      <c r="I1026">
        <v>580.04300000000001</v>
      </c>
      <c r="J1026">
        <v>542.5856</v>
      </c>
      <c r="K1026" s="10">
        <v>0</v>
      </c>
    </row>
    <row r="1027" spans="1:11" x14ac:dyDescent="0.4">
      <c r="A1027" s="25">
        <v>45625</v>
      </c>
      <c r="B1027" s="11">
        <v>602.54999999999995</v>
      </c>
      <c r="C1027" s="11">
        <v>582.17460000000005</v>
      </c>
      <c r="D1027" s="11">
        <v>544.12760000000003</v>
      </c>
      <c r="E1027" s="10">
        <f t="shared" ref="E1027:E1090" si="16">IF(AND(C1027&gt;D1027, C1026&lt;D1026), 1, 0)</f>
        <v>0</v>
      </c>
      <c r="G1027" s="29">
        <v>45622</v>
      </c>
      <c r="H1027">
        <v>600.65</v>
      </c>
      <c r="I1027">
        <v>580.79459999999995</v>
      </c>
      <c r="J1027">
        <v>543.08399999999995</v>
      </c>
      <c r="K1027" s="10">
        <v>0</v>
      </c>
    </row>
    <row r="1028" spans="1:11" x14ac:dyDescent="0.4">
      <c r="A1028" s="25">
        <v>45628</v>
      </c>
      <c r="B1028" s="11">
        <v>603.63</v>
      </c>
      <c r="C1028" s="11">
        <v>582.88220000000001</v>
      </c>
      <c r="D1028" s="11">
        <v>544.63580000000002</v>
      </c>
      <c r="E1028" s="10">
        <f t="shared" si="16"/>
        <v>0</v>
      </c>
      <c r="G1028" s="29">
        <v>45623</v>
      </c>
      <c r="H1028">
        <v>598.83000000000004</v>
      </c>
      <c r="I1028">
        <v>581.54319999999996</v>
      </c>
      <c r="J1028">
        <v>543.6078</v>
      </c>
      <c r="K1028" s="10">
        <v>0</v>
      </c>
    </row>
    <row r="1029" spans="1:11" x14ac:dyDescent="0.4">
      <c r="A1029" s="25">
        <v>45629</v>
      </c>
      <c r="B1029" s="11">
        <v>603.91</v>
      </c>
      <c r="C1029" s="11">
        <v>583.56700000000001</v>
      </c>
      <c r="D1029" s="11">
        <v>545.15779999999995</v>
      </c>
      <c r="E1029" s="10">
        <f t="shared" si="16"/>
        <v>0</v>
      </c>
      <c r="G1029" s="29">
        <v>45625</v>
      </c>
      <c r="H1029">
        <v>602.54999999999995</v>
      </c>
      <c r="I1029">
        <v>582.17460000000005</v>
      </c>
      <c r="J1029">
        <v>544.12760000000003</v>
      </c>
      <c r="K1029" s="10">
        <v>0</v>
      </c>
    </row>
    <row r="1030" spans="1:11" x14ac:dyDescent="0.4">
      <c r="A1030" s="25">
        <v>45630</v>
      </c>
      <c r="B1030" s="11">
        <v>607.66</v>
      </c>
      <c r="C1030" s="11">
        <v>584.29420000000005</v>
      </c>
      <c r="D1030" s="11">
        <v>545.71220000000005</v>
      </c>
      <c r="E1030" s="10">
        <f t="shared" si="16"/>
        <v>0</v>
      </c>
      <c r="G1030" s="29">
        <v>45628</v>
      </c>
      <c r="H1030">
        <v>603.63</v>
      </c>
      <c r="I1030">
        <v>582.88220000000001</v>
      </c>
      <c r="J1030">
        <v>544.63580000000002</v>
      </c>
      <c r="K1030" s="10">
        <v>0</v>
      </c>
    </row>
    <row r="1031" spans="1:11" x14ac:dyDescent="0.4">
      <c r="A1031" s="25">
        <v>45631</v>
      </c>
      <c r="B1031" s="11">
        <v>606.66</v>
      </c>
      <c r="C1031" s="11">
        <v>585.02660000000003</v>
      </c>
      <c r="D1031" s="11">
        <v>546.2595</v>
      </c>
      <c r="E1031" s="10">
        <f t="shared" si="16"/>
        <v>0</v>
      </c>
      <c r="G1031" s="29">
        <v>45629</v>
      </c>
      <c r="H1031">
        <v>603.91</v>
      </c>
      <c r="I1031">
        <v>583.56700000000001</v>
      </c>
      <c r="J1031">
        <v>545.15779999999995</v>
      </c>
      <c r="K1031" s="10">
        <v>0</v>
      </c>
    </row>
    <row r="1032" spans="1:11" x14ac:dyDescent="0.4">
      <c r="A1032" s="25">
        <v>45632</v>
      </c>
      <c r="B1032" s="11">
        <v>607.80999999999995</v>
      </c>
      <c r="C1032" s="11">
        <v>585.73680000000002</v>
      </c>
      <c r="D1032" s="11">
        <v>546.76099999999997</v>
      </c>
      <c r="E1032" s="10">
        <f t="shared" si="16"/>
        <v>0</v>
      </c>
      <c r="G1032" s="29">
        <v>45630</v>
      </c>
      <c r="H1032">
        <v>607.66</v>
      </c>
      <c r="I1032">
        <v>584.29420000000005</v>
      </c>
      <c r="J1032">
        <v>545.71220000000005</v>
      </c>
      <c r="K1032" s="10">
        <v>0</v>
      </c>
    </row>
    <row r="1033" spans="1:11" x14ac:dyDescent="0.4">
      <c r="A1033" s="25">
        <v>45635</v>
      </c>
      <c r="B1033" s="11">
        <v>604.67999999999995</v>
      </c>
      <c r="C1033" s="11">
        <v>586.40099999999995</v>
      </c>
      <c r="D1033" s="11">
        <v>547.24519999999995</v>
      </c>
      <c r="E1033" s="10">
        <f t="shared" si="16"/>
        <v>0</v>
      </c>
      <c r="G1033" s="29">
        <v>45631</v>
      </c>
      <c r="H1033">
        <v>606.66</v>
      </c>
      <c r="I1033">
        <v>585.02660000000003</v>
      </c>
      <c r="J1033">
        <v>546.2595</v>
      </c>
      <c r="K1033" s="10">
        <v>0</v>
      </c>
    </row>
    <row r="1034" spans="1:11" x14ac:dyDescent="0.4">
      <c r="A1034" s="25">
        <v>45636</v>
      </c>
      <c r="B1034" s="11">
        <v>602.79999999999995</v>
      </c>
      <c r="C1034" s="11">
        <v>586.98180000000002</v>
      </c>
      <c r="D1034" s="11">
        <v>547.72919999999999</v>
      </c>
      <c r="E1034" s="10">
        <f t="shared" si="16"/>
        <v>0</v>
      </c>
      <c r="G1034" s="29">
        <v>45632</v>
      </c>
      <c r="H1034">
        <v>607.80999999999995</v>
      </c>
      <c r="I1034">
        <v>585.73680000000002</v>
      </c>
      <c r="J1034">
        <v>546.76099999999997</v>
      </c>
      <c r="K1034" s="10">
        <v>0</v>
      </c>
    </row>
    <row r="1035" spans="1:11" x14ac:dyDescent="0.4">
      <c r="A1035" s="25">
        <v>45637</v>
      </c>
      <c r="B1035" s="11">
        <v>607.46</v>
      </c>
      <c r="C1035" s="11">
        <v>587.7586</v>
      </c>
      <c r="D1035" s="11">
        <v>548.2319</v>
      </c>
      <c r="E1035" s="10">
        <f t="shared" si="16"/>
        <v>0</v>
      </c>
      <c r="G1035" s="29">
        <v>45635</v>
      </c>
      <c r="H1035">
        <v>604.67999999999995</v>
      </c>
      <c r="I1035">
        <v>586.40099999999995</v>
      </c>
      <c r="J1035">
        <v>547.24519999999995</v>
      </c>
      <c r="K1035" s="10">
        <v>0</v>
      </c>
    </row>
    <row r="1036" spans="1:11" x14ac:dyDescent="0.4">
      <c r="A1036" s="25">
        <v>45638</v>
      </c>
      <c r="B1036" s="11">
        <v>604.33000000000004</v>
      </c>
      <c r="C1036" s="11">
        <v>588.46799999999996</v>
      </c>
      <c r="D1036" s="11">
        <v>548.72220000000004</v>
      </c>
      <c r="E1036" s="10">
        <f t="shared" si="16"/>
        <v>0</v>
      </c>
      <c r="G1036" s="29">
        <v>45636</v>
      </c>
      <c r="H1036">
        <v>602.79999999999995</v>
      </c>
      <c r="I1036">
        <v>586.98180000000002</v>
      </c>
      <c r="J1036">
        <v>547.72919999999999</v>
      </c>
      <c r="K1036" s="10">
        <v>0</v>
      </c>
    </row>
    <row r="1037" spans="1:11" x14ac:dyDescent="0.4">
      <c r="A1037" s="25">
        <v>45639</v>
      </c>
      <c r="B1037" s="11">
        <v>604.21</v>
      </c>
      <c r="C1037" s="11">
        <v>589.19579999999996</v>
      </c>
      <c r="D1037" s="11">
        <v>549.2029</v>
      </c>
      <c r="E1037" s="10">
        <f t="shared" si="16"/>
        <v>0</v>
      </c>
      <c r="G1037" s="29">
        <v>45637</v>
      </c>
      <c r="H1037">
        <v>607.46</v>
      </c>
      <c r="I1037">
        <v>587.7586</v>
      </c>
      <c r="J1037">
        <v>548.2319</v>
      </c>
      <c r="K1037" s="10">
        <v>0</v>
      </c>
    </row>
    <row r="1038" spans="1:11" x14ac:dyDescent="0.4">
      <c r="A1038" s="25">
        <v>45642</v>
      </c>
      <c r="B1038" s="11">
        <v>606.79</v>
      </c>
      <c r="C1038" s="11">
        <v>589.87199999999996</v>
      </c>
      <c r="D1038" s="11">
        <v>549.67259999999999</v>
      </c>
      <c r="E1038" s="10">
        <f t="shared" si="16"/>
        <v>0</v>
      </c>
      <c r="G1038" s="29">
        <v>45638</v>
      </c>
      <c r="H1038">
        <v>604.33000000000004</v>
      </c>
      <c r="I1038">
        <v>588.46799999999996</v>
      </c>
      <c r="J1038">
        <v>548.72220000000004</v>
      </c>
      <c r="K1038" s="10">
        <v>0</v>
      </c>
    </row>
    <row r="1039" spans="1:11" x14ac:dyDescent="0.4">
      <c r="A1039" s="25">
        <v>45643</v>
      </c>
      <c r="B1039" s="11">
        <v>604.29</v>
      </c>
      <c r="C1039" s="11">
        <v>590.60180000000003</v>
      </c>
      <c r="D1039" s="11">
        <v>550.13260000000002</v>
      </c>
      <c r="E1039" s="10">
        <f t="shared" si="16"/>
        <v>0</v>
      </c>
      <c r="G1039" s="29">
        <v>45639</v>
      </c>
      <c r="H1039">
        <v>604.21</v>
      </c>
      <c r="I1039">
        <v>589.19579999999996</v>
      </c>
      <c r="J1039">
        <v>549.2029</v>
      </c>
      <c r="K1039" s="10">
        <v>0</v>
      </c>
    </row>
    <row r="1040" spans="1:11" x14ac:dyDescent="0.4">
      <c r="A1040" s="25">
        <v>45644</v>
      </c>
      <c r="B1040" s="11">
        <v>586.28</v>
      </c>
      <c r="C1040" s="11">
        <v>590.86400000000003</v>
      </c>
      <c r="D1040" s="11">
        <v>550.52800000000002</v>
      </c>
      <c r="E1040" s="10">
        <f t="shared" si="16"/>
        <v>0</v>
      </c>
      <c r="G1040" s="29">
        <v>45642</v>
      </c>
      <c r="H1040">
        <v>606.79</v>
      </c>
      <c r="I1040">
        <v>589.87199999999996</v>
      </c>
      <c r="J1040">
        <v>549.67259999999999</v>
      </c>
      <c r="K1040" s="10">
        <v>0</v>
      </c>
    </row>
    <row r="1041" spans="1:11" x14ac:dyDescent="0.4">
      <c r="A1041" s="25">
        <v>45645</v>
      </c>
      <c r="B1041" s="11">
        <v>586.1</v>
      </c>
      <c r="C1041" s="11">
        <v>591.04319999999996</v>
      </c>
      <c r="D1041" s="11">
        <v>550.90980000000002</v>
      </c>
      <c r="E1041" s="10">
        <f t="shared" si="16"/>
        <v>0</v>
      </c>
      <c r="G1041" s="29">
        <v>45643</v>
      </c>
      <c r="H1041">
        <v>604.29</v>
      </c>
      <c r="I1041">
        <v>590.60180000000003</v>
      </c>
      <c r="J1041">
        <v>550.13260000000002</v>
      </c>
      <c r="K1041" s="10">
        <v>0</v>
      </c>
    </row>
    <row r="1042" spans="1:11" x14ac:dyDescent="0.4">
      <c r="A1042" s="25">
        <v>45646</v>
      </c>
      <c r="B1042" s="11">
        <v>591.15</v>
      </c>
      <c r="C1042" s="11">
        <v>591.34360000000004</v>
      </c>
      <c r="D1042" s="11">
        <v>551.29150000000004</v>
      </c>
      <c r="E1042" s="10">
        <f t="shared" si="16"/>
        <v>0</v>
      </c>
      <c r="G1042" s="29">
        <v>45644</v>
      </c>
      <c r="H1042">
        <v>586.28</v>
      </c>
      <c r="I1042">
        <v>590.86400000000003</v>
      </c>
      <c r="J1042">
        <v>550.52800000000002</v>
      </c>
      <c r="K1042" s="10">
        <v>0</v>
      </c>
    </row>
    <row r="1043" spans="1:11" x14ac:dyDescent="0.4">
      <c r="A1043" s="25">
        <v>45649</v>
      </c>
      <c r="B1043" s="11">
        <v>594.69000000000005</v>
      </c>
      <c r="C1043" s="11">
        <v>591.64580000000001</v>
      </c>
      <c r="D1043" s="11">
        <v>551.70640000000003</v>
      </c>
      <c r="E1043" s="10">
        <f t="shared" si="16"/>
        <v>0</v>
      </c>
      <c r="G1043" s="29">
        <v>45645</v>
      </c>
      <c r="H1043">
        <v>586.1</v>
      </c>
      <c r="I1043">
        <v>591.04319999999996</v>
      </c>
      <c r="J1043">
        <v>550.90980000000002</v>
      </c>
      <c r="K1043" s="10">
        <v>0</v>
      </c>
    </row>
    <row r="1044" spans="1:11" x14ac:dyDescent="0.4">
      <c r="A1044" s="25">
        <v>45650</v>
      </c>
      <c r="B1044" s="11">
        <v>601.29999999999995</v>
      </c>
      <c r="C1044" s="11">
        <v>591.98540000000003</v>
      </c>
      <c r="D1044" s="11">
        <v>552.15639999999996</v>
      </c>
      <c r="E1044" s="10">
        <f t="shared" si="16"/>
        <v>0</v>
      </c>
      <c r="G1044" s="29">
        <v>45646</v>
      </c>
      <c r="H1044">
        <v>591.15</v>
      </c>
      <c r="I1044">
        <v>591.34360000000004</v>
      </c>
      <c r="J1044">
        <v>551.29150000000004</v>
      </c>
      <c r="K1044" s="10">
        <v>0</v>
      </c>
    </row>
    <row r="1045" spans="1:11" x14ac:dyDescent="0.4">
      <c r="A1045" s="25">
        <v>45652</v>
      </c>
      <c r="B1045" s="11">
        <v>601.34</v>
      </c>
      <c r="C1045" s="11">
        <v>592.41660000000002</v>
      </c>
      <c r="D1045" s="11">
        <v>552.57920000000001</v>
      </c>
      <c r="E1045" s="10">
        <f t="shared" si="16"/>
        <v>0</v>
      </c>
      <c r="G1045" s="29">
        <v>45649</v>
      </c>
      <c r="H1045">
        <v>594.69000000000005</v>
      </c>
      <c r="I1045">
        <v>591.64580000000001</v>
      </c>
      <c r="J1045">
        <v>551.70640000000003</v>
      </c>
      <c r="K1045" s="10">
        <v>0</v>
      </c>
    </row>
    <row r="1046" spans="1:11" x14ac:dyDescent="0.4">
      <c r="A1046" s="25">
        <v>45653</v>
      </c>
      <c r="B1046" s="11">
        <v>595.01</v>
      </c>
      <c r="C1046" s="11">
        <v>592.67079999999999</v>
      </c>
      <c r="D1046" s="11">
        <v>552.97439999999995</v>
      </c>
      <c r="E1046" s="10">
        <f t="shared" si="16"/>
        <v>0</v>
      </c>
      <c r="G1046" s="29">
        <v>45650</v>
      </c>
      <c r="H1046">
        <v>601.29999999999995</v>
      </c>
      <c r="I1046">
        <v>591.98540000000003</v>
      </c>
      <c r="J1046">
        <v>552.15639999999996</v>
      </c>
      <c r="K1046" s="10">
        <v>0</v>
      </c>
    </row>
    <row r="1047" spans="1:11" x14ac:dyDescent="0.4">
      <c r="A1047" s="25">
        <v>45656</v>
      </c>
      <c r="B1047" s="11">
        <v>588.22</v>
      </c>
      <c r="C1047" s="11">
        <v>592.78819999999996</v>
      </c>
      <c r="D1047" s="11">
        <v>553.34079999999994</v>
      </c>
      <c r="E1047" s="10">
        <f t="shared" si="16"/>
        <v>0</v>
      </c>
      <c r="G1047" s="29">
        <v>45652</v>
      </c>
      <c r="H1047">
        <v>601.34</v>
      </c>
      <c r="I1047">
        <v>592.41660000000002</v>
      </c>
      <c r="J1047">
        <v>552.57920000000001</v>
      </c>
      <c r="K1047" s="10">
        <v>0</v>
      </c>
    </row>
    <row r="1048" spans="1:11" x14ac:dyDescent="0.4">
      <c r="A1048" s="25">
        <v>45657</v>
      </c>
      <c r="B1048" s="11">
        <v>586.08000000000004</v>
      </c>
      <c r="C1048" s="11">
        <v>592.81799999999998</v>
      </c>
      <c r="D1048" s="11">
        <v>553.72199999999998</v>
      </c>
      <c r="E1048" s="10">
        <f t="shared" si="16"/>
        <v>0</v>
      </c>
      <c r="G1048" s="29">
        <v>45653</v>
      </c>
      <c r="H1048">
        <v>595.01</v>
      </c>
      <c r="I1048">
        <v>592.67079999999999</v>
      </c>
      <c r="J1048">
        <v>552.97439999999995</v>
      </c>
      <c r="K1048" s="10">
        <v>0</v>
      </c>
    </row>
    <row r="1049" spans="1:11" x14ac:dyDescent="0.4">
      <c r="A1049" s="25">
        <v>45659</v>
      </c>
      <c r="B1049" s="11">
        <v>584.64</v>
      </c>
      <c r="C1049" s="11">
        <v>592.83820000000003</v>
      </c>
      <c r="D1049" s="11">
        <v>554.08100000000002</v>
      </c>
      <c r="E1049" s="10">
        <f t="shared" si="16"/>
        <v>0</v>
      </c>
      <c r="G1049" s="29">
        <v>45656</v>
      </c>
      <c r="H1049">
        <v>588.22</v>
      </c>
      <c r="I1049">
        <v>592.78819999999996</v>
      </c>
      <c r="J1049">
        <v>553.34079999999994</v>
      </c>
      <c r="K1049" s="10">
        <v>0</v>
      </c>
    </row>
    <row r="1050" spans="1:11" x14ac:dyDescent="0.4">
      <c r="A1050" s="25">
        <v>45660</v>
      </c>
      <c r="B1050" s="11">
        <v>591.95000000000005</v>
      </c>
      <c r="C1050" s="11">
        <v>593.01080000000002</v>
      </c>
      <c r="D1050" s="11">
        <v>554.46220000000005</v>
      </c>
      <c r="E1050" s="10">
        <f t="shared" si="16"/>
        <v>0</v>
      </c>
      <c r="G1050" s="29">
        <v>45657</v>
      </c>
      <c r="H1050">
        <v>586.08000000000004</v>
      </c>
      <c r="I1050">
        <v>592.81799999999998</v>
      </c>
      <c r="J1050">
        <v>553.72199999999998</v>
      </c>
      <c r="K1050" s="10">
        <v>0</v>
      </c>
    </row>
    <row r="1051" spans="1:11" x14ac:dyDescent="0.4">
      <c r="A1051" s="25">
        <v>45663</v>
      </c>
      <c r="B1051" s="11">
        <v>595.36</v>
      </c>
      <c r="C1051" s="11">
        <v>593.35820000000001</v>
      </c>
      <c r="D1051" s="11">
        <v>554.83659999999998</v>
      </c>
      <c r="E1051" s="10">
        <f t="shared" si="16"/>
        <v>0</v>
      </c>
      <c r="G1051" s="29">
        <v>45659</v>
      </c>
      <c r="H1051">
        <v>584.64</v>
      </c>
      <c r="I1051">
        <v>592.83820000000003</v>
      </c>
      <c r="J1051">
        <v>554.08100000000002</v>
      </c>
      <c r="K1051" s="10">
        <v>0</v>
      </c>
    </row>
    <row r="1052" spans="1:11" x14ac:dyDescent="0.4">
      <c r="A1052" s="25">
        <v>45664</v>
      </c>
      <c r="B1052" s="11">
        <v>588.63</v>
      </c>
      <c r="C1052" s="11">
        <v>593.54600000000005</v>
      </c>
      <c r="D1052" s="11">
        <v>555.16869999999994</v>
      </c>
      <c r="E1052" s="10">
        <f t="shared" si="16"/>
        <v>0</v>
      </c>
      <c r="G1052" s="29">
        <v>45660</v>
      </c>
      <c r="H1052">
        <v>591.95000000000005</v>
      </c>
      <c r="I1052">
        <v>593.01080000000002</v>
      </c>
      <c r="J1052">
        <v>554.46220000000005</v>
      </c>
      <c r="K1052" s="10">
        <v>0</v>
      </c>
    </row>
    <row r="1053" spans="1:11" x14ac:dyDescent="0.4">
      <c r="A1053" s="25">
        <v>45665</v>
      </c>
      <c r="B1053" s="11">
        <v>589.49</v>
      </c>
      <c r="C1053" s="11">
        <v>593.755</v>
      </c>
      <c r="D1053" s="11">
        <v>555.51009999999997</v>
      </c>
      <c r="E1053" s="10">
        <f t="shared" si="16"/>
        <v>0</v>
      </c>
      <c r="G1053" s="29">
        <v>45663</v>
      </c>
      <c r="H1053">
        <v>595.36</v>
      </c>
      <c r="I1053">
        <v>593.35820000000001</v>
      </c>
      <c r="J1053">
        <v>554.83659999999998</v>
      </c>
      <c r="K1053" s="10">
        <v>0</v>
      </c>
    </row>
    <row r="1054" spans="1:11" x14ac:dyDescent="0.4">
      <c r="A1054" s="25">
        <v>45667</v>
      </c>
      <c r="B1054" s="11">
        <v>580.49</v>
      </c>
      <c r="C1054" s="11">
        <v>593.7482</v>
      </c>
      <c r="D1054" s="11">
        <v>555.81370000000004</v>
      </c>
      <c r="E1054" s="10">
        <f t="shared" si="16"/>
        <v>0</v>
      </c>
      <c r="G1054" s="29">
        <v>45664</v>
      </c>
      <c r="H1054">
        <v>588.63</v>
      </c>
      <c r="I1054">
        <v>593.54600000000005</v>
      </c>
      <c r="J1054">
        <v>555.16869999999994</v>
      </c>
      <c r="K1054" s="10">
        <v>0</v>
      </c>
    </row>
    <row r="1055" spans="1:11" x14ac:dyDescent="0.4">
      <c r="A1055" s="25">
        <v>45670</v>
      </c>
      <c r="B1055" s="11">
        <v>581.39</v>
      </c>
      <c r="C1055" s="11">
        <v>593.74059999999997</v>
      </c>
      <c r="D1055" s="11">
        <v>556.12660000000005</v>
      </c>
      <c r="E1055" s="10">
        <f t="shared" si="16"/>
        <v>0</v>
      </c>
      <c r="G1055" s="29">
        <v>45665</v>
      </c>
      <c r="H1055">
        <v>589.49</v>
      </c>
      <c r="I1055">
        <v>593.755</v>
      </c>
      <c r="J1055">
        <v>555.51009999999997</v>
      </c>
      <c r="K1055" s="10">
        <v>0</v>
      </c>
    </row>
    <row r="1056" spans="1:11" x14ac:dyDescent="0.4">
      <c r="A1056" s="25">
        <v>45671</v>
      </c>
      <c r="B1056" s="11">
        <v>582.19000000000005</v>
      </c>
      <c r="C1056" s="11">
        <v>593.78420000000006</v>
      </c>
      <c r="D1056" s="11">
        <v>556.42169999999999</v>
      </c>
      <c r="E1056" s="10">
        <f t="shared" si="16"/>
        <v>0</v>
      </c>
      <c r="G1056" s="29">
        <v>45667</v>
      </c>
      <c r="H1056">
        <v>580.49</v>
      </c>
      <c r="I1056">
        <v>593.7482</v>
      </c>
      <c r="J1056">
        <v>555.81370000000004</v>
      </c>
      <c r="K1056" s="10">
        <v>0</v>
      </c>
    </row>
    <row r="1057" spans="1:11" x14ac:dyDescent="0.4">
      <c r="A1057" s="25">
        <v>45672</v>
      </c>
      <c r="B1057" s="11">
        <v>592.78</v>
      </c>
      <c r="C1057" s="11">
        <v>594.26700000000005</v>
      </c>
      <c r="D1057" s="11">
        <v>556.77020000000005</v>
      </c>
      <c r="E1057" s="10">
        <f t="shared" si="16"/>
        <v>0</v>
      </c>
      <c r="G1057" s="29">
        <v>45670</v>
      </c>
      <c r="H1057">
        <v>581.39</v>
      </c>
      <c r="I1057">
        <v>593.74059999999997</v>
      </c>
      <c r="J1057">
        <v>556.12660000000005</v>
      </c>
      <c r="K1057" s="10">
        <v>0</v>
      </c>
    </row>
    <row r="1058" spans="1:11" x14ac:dyDescent="0.4">
      <c r="A1058" s="25">
        <v>45673</v>
      </c>
      <c r="B1058" s="11">
        <v>591.64</v>
      </c>
      <c r="C1058" s="11">
        <v>594.67899999999997</v>
      </c>
      <c r="D1058" s="11">
        <v>557.11760000000004</v>
      </c>
      <c r="E1058" s="10">
        <f t="shared" si="16"/>
        <v>0</v>
      </c>
      <c r="G1058" s="29">
        <v>45671</v>
      </c>
      <c r="H1058">
        <v>582.19000000000005</v>
      </c>
      <c r="I1058">
        <v>593.78420000000006</v>
      </c>
      <c r="J1058">
        <v>556.42169999999999</v>
      </c>
      <c r="K1058" s="10">
        <v>0</v>
      </c>
    </row>
    <row r="1059" spans="1:11" x14ac:dyDescent="0.4">
      <c r="A1059" s="25">
        <v>45674</v>
      </c>
      <c r="B1059" s="11">
        <v>597.58000000000004</v>
      </c>
      <c r="C1059" s="11">
        <v>595.23440000000005</v>
      </c>
      <c r="D1059" s="11">
        <v>557.51139999999998</v>
      </c>
      <c r="E1059" s="10">
        <f t="shared" si="16"/>
        <v>0</v>
      </c>
      <c r="G1059" s="29">
        <v>45672</v>
      </c>
      <c r="H1059">
        <v>592.78</v>
      </c>
      <c r="I1059">
        <v>594.26700000000005</v>
      </c>
      <c r="J1059">
        <v>556.77020000000005</v>
      </c>
      <c r="K1059" s="10">
        <v>0</v>
      </c>
    </row>
    <row r="1060" spans="1:11" x14ac:dyDescent="0.4">
      <c r="A1060" s="25">
        <v>45678</v>
      </c>
      <c r="B1060" s="11">
        <v>603.04999999999995</v>
      </c>
      <c r="C1060" s="11">
        <v>595.76139999999998</v>
      </c>
      <c r="D1060" s="11">
        <v>557.92960000000005</v>
      </c>
      <c r="E1060" s="10">
        <f t="shared" si="16"/>
        <v>0</v>
      </c>
      <c r="G1060" s="29">
        <v>45673</v>
      </c>
      <c r="H1060">
        <v>591.64</v>
      </c>
      <c r="I1060">
        <v>594.67899999999997</v>
      </c>
      <c r="J1060">
        <v>557.11760000000004</v>
      </c>
      <c r="K1060" s="10">
        <v>0</v>
      </c>
    </row>
    <row r="1061" spans="1:11" x14ac:dyDescent="0.4">
      <c r="A1061" s="25">
        <v>45679</v>
      </c>
      <c r="B1061" s="11">
        <v>606.44000000000005</v>
      </c>
      <c r="C1061" s="11">
        <v>596.06939999999997</v>
      </c>
      <c r="D1061" s="11">
        <v>558.39639999999997</v>
      </c>
      <c r="E1061" s="10">
        <f t="shared" si="16"/>
        <v>0</v>
      </c>
      <c r="G1061" s="29">
        <v>45674</v>
      </c>
      <c r="H1061">
        <v>597.58000000000004</v>
      </c>
      <c r="I1061">
        <v>595.23440000000005</v>
      </c>
      <c r="J1061">
        <v>557.51139999999998</v>
      </c>
      <c r="K1061" s="10">
        <v>0</v>
      </c>
    </row>
    <row r="1062" spans="1:11" x14ac:dyDescent="0.4">
      <c r="A1062" s="25">
        <v>45680</v>
      </c>
      <c r="B1062" s="11">
        <v>609.75</v>
      </c>
      <c r="C1062" s="11">
        <v>596.35220000000004</v>
      </c>
      <c r="D1062" s="11">
        <v>558.85299999999995</v>
      </c>
      <c r="E1062" s="10">
        <f t="shared" si="16"/>
        <v>0</v>
      </c>
      <c r="G1062" s="29">
        <v>45678</v>
      </c>
      <c r="H1062">
        <v>603.04999999999995</v>
      </c>
      <c r="I1062">
        <v>595.76139999999998</v>
      </c>
      <c r="J1062">
        <v>557.92960000000005</v>
      </c>
      <c r="K1062" s="10">
        <v>0</v>
      </c>
    </row>
    <row r="1063" spans="1:11" x14ac:dyDescent="0.4">
      <c r="A1063" s="25">
        <v>45681</v>
      </c>
      <c r="B1063" s="11">
        <v>607.97</v>
      </c>
      <c r="C1063" s="11">
        <v>596.54780000000005</v>
      </c>
      <c r="D1063" s="11">
        <v>559.29920000000004</v>
      </c>
      <c r="E1063" s="10">
        <f t="shared" si="16"/>
        <v>0</v>
      </c>
      <c r="G1063" s="29">
        <v>45679</v>
      </c>
      <c r="H1063">
        <v>606.44000000000005</v>
      </c>
      <c r="I1063">
        <v>596.06939999999997</v>
      </c>
      <c r="J1063">
        <v>558.39639999999997</v>
      </c>
      <c r="K1063" s="10">
        <v>0</v>
      </c>
    </row>
    <row r="1064" spans="1:11" x14ac:dyDescent="0.4">
      <c r="A1064" s="25">
        <v>45684</v>
      </c>
      <c r="B1064" s="11">
        <v>599.37</v>
      </c>
      <c r="C1064" s="11">
        <v>596.55999999999995</v>
      </c>
      <c r="D1064" s="11">
        <v>559.69949999999994</v>
      </c>
      <c r="E1064" s="10">
        <f t="shared" si="16"/>
        <v>0</v>
      </c>
      <c r="G1064" s="29">
        <v>45680</v>
      </c>
      <c r="H1064">
        <v>609.75</v>
      </c>
      <c r="I1064">
        <v>596.35220000000004</v>
      </c>
      <c r="J1064">
        <v>558.85299999999995</v>
      </c>
      <c r="K1064" s="10">
        <v>0</v>
      </c>
    </row>
    <row r="1065" spans="1:11" x14ac:dyDescent="0.4">
      <c r="A1065" s="25">
        <v>45685</v>
      </c>
      <c r="B1065" s="11">
        <v>604.52</v>
      </c>
      <c r="C1065" s="11">
        <v>596.7124</v>
      </c>
      <c r="D1065" s="11">
        <v>560.15150000000006</v>
      </c>
      <c r="E1065" s="10">
        <f t="shared" si="16"/>
        <v>0</v>
      </c>
      <c r="G1065" s="29">
        <v>45681</v>
      </c>
      <c r="H1065">
        <v>607.97</v>
      </c>
      <c r="I1065">
        <v>596.54780000000005</v>
      </c>
      <c r="J1065">
        <v>559.29920000000004</v>
      </c>
      <c r="K1065" s="10">
        <v>0</v>
      </c>
    </row>
    <row r="1066" spans="1:11" x14ac:dyDescent="0.4">
      <c r="A1066" s="25">
        <v>45686</v>
      </c>
      <c r="B1066" s="11">
        <v>601.80999999999995</v>
      </c>
      <c r="C1066" s="11">
        <v>596.8048</v>
      </c>
      <c r="D1066" s="11">
        <v>560.57060000000001</v>
      </c>
      <c r="E1066" s="10">
        <f t="shared" si="16"/>
        <v>0</v>
      </c>
      <c r="G1066" s="29">
        <v>45684</v>
      </c>
      <c r="H1066">
        <v>599.37</v>
      </c>
      <c r="I1066">
        <v>596.55999999999995</v>
      </c>
      <c r="J1066">
        <v>559.69949999999994</v>
      </c>
      <c r="K1066" s="10">
        <v>0</v>
      </c>
    </row>
    <row r="1067" spans="1:11" x14ac:dyDescent="0.4">
      <c r="A1067" s="25">
        <v>45687</v>
      </c>
      <c r="B1067" s="11">
        <v>605.04</v>
      </c>
      <c r="C1067" s="11">
        <v>597.03859999999997</v>
      </c>
      <c r="D1067" s="11">
        <v>561.04150000000004</v>
      </c>
      <c r="E1067" s="10">
        <f t="shared" si="16"/>
        <v>0</v>
      </c>
      <c r="G1067" s="29">
        <v>45685</v>
      </c>
      <c r="H1067">
        <v>604.52</v>
      </c>
      <c r="I1067">
        <v>596.7124</v>
      </c>
      <c r="J1067">
        <v>560.15150000000006</v>
      </c>
      <c r="K1067" s="10">
        <v>0</v>
      </c>
    </row>
    <row r="1068" spans="1:11" x14ac:dyDescent="0.4">
      <c r="A1068" s="25">
        <v>45688</v>
      </c>
      <c r="B1068" s="11">
        <v>601.82000000000005</v>
      </c>
      <c r="C1068" s="11">
        <v>597.36</v>
      </c>
      <c r="D1068" s="11">
        <v>561.52840000000003</v>
      </c>
      <c r="E1068" s="10">
        <f t="shared" si="16"/>
        <v>0</v>
      </c>
      <c r="G1068" s="29">
        <v>45686</v>
      </c>
      <c r="H1068">
        <v>601.80999999999995</v>
      </c>
      <c r="I1068">
        <v>596.8048</v>
      </c>
      <c r="J1068">
        <v>560.57060000000001</v>
      </c>
      <c r="K1068" s="10">
        <v>0</v>
      </c>
    </row>
    <row r="1069" spans="1:11" x14ac:dyDescent="0.4">
      <c r="A1069" s="25">
        <v>45691</v>
      </c>
      <c r="B1069" s="11">
        <v>597.77</v>
      </c>
      <c r="C1069" s="11">
        <v>597.55240000000003</v>
      </c>
      <c r="D1069" s="11">
        <v>561.99959999999999</v>
      </c>
      <c r="E1069" s="10">
        <f t="shared" si="16"/>
        <v>0</v>
      </c>
      <c r="G1069" s="29">
        <v>45687</v>
      </c>
      <c r="H1069">
        <v>605.04</v>
      </c>
      <c r="I1069">
        <v>597.03859999999997</v>
      </c>
      <c r="J1069">
        <v>561.04150000000004</v>
      </c>
      <c r="K1069" s="10">
        <v>0</v>
      </c>
    </row>
    <row r="1070" spans="1:11" x14ac:dyDescent="0.4">
      <c r="A1070" s="25">
        <v>45692</v>
      </c>
      <c r="B1070" s="11">
        <v>601.78</v>
      </c>
      <c r="C1070" s="11">
        <v>597.78200000000004</v>
      </c>
      <c r="D1070" s="11">
        <v>562.50570000000005</v>
      </c>
      <c r="E1070" s="10">
        <f t="shared" si="16"/>
        <v>0</v>
      </c>
      <c r="G1070" s="29">
        <v>45688</v>
      </c>
      <c r="H1070">
        <v>601.82000000000005</v>
      </c>
      <c r="I1070">
        <v>597.36</v>
      </c>
      <c r="J1070">
        <v>561.52840000000003</v>
      </c>
      <c r="K1070" s="10">
        <v>0</v>
      </c>
    </row>
    <row r="1071" spans="1:11" x14ac:dyDescent="0.4">
      <c r="A1071" s="25">
        <v>45693</v>
      </c>
      <c r="B1071" s="11">
        <v>604.22</v>
      </c>
      <c r="C1071" s="11">
        <v>598.05640000000005</v>
      </c>
      <c r="D1071" s="11">
        <v>563.02919999999995</v>
      </c>
      <c r="E1071" s="10">
        <f t="shared" si="16"/>
        <v>0</v>
      </c>
      <c r="G1071" s="29">
        <v>45691</v>
      </c>
      <c r="H1071">
        <v>597.77</v>
      </c>
      <c r="I1071">
        <v>597.55240000000003</v>
      </c>
      <c r="J1071">
        <v>561.99959999999999</v>
      </c>
      <c r="K1071" s="10">
        <v>0</v>
      </c>
    </row>
    <row r="1072" spans="1:11" x14ac:dyDescent="0.4">
      <c r="A1072" s="25">
        <v>45694</v>
      </c>
      <c r="B1072" s="11">
        <v>606.32000000000005</v>
      </c>
      <c r="C1072" s="11">
        <v>598.30939999999998</v>
      </c>
      <c r="D1072" s="11">
        <v>563.58500000000004</v>
      </c>
      <c r="E1072" s="10">
        <f t="shared" si="16"/>
        <v>0</v>
      </c>
      <c r="G1072" s="29">
        <v>45692</v>
      </c>
      <c r="H1072">
        <v>601.78</v>
      </c>
      <c r="I1072">
        <v>597.78200000000004</v>
      </c>
      <c r="J1072">
        <v>562.50570000000005</v>
      </c>
      <c r="K1072" s="10">
        <v>0</v>
      </c>
    </row>
    <row r="1073" spans="1:11" x14ac:dyDescent="0.4">
      <c r="A1073" s="25">
        <v>45695</v>
      </c>
      <c r="B1073" s="11">
        <v>600.77</v>
      </c>
      <c r="C1073" s="11">
        <v>598.41459999999995</v>
      </c>
      <c r="D1073" s="11">
        <v>564.09019999999998</v>
      </c>
      <c r="E1073" s="10">
        <f t="shared" si="16"/>
        <v>0</v>
      </c>
      <c r="G1073" s="29">
        <v>45693</v>
      </c>
      <c r="H1073">
        <v>604.22</v>
      </c>
      <c r="I1073">
        <v>598.05640000000005</v>
      </c>
      <c r="J1073">
        <v>563.02919999999995</v>
      </c>
      <c r="K1073" s="10">
        <v>0</v>
      </c>
    </row>
    <row r="1074" spans="1:11" x14ac:dyDescent="0.4">
      <c r="A1074" s="25">
        <v>45698</v>
      </c>
      <c r="B1074" s="11">
        <v>604.85</v>
      </c>
      <c r="C1074" s="11">
        <v>598.56100000000004</v>
      </c>
      <c r="D1074" s="11">
        <v>564.58619999999996</v>
      </c>
      <c r="E1074" s="10">
        <f t="shared" si="16"/>
        <v>0</v>
      </c>
      <c r="G1074" s="29">
        <v>45694</v>
      </c>
      <c r="H1074">
        <v>606.32000000000005</v>
      </c>
      <c r="I1074">
        <v>598.30939999999998</v>
      </c>
      <c r="J1074">
        <v>563.58500000000004</v>
      </c>
      <c r="K1074" s="10">
        <v>0</v>
      </c>
    </row>
    <row r="1075" spans="1:11" x14ac:dyDescent="0.4">
      <c r="A1075" s="25">
        <v>45699</v>
      </c>
      <c r="B1075" s="11">
        <v>605.30999999999995</v>
      </c>
      <c r="C1075" s="11">
        <v>598.65419999999995</v>
      </c>
      <c r="D1075" s="11">
        <v>565.08579999999995</v>
      </c>
      <c r="E1075" s="10">
        <f t="shared" si="16"/>
        <v>0</v>
      </c>
      <c r="G1075" s="29">
        <v>45695</v>
      </c>
      <c r="H1075">
        <v>600.77</v>
      </c>
      <c r="I1075">
        <v>598.41459999999995</v>
      </c>
      <c r="J1075">
        <v>564.09019999999998</v>
      </c>
      <c r="K1075" s="10">
        <v>0</v>
      </c>
    </row>
    <row r="1076" spans="1:11" x14ac:dyDescent="0.4">
      <c r="A1076" s="25">
        <v>45700</v>
      </c>
      <c r="B1076" s="11">
        <v>603.36</v>
      </c>
      <c r="C1076" s="11">
        <v>598.74480000000005</v>
      </c>
      <c r="D1076" s="11">
        <v>565.58510000000001</v>
      </c>
      <c r="E1076" s="10">
        <f t="shared" si="16"/>
        <v>0</v>
      </c>
      <c r="G1076" s="29">
        <v>45698</v>
      </c>
      <c r="H1076">
        <v>604.85</v>
      </c>
      <c r="I1076">
        <v>598.56100000000004</v>
      </c>
      <c r="J1076">
        <v>564.58619999999996</v>
      </c>
      <c r="K1076" s="10">
        <v>0</v>
      </c>
    </row>
    <row r="1077" spans="1:11" x14ac:dyDescent="0.4">
      <c r="A1077" s="25">
        <v>45701</v>
      </c>
      <c r="B1077" s="11">
        <v>609.73</v>
      </c>
      <c r="C1077" s="11">
        <v>598.88840000000005</v>
      </c>
      <c r="D1077" s="11">
        <v>566.0924</v>
      </c>
      <c r="E1077" s="10">
        <f t="shared" si="16"/>
        <v>0</v>
      </c>
      <c r="G1077" s="29">
        <v>45699</v>
      </c>
      <c r="H1077">
        <v>605.30999999999995</v>
      </c>
      <c r="I1077">
        <v>598.65419999999995</v>
      </c>
      <c r="J1077">
        <v>565.08579999999995</v>
      </c>
      <c r="K1077" s="10">
        <v>0</v>
      </c>
    </row>
    <row r="1078" spans="1:11" x14ac:dyDescent="0.4">
      <c r="A1078" s="25">
        <v>45702</v>
      </c>
      <c r="B1078" s="11">
        <v>609.70000000000005</v>
      </c>
      <c r="C1078" s="11">
        <v>599.00980000000004</v>
      </c>
      <c r="D1078" s="11">
        <v>566.59059999999999</v>
      </c>
      <c r="E1078" s="10">
        <f t="shared" si="16"/>
        <v>0</v>
      </c>
      <c r="G1078" s="29">
        <v>45700</v>
      </c>
      <c r="H1078">
        <v>603.36</v>
      </c>
      <c r="I1078">
        <v>598.74480000000005</v>
      </c>
      <c r="J1078">
        <v>565.58510000000001</v>
      </c>
      <c r="K1078" s="10">
        <v>0</v>
      </c>
    </row>
    <row r="1079" spans="1:11" x14ac:dyDescent="0.4">
      <c r="A1079" s="25">
        <v>45706</v>
      </c>
      <c r="B1079" s="11">
        <v>611.49</v>
      </c>
      <c r="C1079" s="11">
        <v>599.16139999999996</v>
      </c>
      <c r="D1079" s="11">
        <v>567.13819999999998</v>
      </c>
      <c r="E1079" s="10">
        <f t="shared" si="16"/>
        <v>0</v>
      </c>
      <c r="G1079" s="29">
        <v>45701</v>
      </c>
      <c r="H1079">
        <v>609.73</v>
      </c>
      <c r="I1079">
        <v>598.88840000000005</v>
      </c>
      <c r="J1079">
        <v>566.0924</v>
      </c>
      <c r="K1079" s="10">
        <v>0</v>
      </c>
    </row>
    <row r="1080" spans="1:11" x14ac:dyDescent="0.4">
      <c r="A1080" s="25">
        <v>45707</v>
      </c>
      <c r="B1080" s="11">
        <v>612.92999999999995</v>
      </c>
      <c r="C1080" s="11">
        <v>599.26679999999999</v>
      </c>
      <c r="D1080" s="11">
        <v>567.7011</v>
      </c>
      <c r="E1080" s="10">
        <f t="shared" si="16"/>
        <v>0</v>
      </c>
      <c r="G1080" s="29">
        <v>45702</v>
      </c>
      <c r="H1080">
        <v>609.70000000000005</v>
      </c>
      <c r="I1080">
        <v>599.00980000000004</v>
      </c>
      <c r="J1080">
        <v>566.59059999999999</v>
      </c>
      <c r="K1080" s="10">
        <v>0</v>
      </c>
    </row>
    <row r="1081" spans="1:11" x14ac:dyDescent="0.4">
      <c r="A1081" s="25">
        <v>45708</v>
      </c>
      <c r="B1081" s="11">
        <v>610.38</v>
      </c>
      <c r="C1081" s="11">
        <v>599.34119999999996</v>
      </c>
      <c r="D1081" s="11">
        <v>568.2278</v>
      </c>
      <c r="E1081" s="10">
        <f t="shared" si="16"/>
        <v>0</v>
      </c>
      <c r="G1081" s="29">
        <v>45706</v>
      </c>
      <c r="H1081">
        <v>611.49</v>
      </c>
      <c r="I1081">
        <v>599.16139999999996</v>
      </c>
      <c r="J1081">
        <v>567.13819999999998</v>
      </c>
      <c r="K1081" s="10">
        <v>0</v>
      </c>
    </row>
    <row r="1082" spans="1:11" x14ac:dyDescent="0.4">
      <c r="A1082" s="25">
        <v>45709</v>
      </c>
      <c r="B1082" s="11">
        <v>599.94000000000005</v>
      </c>
      <c r="C1082" s="11">
        <v>599.18380000000002</v>
      </c>
      <c r="D1082" s="11">
        <v>568.67110000000002</v>
      </c>
      <c r="E1082" s="10">
        <f t="shared" si="16"/>
        <v>0</v>
      </c>
      <c r="G1082" s="29">
        <v>45707</v>
      </c>
      <c r="H1082">
        <v>612.92999999999995</v>
      </c>
      <c r="I1082">
        <v>599.26679999999999</v>
      </c>
      <c r="J1082">
        <v>567.7011</v>
      </c>
      <c r="K1082" s="10">
        <v>0</v>
      </c>
    </row>
    <row r="1083" spans="1:11" x14ac:dyDescent="0.4">
      <c r="A1083" s="25">
        <v>45712</v>
      </c>
      <c r="B1083" s="11">
        <v>597.21</v>
      </c>
      <c r="C1083" s="11">
        <v>599.03440000000001</v>
      </c>
      <c r="D1083" s="11">
        <v>569.07429999999999</v>
      </c>
      <c r="E1083" s="10">
        <f t="shared" si="16"/>
        <v>0</v>
      </c>
      <c r="G1083" s="29">
        <v>45708</v>
      </c>
      <c r="H1083">
        <v>610.38</v>
      </c>
      <c r="I1083">
        <v>599.34119999999996</v>
      </c>
      <c r="J1083">
        <v>568.2278</v>
      </c>
      <c r="K1083" s="10">
        <v>0</v>
      </c>
    </row>
    <row r="1084" spans="1:11" x14ac:dyDescent="0.4">
      <c r="A1084" s="25">
        <v>45713</v>
      </c>
      <c r="B1084" s="11">
        <v>594.24</v>
      </c>
      <c r="C1084" s="11">
        <v>598.86320000000001</v>
      </c>
      <c r="D1084" s="11">
        <v>569.45979999999997</v>
      </c>
      <c r="E1084" s="10">
        <f t="shared" si="16"/>
        <v>0</v>
      </c>
      <c r="G1084" s="29">
        <v>45709</v>
      </c>
      <c r="H1084">
        <v>599.94000000000005</v>
      </c>
      <c r="I1084">
        <v>599.18380000000002</v>
      </c>
      <c r="J1084">
        <v>568.67110000000002</v>
      </c>
      <c r="K1084" s="10">
        <v>0</v>
      </c>
    </row>
    <row r="1085" spans="1:11" x14ac:dyDescent="0.4">
      <c r="A1085" s="25">
        <v>45714</v>
      </c>
      <c r="B1085" s="11">
        <v>594.54</v>
      </c>
      <c r="C1085" s="11">
        <v>598.60479999999995</v>
      </c>
      <c r="D1085" s="11">
        <v>569.84659999999997</v>
      </c>
      <c r="E1085" s="10">
        <f t="shared" si="16"/>
        <v>0</v>
      </c>
      <c r="G1085" s="29">
        <v>45712</v>
      </c>
      <c r="H1085">
        <v>597.21</v>
      </c>
      <c r="I1085">
        <v>599.03440000000001</v>
      </c>
      <c r="J1085">
        <v>569.07429999999999</v>
      </c>
      <c r="K1085" s="10">
        <v>0</v>
      </c>
    </row>
    <row r="1086" spans="1:11" x14ac:dyDescent="0.4">
      <c r="A1086" s="25">
        <v>45715</v>
      </c>
      <c r="B1086" s="11">
        <v>585.04999999999995</v>
      </c>
      <c r="C1086" s="11">
        <v>598.2192</v>
      </c>
      <c r="D1086" s="11">
        <v>570.17100000000005</v>
      </c>
      <c r="E1086" s="10">
        <f t="shared" si="16"/>
        <v>0</v>
      </c>
      <c r="G1086" s="29">
        <v>45713</v>
      </c>
      <c r="H1086">
        <v>594.24</v>
      </c>
      <c r="I1086">
        <v>598.86320000000001</v>
      </c>
      <c r="J1086">
        <v>569.45979999999997</v>
      </c>
      <c r="K1086" s="10">
        <v>0</v>
      </c>
    </row>
    <row r="1087" spans="1:11" x14ac:dyDescent="0.4">
      <c r="A1087" s="25">
        <v>45716</v>
      </c>
      <c r="B1087" s="11">
        <v>594.17999999999995</v>
      </c>
      <c r="C1087" s="11">
        <v>598.01859999999999</v>
      </c>
      <c r="D1087" s="11">
        <v>570.5376</v>
      </c>
      <c r="E1087" s="10">
        <f t="shared" si="16"/>
        <v>0</v>
      </c>
      <c r="G1087" s="29">
        <v>45714</v>
      </c>
      <c r="H1087">
        <v>594.54</v>
      </c>
      <c r="I1087">
        <v>598.60479999999995</v>
      </c>
      <c r="J1087">
        <v>569.84659999999997</v>
      </c>
      <c r="K1087" s="10">
        <v>0</v>
      </c>
    </row>
    <row r="1088" spans="1:11" x14ac:dyDescent="0.4">
      <c r="A1088" s="25">
        <v>45719</v>
      </c>
      <c r="B1088" s="11">
        <v>583.77</v>
      </c>
      <c r="C1088" s="11">
        <v>597.55820000000006</v>
      </c>
      <c r="D1088" s="11">
        <v>570.85199999999998</v>
      </c>
      <c r="E1088" s="10">
        <f t="shared" si="16"/>
        <v>0</v>
      </c>
      <c r="G1088" s="29">
        <v>45715</v>
      </c>
      <c r="H1088">
        <v>585.04999999999995</v>
      </c>
      <c r="I1088">
        <v>598.2192</v>
      </c>
      <c r="J1088">
        <v>570.17100000000005</v>
      </c>
      <c r="K1088" s="10">
        <v>0</v>
      </c>
    </row>
    <row r="1089" spans="1:11" x14ac:dyDescent="0.4">
      <c r="A1089" s="25">
        <v>45720</v>
      </c>
      <c r="B1089" s="11">
        <v>576.86</v>
      </c>
      <c r="C1089" s="11">
        <v>597.00959999999998</v>
      </c>
      <c r="D1089" s="11">
        <v>571.11980000000005</v>
      </c>
      <c r="E1089" s="10">
        <f t="shared" si="16"/>
        <v>0</v>
      </c>
      <c r="G1089" s="29">
        <v>45716</v>
      </c>
      <c r="H1089">
        <v>594.17999999999995</v>
      </c>
      <c r="I1089">
        <v>598.01859999999999</v>
      </c>
      <c r="J1089">
        <v>570.5376</v>
      </c>
      <c r="K1089" s="10">
        <v>0</v>
      </c>
    </row>
    <row r="1090" spans="1:11" x14ac:dyDescent="0.4">
      <c r="A1090" s="25">
        <v>45721</v>
      </c>
      <c r="B1090" s="11">
        <v>583.05999999999995</v>
      </c>
      <c r="C1090" s="11">
        <v>596.9452</v>
      </c>
      <c r="D1090" s="11">
        <v>571.38620000000003</v>
      </c>
      <c r="E1090" s="10">
        <f t="shared" si="16"/>
        <v>0</v>
      </c>
      <c r="G1090" s="29">
        <v>45719</v>
      </c>
      <c r="H1090">
        <v>583.77</v>
      </c>
      <c r="I1090">
        <v>597.55820000000006</v>
      </c>
      <c r="J1090">
        <v>570.85199999999998</v>
      </c>
      <c r="K1090" s="10">
        <v>0</v>
      </c>
    </row>
    <row r="1091" spans="1:11" x14ac:dyDescent="0.4">
      <c r="A1091" s="25">
        <v>45722</v>
      </c>
      <c r="B1091" s="11">
        <v>572.71</v>
      </c>
      <c r="C1091" s="11">
        <v>596.67740000000003</v>
      </c>
      <c r="D1091" s="11">
        <v>571.60619999999994</v>
      </c>
      <c r="E1091" s="10">
        <f t="shared" ref="E1091:E1154" si="17">IF(AND(C1091&gt;D1091, C1090&lt;D1090), 1, 0)</f>
        <v>0</v>
      </c>
      <c r="G1091" s="29">
        <v>45720</v>
      </c>
      <c r="H1091">
        <v>576.86</v>
      </c>
      <c r="I1091">
        <v>597.00959999999998</v>
      </c>
      <c r="J1091">
        <v>571.11980000000005</v>
      </c>
      <c r="K1091" s="10">
        <v>0</v>
      </c>
    </row>
    <row r="1092" spans="1:11" x14ac:dyDescent="0.4">
      <c r="A1092" s="25">
        <v>45723</v>
      </c>
      <c r="B1092" s="11">
        <v>575.91999999999996</v>
      </c>
      <c r="C1092" s="11">
        <v>596.37279999999998</v>
      </c>
      <c r="D1092" s="11">
        <v>571.83860000000004</v>
      </c>
      <c r="E1092" s="10">
        <f t="shared" si="17"/>
        <v>0</v>
      </c>
      <c r="G1092" s="29">
        <v>45721</v>
      </c>
      <c r="H1092">
        <v>583.05999999999995</v>
      </c>
      <c r="I1092">
        <v>596.9452</v>
      </c>
      <c r="J1092">
        <v>571.38620000000003</v>
      </c>
      <c r="K1092" s="10">
        <v>0</v>
      </c>
    </row>
    <row r="1093" spans="1:11" x14ac:dyDescent="0.4">
      <c r="A1093" s="25">
        <v>45726</v>
      </c>
      <c r="B1093" s="11">
        <v>560.58000000000004</v>
      </c>
      <c r="C1093" s="11">
        <v>595.69060000000002</v>
      </c>
      <c r="D1093" s="11">
        <v>571.99120000000005</v>
      </c>
      <c r="E1093" s="10">
        <f t="shared" si="17"/>
        <v>0</v>
      </c>
      <c r="G1093" s="29">
        <v>45722</v>
      </c>
      <c r="H1093">
        <v>572.71</v>
      </c>
      <c r="I1093">
        <v>596.67740000000003</v>
      </c>
      <c r="J1093">
        <v>571.60619999999994</v>
      </c>
      <c r="K1093" s="10">
        <v>0</v>
      </c>
    </row>
    <row r="1094" spans="1:11" x14ac:dyDescent="0.4">
      <c r="A1094" s="25">
        <v>45727</v>
      </c>
      <c r="B1094" s="11">
        <v>555.91999999999996</v>
      </c>
      <c r="C1094" s="11">
        <v>594.78300000000002</v>
      </c>
      <c r="D1094" s="11">
        <v>572.11400000000003</v>
      </c>
      <c r="E1094" s="10">
        <f t="shared" si="17"/>
        <v>0</v>
      </c>
      <c r="G1094" s="29">
        <v>45723</v>
      </c>
      <c r="H1094">
        <v>575.91999999999996</v>
      </c>
      <c r="I1094">
        <v>596.37279999999998</v>
      </c>
      <c r="J1094">
        <v>571.83860000000004</v>
      </c>
      <c r="K1094" s="10">
        <v>0</v>
      </c>
    </row>
    <row r="1095" spans="1:11" x14ac:dyDescent="0.4">
      <c r="A1095" s="25">
        <v>45728</v>
      </c>
      <c r="B1095" s="11">
        <v>558.87</v>
      </c>
      <c r="C1095" s="11">
        <v>593.93359999999996</v>
      </c>
      <c r="D1095" s="11">
        <v>572.25919999999996</v>
      </c>
      <c r="E1095" s="10">
        <f t="shared" si="17"/>
        <v>0</v>
      </c>
      <c r="G1095" s="29">
        <v>45726</v>
      </c>
      <c r="H1095">
        <v>560.58000000000004</v>
      </c>
      <c r="I1095">
        <v>595.69060000000002</v>
      </c>
      <c r="J1095">
        <v>571.99120000000005</v>
      </c>
      <c r="K1095" s="10">
        <v>0</v>
      </c>
    </row>
    <row r="1096" spans="1:11" x14ac:dyDescent="0.4">
      <c r="A1096" s="25">
        <v>45729</v>
      </c>
      <c r="B1096" s="11">
        <v>551.41999999999996</v>
      </c>
      <c r="C1096" s="11">
        <v>593.06179999999995</v>
      </c>
      <c r="D1096" s="11">
        <v>572.38649999999996</v>
      </c>
      <c r="E1096" s="10">
        <f t="shared" si="17"/>
        <v>0</v>
      </c>
      <c r="G1096" s="29">
        <v>45727</v>
      </c>
      <c r="H1096">
        <v>555.91999999999996</v>
      </c>
      <c r="I1096">
        <v>594.78300000000002</v>
      </c>
      <c r="J1096">
        <v>572.11400000000003</v>
      </c>
      <c r="K1096" s="10">
        <v>0</v>
      </c>
    </row>
    <row r="1097" spans="1:11" x14ac:dyDescent="0.4">
      <c r="A1097" s="25">
        <v>45730</v>
      </c>
      <c r="B1097" s="11">
        <v>562.80999999999995</v>
      </c>
      <c r="C1097" s="11">
        <v>592.55359999999996</v>
      </c>
      <c r="D1097" s="11">
        <v>572.55340000000001</v>
      </c>
      <c r="E1097" s="10">
        <f t="shared" si="17"/>
        <v>0</v>
      </c>
      <c r="G1097" s="29">
        <v>45728</v>
      </c>
      <c r="H1097">
        <v>558.87</v>
      </c>
      <c r="I1097">
        <v>593.93359999999996</v>
      </c>
      <c r="J1097">
        <v>572.25919999999996</v>
      </c>
      <c r="K1097" s="10">
        <v>0</v>
      </c>
    </row>
    <row r="1098" spans="1:11" x14ac:dyDescent="0.4">
      <c r="A1098" s="25">
        <v>45733</v>
      </c>
      <c r="B1098" s="11">
        <v>567.15</v>
      </c>
      <c r="C1098" s="11">
        <v>592.17499999999995</v>
      </c>
      <c r="D1098" s="11">
        <v>572.74</v>
      </c>
      <c r="E1098" s="10">
        <f t="shared" si="17"/>
        <v>0</v>
      </c>
      <c r="G1098" s="29">
        <v>45729</v>
      </c>
      <c r="H1098">
        <v>551.41999999999996</v>
      </c>
      <c r="I1098">
        <v>593.06179999999995</v>
      </c>
      <c r="J1098">
        <v>572.38649999999996</v>
      </c>
      <c r="K1098" s="10">
        <v>0</v>
      </c>
    </row>
    <row r="1099" spans="1:11" x14ac:dyDescent="0.4">
      <c r="A1099" s="25">
        <v>45734</v>
      </c>
      <c r="B1099" s="11">
        <v>561.02</v>
      </c>
      <c r="C1099" s="11">
        <v>591.70259999999996</v>
      </c>
      <c r="D1099" s="11">
        <v>572.91459999999995</v>
      </c>
      <c r="E1099" s="10">
        <f t="shared" si="17"/>
        <v>0</v>
      </c>
      <c r="G1099" s="29">
        <v>45730</v>
      </c>
      <c r="H1099">
        <v>562.80999999999995</v>
      </c>
      <c r="I1099">
        <v>592.55359999999996</v>
      </c>
      <c r="J1099">
        <v>572.55340000000001</v>
      </c>
      <c r="K1099" s="10">
        <v>0</v>
      </c>
    </row>
    <row r="1100" spans="1:11" x14ac:dyDescent="0.4">
      <c r="A1100" s="25">
        <v>45735</v>
      </c>
      <c r="B1100" s="11">
        <v>567.13</v>
      </c>
      <c r="C1100" s="11">
        <v>591.20619999999997</v>
      </c>
      <c r="D1100" s="11">
        <v>573.13720000000001</v>
      </c>
      <c r="E1100" s="10">
        <f t="shared" si="17"/>
        <v>0</v>
      </c>
      <c r="G1100" s="29">
        <v>45733</v>
      </c>
      <c r="H1100">
        <v>567.15</v>
      </c>
      <c r="I1100">
        <v>592.17499999999995</v>
      </c>
      <c r="J1100">
        <v>572.74</v>
      </c>
      <c r="K1100" s="10">
        <v>0</v>
      </c>
    </row>
    <row r="1101" spans="1:11" x14ac:dyDescent="0.4">
      <c r="A1101" s="25">
        <v>45736</v>
      </c>
      <c r="B1101" s="11">
        <v>565.49</v>
      </c>
      <c r="C1101" s="11">
        <v>590.60879999999997</v>
      </c>
      <c r="D1101" s="11">
        <v>573.32780000000002</v>
      </c>
      <c r="E1101" s="10">
        <f t="shared" si="17"/>
        <v>0</v>
      </c>
      <c r="G1101" s="29">
        <v>45734</v>
      </c>
      <c r="H1101">
        <v>561.02</v>
      </c>
      <c r="I1101">
        <v>591.70259999999996</v>
      </c>
      <c r="J1101">
        <v>572.91459999999995</v>
      </c>
      <c r="K1101" s="10">
        <v>0</v>
      </c>
    </row>
    <row r="1102" spans="1:11" x14ac:dyDescent="0.4">
      <c r="A1102" s="25">
        <v>45737</v>
      </c>
      <c r="B1102" s="11">
        <v>563.98</v>
      </c>
      <c r="C1102" s="11">
        <v>590.11580000000004</v>
      </c>
      <c r="D1102" s="11">
        <v>573.50879999999995</v>
      </c>
      <c r="E1102" s="10">
        <f t="shared" si="17"/>
        <v>0</v>
      </c>
      <c r="G1102" s="29">
        <v>45735</v>
      </c>
      <c r="H1102">
        <v>567.13</v>
      </c>
      <c r="I1102">
        <v>591.20619999999997</v>
      </c>
      <c r="J1102">
        <v>573.13720000000001</v>
      </c>
      <c r="K1102" s="10">
        <v>0</v>
      </c>
    </row>
    <row r="1103" spans="1:11" x14ac:dyDescent="0.4">
      <c r="A1103" s="25">
        <v>45740</v>
      </c>
      <c r="B1103" s="11">
        <v>574.08000000000004</v>
      </c>
      <c r="C1103" s="11">
        <v>589.80759999999998</v>
      </c>
      <c r="D1103" s="11">
        <v>573.73720000000003</v>
      </c>
      <c r="E1103" s="10">
        <f t="shared" si="17"/>
        <v>0</v>
      </c>
      <c r="G1103" s="29">
        <v>45736</v>
      </c>
      <c r="H1103">
        <v>565.49</v>
      </c>
      <c r="I1103">
        <v>590.60879999999997</v>
      </c>
      <c r="J1103">
        <v>573.32780000000002</v>
      </c>
      <c r="K1103" s="10">
        <v>0</v>
      </c>
    </row>
    <row r="1104" spans="1:11" x14ac:dyDescent="0.4">
      <c r="A1104" s="25">
        <v>45741</v>
      </c>
      <c r="B1104" s="11">
        <v>575.46</v>
      </c>
      <c r="C1104" s="11">
        <v>589.70699999999999</v>
      </c>
      <c r="D1104" s="11">
        <v>573.94119999999998</v>
      </c>
      <c r="E1104" s="10">
        <f t="shared" si="17"/>
        <v>0</v>
      </c>
      <c r="G1104" s="29">
        <v>45737</v>
      </c>
      <c r="H1104">
        <v>563.98</v>
      </c>
      <c r="I1104">
        <v>590.11580000000004</v>
      </c>
      <c r="J1104">
        <v>573.50879999999995</v>
      </c>
      <c r="K1104" s="10">
        <v>0</v>
      </c>
    </row>
    <row r="1105" spans="1:11" x14ac:dyDescent="0.4">
      <c r="A1105" s="25">
        <v>45742</v>
      </c>
      <c r="B1105" s="11">
        <v>568.59</v>
      </c>
      <c r="C1105" s="11">
        <v>589.45100000000002</v>
      </c>
      <c r="D1105" s="11">
        <v>574.11080000000004</v>
      </c>
      <c r="E1105" s="10">
        <f t="shared" si="17"/>
        <v>0</v>
      </c>
      <c r="G1105" s="29">
        <v>45740</v>
      </c>
      <c r="H1105">
        <v>574.08000000000004</v>
      </c>
      <c r="I1105">
        <v>589.80759999999998</v>
      </c>
      <c r="J1105">
        <v>573.73720000000003</v>
      </c>
      <c r="K1105" s="10">
        <v>0</v>
      </c>
    </row>
    <row r="1106" spans="1:11" x14ac:dyDescent="0.4">
      <c r="A1106" s="25">
        <v>45743</v>
      </c>
      <c r="B1106" s="11">
        <v>567.08000000000004</v>
      </c>
      <c r="C1106" s="11">
        <v>589.14880000000005</v>
      </c>
      <c r="D1106" s="11">
        <v>574.27620000000002</v>
      </c>
      <c r="E1106" s="10">
        <f t="shared" si="17"/>
        <v>0</v>
      </c>
      <c r="G1106" s="29">
        <v>45741</v>
      </c>
      <c r="H1106">
        <v>575.46</v>
      </c>
      <c r="I1106">
        <v>589.70699999999999</v>
      </c>
      <c r="J1106">
        <v>573.94119999999998</v>
      </c>
      <c r="K1106" s="10">
        <v>0</v>
      </c>
    </row>
    <row r="1107" spans="1:11" x14ac:dyDescent="0.4">
      <c r="A1107" s="25">
        <v>45744</v>
      </c>
      <c r="B1107" s="11">
        <v>555.66</v>
      </c>
      <c r="C1107" s="11">
        <v>588.40639999999996</v>
      </c>
      <c r="D1107" s="11">
        <v>574.37620000000004</v>
      </c>
      <c r="E1107" s="10">
        <f t="shared" si="17"/>
        <v>0</v>
      </c>
      <c r="G1107" s="29">
        <v>45742</v>
      </c>
      <c r="H1107">
        <v>568.59</v>
      </c>
      <c r="I1107">
        <v>589.45100000000002</v>
      </c>
      <c r="J1107">
        <v>574.11080000000004</v>
      </c>
      <c r="K1107" s="10">
        <v>0</v>
      </c>
    </row>
    <row r="1108" spans="1:11" x14ac:dyDescent="0.4">
      <c r="A1108" s="25">
        <v>45747</v>
      </c>
      <c r="B1108" s="11">
        <v>559.39</v>
      </c>
      <c r="C1108" s="11">
        <v>587.76139999999998</v>
      </c>
      <c r="D1108" s="11">
        <v>574.48839999999996</v>
      </c>
      <c r="E1108" s="10">
        <f t="shared" si="17"/>
        <v>0</v>
      </c>
      <c r="G1108" s="29">
        <v>45743</v>
      </c>
      <c r="H1108">
        <v>567.08000000000004</v>
      </c>
      <c r="I1108">
        <v>589.14880000000005</v>
      </c>
      <c r="J1108">
        <v>574.27620000000002</v>
      </c>
      <c r="K1108" s="10">
        <v>0</v>
      </c>
    </row>
    <row r="1109" spans="1:11" x14ac:dyDescent="0.4">
      <c r="A1109" s="25">
        <v>45748</v>
      </c>
      <c r="B1109" s="11">
        <v>560.97</v>
      </c>
      <c r="C1109" s="11">
        <v>587.02919999999995</v>
      </c>
      <c r="D1109" s="11">
        <v>574.58640000000003</v>
      </c>
      <c r="E1109" s="10">
        <f t="shared" si="17"/>
        <v>0</v>
      </c>
      <c r="G1109" s="29">
        <v>45744</v>
      </c>
      <c r="H1109">
        <v>555.66</v>
      </c>
      <c r="I1109">
        <v>588.40639999999996</v>
      </c>
      <c r="J1109">
        <v>574.37620000000004</v>
      </c>
      <c r="K1109" s="10">
        <v>0</v>
      </c>
    </row>
    <row r="1110" spans="1:11" x14ac:dyDescent="0.4">
      <c r="A1110" s="25">
        <v>45749</v>
      </c>
      <c r="B1110" s="11">
        <v>564.52</v>
      </c>
      <c r="C1110" s="11">
        <v>586.2586</v>
      </c>
      <c r="D1110" s="11">
        <v>574.69680000000005</v>
      </c>
      <c r="E1110" s="10">
        <f t="shared" si="17"/>
        <v>0</v>
      </c>
      <c r="G1110" s="29">
        <v>45747</v>
      </c>
      <c r="H1110">
        <v>559.39</v>
      </c>
      <c r="I1110">
        <v>587.76139999999998</v>
      </c>
      <c r="J1110">
        <v>574.48839999999996</v>
      </c>
      <c r="K1110" s="10">
        <v>0</v>
      </c>
    </row>
    <row r="1111" spans="1:11" x14ac:dyDescent="0.4">
      <c r="A1111" s="25">
        <v>45750</v>
      </c>
      <c r="B1111" s="11">
        <v>536.70000000000005</v>
      </c>
      <c r="C1111" s="11">
        <v>584.86379999999997</v>
      </c>
      <c r="D1111" s="11">
        <v>574.66639999999995</v>
      </c>
      <c r="E1111" s="10">
        <f t="shared" si="17"/>
        <v>0</v>
      </c>
      <c r="G1111" s="29">
        <v>45748</v>
      </c>
      <c r="H1111">
        <v>560.97</v>
      </c>
      <c r="I1111">
        <v>587.02919999999995</v>
      </c>
      <c r="J1111">
        <v>574.58640000000003</v>
      </c>
      <c r="K1111" s="10">
        <v>0</v>
      </c>
    </row>
    <row r="1112" spans="1:11" x14ac:dyDescent="0.4">
      <c r="A1112" s="25">
        <v>45751</v>
      </c>
      <c r="B1112" s="11">
        <v>505.28</v>
      </c>
      <c r="C1112" s="11">
        <v>582.77440000000001</v>
      </c>
      <c r="D1112" s="11">
        <v>574.45719999999994</v>
      </c>
      <c r="E1112" s="10">
        <f t="shared" si="17"/>
        <v>0</v>
      </c>
      <c r="G1112" s="29">
        <v>45749</v>
      </c>
      <c r="H1112">
        <v>564.52</v>
      </c>
      <c r="I1112">
        <v>586.2586</v>
      </c>
      <c r="J1112">
        <v>574.69680000000005</v>
      </c>
      <c r="K1112" s="10">
        <v>0</v>
      </c>
    </row>
    <row r="1113" spans="1:11" x14ac:dyDescent="0.4">
      <c r="A1113" s="25">
        <v>45754</v>
      </c>
      <c r="B1113" s="11">
        <v>504.38</v>
      </c>
      <c r="C1113" s="11">
        <v>580.70259999999996</v>
      </c>
      <c r="D1113" s="11">
        <v>574.23670000000004</v>
      </c>
      <c r="E1113" s="10">
        <f t="shared" si="17"/>
        <v>0</v>
      </c>
      <c r="G1113" s="29">
        <v>45750</v>
      </c>
      <c r="H1113">
        <v>536.70000000000005</v>
      </c>
      <c r="I1113">
        <v>584.86379999999997</v>
      </c>
      <c r="J1113">
        <v>574.66639999999995</v>
      </c>
      <c r="K1113" s="10">
        <v>0</v>
      </c>
    </row>
    <row r="1114" spans="1:11" x14ac:dyDescent="0.4">
      <c r="A1114" s="25">
        <v>45755</v>
      </c>
      <c r="B1114" s="11">
        <v>496.48</v>
      </c>
      <c r="C1114" s="11">
        <v>578.64480000000003</v>
      </c>
      <c r="D1114" s="11">
        <v>573.98410000000001</v>
      </c>
      <c r="E1114" s="10">
        <f t="shared" si="17"/>
        <v>0</v>
      </c>
      <c r="G1114" s="29">
        <v>45751</v>
      </c>
      <c r="H1114">
        <v>505.28</v>
      </c>
      <c r="I1114">
        <v>582.77440000000001</v>
      </c>
      <c r="J1114">
        <v>574.45719999999994</v>
      </c>
      <c r="K1114" s="10">
        <v>0</v>
      </c>
    </row>
    <row r="1115" spans="1:11" x14ac:dyDescent="0.4">
      <c r="A1115" s="25">
        <v>45756</v>
      </c>
      <c r="B1115" s="11">
        <v>548.62</v>
      </c>
      <c r="C1115" s="11">
        <v>577.52679999999998</v>
      </c>
      <c r="D1115" s="11">
        <v>574.00459999999998</v>
      </c>
      <c r="E1115" s="10">
        <f t="shared" si="17"/>
        <v>0</v>
      </c>
      <c r="G1115" s="29">
        <v>45754</v>
      </c>
      <c r="H1115">
        <v>504.38</v>
      </c>
      <c r="I1115">
        <v>580.70259999999996</v>
      </c>
      <c r="J1115">
        <v>574.23670000000004</v>
      </c>
      <c r="K1115" s="10">
        <v>0</v>
      </c>
    </row>
    <row r="1116" spans="1:11" x14ac:dyDescent="0.4">
      <c r="A1116" s="25">
        <v>45757</v>
      </c>
      <c r="B1116" s="11">
        <v>524.58000000000004</v>
      </c>
      <c r="C1116" s="11">
        <v>575.98220000000003</v>
      </c>
      <c r="D1116" s="11">
        <v>573.91380000000004</v>
      </c>
      <c r="E1116" s="10">
        <f t="shared" si="17"/>
        <v>0</v>
      </c>
      <c r="G1116" s="29">
        <v>45755</v>
      </c>
      <c r="H1116">
        <v>496.48</v>
      </c>
      <c r="I1116">
        <v>578.64480000000003</v>
      </c>
      <c r="J1116">
        <v>573.98410000000001</v>
      </c>
      <c r="K1116" s="10">
        <v>0</v>
      </c>
    </row>
    <row r="1117" spans="1:11" x14ac:dyDescent="0.4">
      <c r="A1117" s="25">
        <v>45758</v>
      </c>
      <c r="B1117" s="11">
        <v>533.94000000000005</v>
      </c>
      <c r="C1117" s="11">
        <v>574.56020000000001</v>
      </c>
      <c r="D1117" s="11">
        <v>573.85940000000005</v>
      </c>
      <c r="E1117" s="10">
        <f t="shared" si="17"/>
        <v>0</v>
      </c>
      <c r="G1117" s="29">
        <v>45756</v>
      </c>
      <c r="H1117">
        <v>548.62</v>
      </c>
      <c r="I1117">
        <v>577.52679999999998</v>
      </c>
      <c r="J1117">
        <v>574.00459999999998</v>
      </c>
      <c r="K1117" s="10">
        <v>0</v>
      </c>
    </row>
    <row r="1118" spans="1:11" x14ac:dyDescent="0.4">
      <c r="A1118" s="25">
        <v>45761</v>
      </c>
      <c r="B1118" s="11">
        <v>539.12</v>
      </c>
      <c r="C1118" s="11">
        <v>573.30619999999999</v>
      </c>
      <c r="D1118" s="11">
        <v>573.82740000000001</v>
      </c>
      <c r="E1118" s="10">
        <f t="shared" si="17"/>
        <v>0</v>
      </c>
      <c r="G1118" s="29">
        <v>45757</v>
      </c>
      <c r="H1118">
        <v>524.58000000000004</v>
      </c>
      <c r="I1118">
        <v>575.98220000000003</v>
      </c>
      <c r="J1118">
        <v>573.91380000000004</v>
      </c>
      <c r="K1118" s="10">
        <v>0</v>
      </c>
    </row>
    <row r="1119" spans="1:11" x14ac:dyDescent="0.4">
      <c r="A1119" s="25">
        <v>45762</v>
      </c>
      <c r="B1119" s="11">
        <v>537.61</v>
      </c>
      <c r="C1119" s="11">
        <v>572.10299999999995</v>
      </c>
      <c r="D1119" s="11">
        <v>573.78359999999998</v>
      </c>
      <c r="E1119" s="10">
        <f t="shared" si="17"/>
        <v>0</v>
      </c>
      <c r="G1119" s="29">
        <v>45758</v>
      </c>
      <c r="H1119">
        <v>533.94000000000005</v>
      </c>
      <c r="I1119">
        <v>574.56020000000001</v>
      </c>
      <c r="J1119">
        <v>573.85940000000005</v>
      </c>
      <c r="K1119" s="10">
        <v>0</v>
      </c>
    </row>
    <row r="1120" spans="1:11" x14ac:dyDescent="0.4">
      <c r="A1120" s="25">
        <v>45763</v>
      </c>
      <c r="B1120" s="11">
        <v>525.66</v>
      </c>
      <c r="C1120" s="11">
        <v>570.5806</v>
      </c>
      <c r="D1120" s="11">
        <v>573.69079999999997</v>
      </c>
      <c r="E1120" s="10">
        <f t="shared" si="17"/>
        <v>0</v>
      </c>
      <c r="G1120" s="29">
        <v>45761</v>
      </c>
      <c r="H1120">
        <v>539.12</v>
      </c>
      <c r="I1120">
        <v>573.30619999999999</v>
      </c>
      <c r="J1120">
        <v>573.82740000000001</v>
      </c>
      <c r="K1120" s="10">
        <v>0</v>
      </c>
    </row>
    <row r="1121" spans="1:11" x14ac:dyDescent="0.4">
      <c r="A1121" s="25">
        <v>45764</v>
      </c>
      <c r="B1121" s="11">
        <v>526.41</v>
      </c>
      <c r="C1121" s="11">
        <v>569.02440000000001</v>
      </c>
      <c r="D1121" s="11">
        <v>573.59619999999995</v>
      </c>
      <c r="E1121" s="10">
        <f t="shared" si="17"/>
        <v>0</v>
      </c>
      <c r="G1121" s="29">
        <v>45762</v>
      </c>
      <c r="H1121">
        <v>537.61</v>
      </c>
      <c r="I1121">
        <v>572.10299999999995</v>
      </c>
      <c r="J1121">
        <v>573.78359999999998</v>
      </c>
      <c r="K1121" s="10">
        <v>0</v>
      </c>
    </row>
    <row r="1122" spans="1:11" x14ac:dyDescent="0.4">
      <c r="A1122" s="25">
        <v>45768</v>
      </c>
      <c r="B1122" s="11">
        <v>513.88</v>
      </c>
      <c r="C1122" s="11">
        <v>567.17560000000003</v>
      </c>
      <c r="D1122" s="11">
        <v>573.42060000000004</v>
      </c>
      <c r="E1122" s="10">
        <f t="shared" si="17"/>
        <v>0</v>
      </c>
      <c r="G1122" s="29">
        <v>45763</v>
      </c>
      <c r="H1122">
        <v>525.66</v>
      </c>
      <c r="I1122">
        <v>570.5806</v>
      </c>
      <c r="J1122">
        <v>573.69079999999997</v>
      </c>
      <c r="K1122" s="10">
        <v>0</v>
      </c>
    </row>
    <row r="1123" spans="1:11" x14ac:dyDescent="0.4">
      <c r="A1123" s="25">
        <v>45769</v>
      </c>
      <c r="B1123" s="11">
        <v>527.25</v>
      </c>
      <c r="C1123" s="11">
        <v>565.70519999999999</v>
      </c>
      <c r="D1123" s="11">
        <v>573.29949999999997</v>
      </c>
      <c r="E1123" s="10">
        <f t="shared" si="17"/>
        <v>0</v>
      </c>
      <c r="G1123" s="29">
        <v>45764</v>
      </c>
      <c r="H1123">
        <v>526.41</v>
      </c>
      <c r="I1123">
        <v>569.02440000000001</v>
      </c>
      <c r="J1123">
        <v>573.59619999999995</v>
      </c>
      <c r="K1123" s="10">
        <v>0</v>
      </c>
    </row>
    <row r="1124" spans="1:11" x14ac:dyDescent="0.4">
      <c r="A1124" s="25">
        <v>45770</v>
      </c>
      <c r="B1124" s="11">
        <v>535.41999999999996</v>
      </c>
      <c r="C1124" s="11">
        <v>564.31659999999999</v>
      </c>
      <c r="D1124" s="11">
        <v>573.20339999999999</v>
      </c>
      <c r="E1124" s="10">
        <f t="shared" si="17"/>
        <v>0</v>
      </c>
      <c r="G1124" s="29">
        <v>45768</v>
      </c>
      <c r="H1124">
        <v>513.88</v>
      </c>
      <c r="I1124">
        <v>567.17560000000003</v>
      </c>
      <c r="J1124">
        <v>573.42060000000004</v>
      </c>
      <c r="K1124" s="10">
        <v>0</v>
      </c>
    </row>
    <row r="1125" spans="1:11" x14ac:dyDescent="0.4">
      <c r="A1125" s="25">
        <v>45771</v>
      </c>
      <c r="B1125" s="11">
        <v>546.69000000000005</v>
      </c>
      <c r="C1125" s="11">
        <v>563.14419999999996</v>
      </c>
      <c r="D1125" s="11">
        <v>573.16039999999998</v>
      </c>
      <c r="E1125" s="10">
        <f t="shared" si="17"/>
        <v>0</v>
      </c>
      <c r="G1125" s="29">
        <v>45769</v>
      </c>
      <c r="H1125">
        <v>527.25</v>
      </c>
      <c r="I1125">
        <v>565.70519999999999</v>
      </c>
      <c r="J1125">
        <v>573.29949999999997</v>
      </c>
      <c r="K1125" s="10">
        <v>0</v>
      </c>
    </row>
    <row r="1126" spans="1:11" x14ac:dyDescent="0.4">
      <c r="A1126" s="25">
        <v>45772</v>
      </c>
      <c r="B1126" s="11">
        <v>550.64</v>
      </c>
      <c r="C1126" s="11">
        <v>562.08979999999997</v>
      </c>
      <c r="D1126" s="11">
        <v>573.13459999999998</v>
      </c>
      <c r="E1126" s="10">
        <f t="shared" si="17"/>
        <v>0</v>
      </c>
      <c r="G1126" s="29">
        <v>45770</v>
      </c>
      <c r="H1126">
        <v>535.41999999999996</v>
      </c>
      <c r="I1126">
        <v>564.31659999999999</v>
      </c>
      <c r="J1126">
        <v>573.20339999999999</v>
      </c>
      <c r="K1126" s="10">
        <v>0</v>
      </c>
    </row>
    <row r="1127" spans="1:11" x14ac:dyDescent="0.4">
      <c r="A1127" s="25">
        <v>45775</v>
      </c>
      <c r="B1127" s="11">
        <v>550.85</v>
      </c>
      <c r="C1127" s="11">
        <v>560.91219999999998</v>
      </c>
      <c r="D1127" s="11">
        <v>573.08219999999994</v>
      </c>
      <c r="E1127" s="10">
        <f t="shared" si="17"/>
        <v>0</v>
      </c>
      <c r="G1127" s="29">
        <v>45771</v>
      </c>
      <c r="H1127">
        <v>546.69000000000005</v>
      </c>
      <c r="I1127">
        <v>563.14419999999996</v>
      </c>
      <c r="J1127">
        <v>573.16039999999998</v>
      </c>
      <c r="K1127" s="10">
        <v>0</v>
      </c>
    </row>
    <row r="1128" spans="1:11" x14ac:dyDescent="0.4">
      <c r="A1128" s="25">
        <v>45776</v>
      </c>
      <c r="B1128" s="11">
        <v>554.32000000000005</v>
      </c>
      <c r="C1128" s="11">
        <v>559.80460000000005</v>
      </c>
      <c r="D1128" s="11">
        <v>573.07140000000004</v>
      </c>
      <c r="E1128" s="10">
        <f t="shared" si="17"/>
        <v>0</v>
      </c>
      <c r="G1128" s="29">
        <v>45772</v>
      </c>
      <c r="H1128">
        <v>550.64</v>
      </c>
      <c r="I1128">
        <v>562.08979999999997</v>
      </c>
      <c r="J1128">
        <v>573.13459999999998</v>
      </c>
      <c r="K1128" s="10">
        <v>0</v>
      </c>
    </row>
    <row r="1129" spans="1:11" x14ac:dyDescent="0.4">
      <c r="A1129" s="25">
        <v>45777</v>
      </c>
      <c r="B1129" s="11">
        <v>554.54</v>
      </c>
      <c r="C1129" s="11">
        <v>558.66560000000004</v>
      </c>
      <c r="D1129" s="11">
        <v>573.04420000000005</v>
      </c>
      <c r="E1129" s="10">
        <f t="shared" si="17"/>
        <v>0</v>
      </c>
      <c r="G1129" s="29">
        <v>45775</v>
      </c>
      <c r="H1129">
        <v>550.85</v>
      </c>
      <c r="I1129">
        <v>560.91219999999998</v>
      </c>
      <c r="J1129">
        <v>573.08219999999994</v>
      </c>
      <c r="K1129" s="10">
        <v>0</v>
      </c>
    </row>
    <row r="1130" spans="1:11" x14ac:dyDescent="0.4">
      <c r="A1130" s="25">
        <v>45778</v>
      </c>
      <c r="B1130" s="11">
        <v>558.47</v>
      </c>
      <c r="C1130" s="11">
        <v>557.57640000000004</v>
      </c>
      <c r="D1130" s="11">
        <v>573.02880000000005</v>
      </c>
      <c r="E1130" s="10">
        <f t="shared" si="17"/>
        <v>0</v>
      </c>
      <c r="G1130" s="29">
        <v>45776</v>
      </c>
      <c r="H1130">
        <v>554.32000000000005</v>
      </c>
      <c r="I1130">
        <v>559.80460000000005</v>
      </c>
      <c r="J1130">
        <v>573.07140000000004</v>
      </c>
      <c r="K1130" s="10">
        <v>0</v>
      </c>
    </row>
    <row r="1131" spans="1:11" x14ac:dyDescent="0.4">
      <c r="A1131" s="25">
        <v>45779</v>
      </c>
      <c r="B1131" s="11">
        <v>566.76</v>
      </c>
      <c r="C1131" s="11">
        <v>556.70399999999995</v>
      </c>
      <c r="D1131" s="11">
        <v>573.03840000000002</v>
      </c>
      <c r="E1131" s="10">
        <f t="shared" si="17"/>
        <v>0</v>
      </c>
      <c r="G1131" s="29">
        <v>45777</v>
      </c>
      <c r="H1131">
        <v>554.54</v>
      </c>
      <c r="I1131">
        <v>558.66560000000004</v>
      </c>
      <c r="J1131">
        <v>573.04420000000005</v>
      </c>
      <c r="K1131" s="10">
        <v>0</v>
      </c>
    </row>
    <row r="1132" spans="1:11" x14ac:dyDescent="0.4">
      <c r="A1132" s="25">
        <v>45782</v>
      </c>
      <c r="B1132" s="11">
        <v>563.51</v>
      </c>
      <c r="C1132" s="11">
        <v>555.97540000000004</v>
      </c>
      <c r="D1132" s="11">
        <v>573.07119999999998</v>
      </c>
      <c r="E1132" s="10">
        <f t="shared" si="17"/>
        <v>0</v>
      </c>
      <c r="G1132" s="29">
        <v>45778</v>
      </c>
      <c r="H1132">
        <v>558.47</v>
      </c>
      <c r="I1132">
        <v>557.57640000000004</v>
      </c>
      <c r="J1132">
        <v>573.02880000000005</v>
      </c>
      <c r="K1132" s="10">
        <v>0</v>
      </c>
    </row>
    <row r="1133" spans="1:11" x14ac:dyDescent="0.4">
      <c r="A1133" s="25">
        <v>45783</v>
      </c>
      <c r="B1133" s="11">
        <v>558.79999999999995</v>
      </c>
      <c r="C1133" s="11">
        <v>555.20719999999994</v>
      </c>
      <c r="D1133" s="11">
        <v>573.1019</v>
      </c>
      <c r="E1133" s="10">
        <f t="shared" si="17"/>
        <v>0</v>
      </c>
      <c r="G1133" s="29">
        <v>45779</v>
      </c>
      <c r="H1133">
        <v>566.76</v>
      </c>
      <c r="I1133">
        <v>556.70399999999995</v>
      </c>
      <c r="J1133">
        <v>573.03840000000002</v>
      </c>
      <c r="K1133" s="10">
        <v>0</v>
      </c>
    </row>
    <row r="1134" spans="1:11" x14ac:dyDescent="0.4">
      <c r="A1134" s="25">
        <v>45784</v>
      </c>
      <c r="B1134" s="11">
        <v>561.15</v>
      </c>
      <c r="C1134" s="11">
        <v>554.54539999999997</v>
      </c>
      <c r="D1134" s="11">
        <v>573.16269999999997</v>
      </c>
      <c r="E1134" s="10">
        <f t="shared" si="17"/>
        <v>0</v>
      </c>
      <c r="G1134" s="29">
        <v>45782</v>
      </c>
      <c r="H1134">
        <v>563.51</v>
      </c>
      <c r="I1134">
        <v>555.97540000000004</v>
      </c>
      <c r="J1134">
        <v>573.07119999999998</v>
      </c>
      <c r="K1134" s="10">
        <v>0</v>
      </c>
    </row>
    <row r="1135" spans="1:11" x14ac:dyDescent="0.4">
      <c r="A1135" s="25">
        <v>45785</v>
      </c>
      <c r="B1135" s="11">
        <v>565.05999999999995</v>
      </c>
      <c r="C1135" s="11">
        <v>553.95579999999995</v>
      </c>
      <c r="D1135" s="11">
        <v>573.21479999999997</v>
      </c>
      <c r="E1135" s="10">
        <f t="shared" si="17"/>
        <v>0</v>
      </c>
      <c r="G1135" s="29">
        <v>45783</v>
      </c>
      <c r="H1135">
        <v>558.79999999999995</v>
      </c>
      <c r="I1135">
        <v>555.20719999999994</v>
      </c>
      <c r="J1135">
        <v>573.1019</v>
      </c>
      <c r="K1135" s="10">
        <v>0</v>
      </c>
    </row>
    <row r="1136" spans="1:11" x14ac:dyDescent="0.4">
      <c r="A1136" s="25">
        <v>45786</v>
      </c>
      <c r="B1136" s="11">
        <v>564.34</v>
      </c>
      <c r="C1136" s="11">
        <v>553.54160000000002</v>
      </c>
      <c r="D1136" s="11">
        <v>573.26760000000002</v>
      </c>
      <c r="E1136" s="10">
        <f t="shared" si="17"/>
        <v>0</v>
      </c>
      <c r="G1136" s="29">
        <v>45784</v>
      </c>
      <c r="H1136">
        <v>561.15</v>
      </c>
      <c r="I1136">
        <v>554.54539999999997</v>
      </c>
      <c r="J1136">
        <v>573.16269999999997</v>
      </c>
      <c r="K1136" s="10">
        <v>0</v>
      </c>
    </row>
    <row r="1137" spans="1:11" x14ac:dyDescent="0.4">
      <c r="A1137" s="25">
        <v>45789</v>
      </c>
      <c r="B1137" s="11">
        <v>582.99</v>
      </c>
      <c r="C1137" s="11">
        <v>553.31780000000003</v>
      </c>
      <c r="D1137" s="11">
        <v>573.47640000000001</v>
      </c>
      <c r="E1137" s="10">
        <f t="shared" si="17"/>
        <v>0</v>
      </c>
      <c r="G1137" s="29">
        <v>45785</v>
      </c>
      <c r="H1137">
        <v>565.05999999999995</v>
      </c>
      <c r="I1137">
        <v>553.95579999999995</v>
      </c>
      <c r="J1137">
        <v>573.21479999999997</v>
      </c>
      <c r="K1137" s="10">
        <v>0</v>
      </c>
    </row>
    <row r="1138" spans="1:11" x14ac:dyDescent="0.4">
      <c r="A1138" s="25">
        <v>45790</v>
      </c>
      <c r="B1138" s="11">
        <v>586.84</v>
      </c>
      <c r="C1138" s="11">
        <v>553.37919999999997</v>
      </c>
      <c r="D1138" s="11">
        <v>573.71849999999995</v>
      </c>
      <c r="E1138" s="10">
        <f t="shared" si="17"/>
        <v>0</v>
      </c>
      <c r="G1138" s="29">
        <v>45786</v>
      </c>
      <c r="H1138">
        <v>564.34</v>
      </c>
      <c r="I1138">
        <v>553.54160000000002</v>
      </c>
      <c r="J1138">
        <v>573.26760000000002</v>
      </c>
      <c r="K1138" s="10">
        <v>0</v>
      </c>
    </row>
    <row r="1139" spans="1:11" x14ac:dyDescent="0.4">
      <c r="A1139" s="25">
        <v>45791</v>
      </c>
      <c r="B1139" s="11">
        <v>587.59</v>
      </c>
      <c r="C1139" s="11">
        <v>553.59379999999999</v>
      </c>
      <c r="D1139" s="11">
        <v>573.93420000000003</v>
      </c>
      <c r="E1139" s="10">
        <f t="shared" si="17"/>
        <v>0</v>
      </c>
      <c r="G1139" s="29">
        <v>45789</v>
      </c>
      <c r="H1139">
        <v>582.99</v>
      </c>
      <c r="I1139">
        <v>553.31780000000003</v>
      </c>
      <c r="J1139">
        <v>573.47640000000001</v>
      </c>
      <c r="K1139" s="10">
        <v>0</v>
      </c>
    </row>
    <row r="1140" spans="1:11" x14ac:dyDescent="0.4">
      <c r="A1140" s="25">
        <v>45792</v>
      </c>
      <c r="B1140" s="11">
        <v>590.46</v>
      </c>
      <c r="C1140" s="11">
        <v>553.74180000000001</v>
      </c>
      <c r="D1140" s="11">
        <v>574.16279999999995</v>
      </c>
      <c r="E1140" s="10">
        <f t="shared" si="17"/>
        <v>0</v>
      </c>
      <c r="G1140" s="29">
        <v>45790</v>
      </c>
      <c r="H1140">
        <v>586.84</v>
      </c>
      <c r="I1140">
        <v>553.37919999999997</v>
      </c>
      <c r="J1140">
        <v>573.71849999999995</v>
      </c>
      <c r="K1140" s="10">
        <v>0</v>
      </c>
    </row>
    <row r="1141" spans="1:11" x14ac:dyDescent="0.4">
      <c r="A1141" s="25">
        <v>45793</v>
      </c>
      <c r="B1141" s="11">
        <v>594.20000000000005</v>
      </c>
      <c r="C1141" s="11">
        <v>554.17160000000001</v>
      </c>
      <c r="D1141" s="11">
        <v>574.42380000000003</v>
      </c>
      <c r="E1141" s="10">
        <f t="shared" si="17"/>
        <v>0</v>
      </c>
      <c r="G1141" s="29">
        <v>45791</v>
      </c>
      <c r="H1141">
        <v>587.59</v>
      </c>
      <c r="I1141">
        <v>553.59379999999999</v>
      </c>
      <c r="J1141">
        <v>573.93420000000003</v>
      </c>
      <c r="K1141" s="10">
        <v>0</v>
      </c>
    </row>
    <row r="1142" spans="1:11" x14ac:dyDescent="0.4">
      <c r="A1142" s="25">
        <v>45796</v>
      </c>
      <c r="B1142" s="11">
        <v>594.85</v>
      </c>
      <c r="C1142" s="11">
        <v>554.55020000000002</v>
      </c>
      <c r="D1142" s="11">
        <v>574.64400000000001</v>
      </c>
      <c r="E1142" s="10">
        <f t="shared" si="17"/>
        <v>0</v>
      </c>
      <c r="G1142" s="29">
        <v>45792</v>
      </c>
      <c r="H1142">
        <v>590.46</v>
      </c>
      <c r="I1142">
        <v>553.74180000000001</v>
      </c>
      <c r="J1142">
        <v>574.16279999999995</v>
      </c>
      <c r="K1142" s="10">
        <v>0</v>
      </c>
    </row>
    <row r="1143" spans="1:11" x14ac:dyDescent="0.4">
      <c r="A1143" s="25">
        <v>45797</v>
      </c>
      <c r="B1143" s="11">
        <v>592.85</v>
      </c>
      <c r="C1143" s="11">
        <v>555.19560000000001</v>
      </c>
      <c r="D1143" s="11">
        <v>574.89319999999998</v>
      </c>
      <c r="E1143" s="10">
        <f t="shared" si="17"/>
        <v>0</v>
      </c>
      <c r="G1143" s="29">
        <v>45793</v>
      </c>
      <c r="H1143">
        <v>594.20000000000005</v>
      </c>
      <c r="I1143">
        <v>554.17160000000001</v>
      </c>
      <c r="J1143">
        <v>574.42380000000003</v>
      </c>
      <c r="K1143" s="10">
        <v>0</v>
      </c>
    </row>
    <row r="1144" spans="1:11" x14ac:dyDescent="0.4">
      <c r="A1144" s="25">
        <v>45798</v>
      </c>
      <c r="B1144" s="11">
        <v>582.86</v>
      </c>
      <c r="C1144" s="11">
        <v>555.73440000000005</v>
      </c>
      <c r="D1144" s="11">
        <v>575.14300000000003</v>
      </c>
      <c r="E1144" s="10">
        <f t="shared" si="17"/>
        <v>0</v>
      </c>
      <c r="G1144" s="29">
        <v>45796</v>
      </c>
      <c r="H1144">
        <v>594.85</v>
      </c>
      <c r="I1144">
        <v>554.55020000000002</v>
      </c>
      <c r="J1144">
        <v>574.64400000000001</v>
      </c>
      <c r="K1144" s="10">
        <v>0</v>
      </c>
    </row>
    <row r="1145" spans="1:11" x14ac:dyDescent="0.4">
      <c r="A1145" s="25">
        <v>45799</v>
      </c>
      <c r="B1145" s="11">
        <v>583.09</v>
      </c>
      <c r="C1145" s="11">
        <v>556.21879999999999</v>
      </c>
      <c r="D1145" s="11">
        <v>575.47149999999999</v>
      </c>
      <c r="E1145" s="10">
        <f t="shared" si="17"/>
        <v>0</v>
      </c>
      <c r="G1145" s="29">
        <v>45797</v>
      </c>
      <c r="H1145">
        <v>592.85</v>
      </c>
      <c r="I1145">
        <v>555.19560000000001</v>
      </c>
      <c r="J1145">
        <v>574.89319999999998</v>
      </c>
      <c r="K1145" s="10">
        <v>0</v>
      </c>
    </row>
    <row r="1146" spans="1:11" x14ac:dyDescent="0.4">
      <c r="A1146" s="25">
        <v>45800</v>
      </c>
      <c r="B1146" s="11">
        <v>579.11</v>
      </c>
      <c r="C1146" s="11">
        <v>556.77260000000001</v>
      </c>
      <c r="D1146" s="11">
        <v>575.75630000000001</v>
      </c>
      <c r="E1146" s="10">
        <f t="shared" si="17"/>
        <v>0</v>
      </c>
      <c r="G1146" s="29">
        <v>45798</v>
      </c>
      <c r="H1146">
        <v>582.86</v>
      </c>
      <c r="I1146">
        <v>555.73440000000005</v>
      </c>
      <c r="J1146">
        <v>575.14300000000003</v>
      </c>
      <c r="K1146" s="10">
        <v>0</v>
      </c>
    </row>
    <row r="1147" spans="1:11" x14ac:dyDescent="0.4">
      <c r="A1147" s="25">
        <v>45804</v>
      </c>
      <c r="B1147" s="11">
        <v>591.15</v>
      </c>
      <c r="C1147" s="11">
        <v>557.33939999999996</v>
      </c>
      <c r="D1147" s="11">
        <v>576.11879999999996</v>
      </c>
      <c r="E1147" s="10">
        <f t="shared" si="17"/>
        <v>0</v>
      </c>
      <c r="G1147" s="29">
        <v>45799</v>
      </c>
      <c r="H1147">
        <v>583.09</v>
      </c>
      <c r="I1147">
        <v>556.21879999999999</v>
      </c>
      <c r="J1147">
        <v>575.47149999999999</v>
      </c>
      <c r="K1147" s="10">
        <v>0</v>
      </c>
    </row>
    <row r="1148" spans="1:11" x14ac:dyDescent="0.4">
      <c r="A1148" s="25">
        <v>45805</v>
      </c>
      <c r="B1148" s="11">
        <v>587.73</v>
      </c>
      <c r="C1148" s="11">
        <v>557.75099999999998</v>
      </c>
      <c r="D1148" s="11">
        <v>576.40419999999995</v>
      </c>
      <c r="E1148" s="10">
        <f t="shared" si="17"/>
        <v>0</v>
      </c>
      <c r="G1148" s="29">
        <v>45800</v>
      </c>
      <c r="H1148">
        <v>579.11</v>
      </c>
      <c r="I1148">
        <v>556.77260000000001</v>
      </c>
      <c r="J1148">
        <v>575.75630000000001</v>
      </c>
      <c r="K1148" s="10">
        <v>0</v>
      </c>
    </row>
    <row r="1149" spans="1:11" x14ac:dyDescent="0.4">
      <c r="A1149" s="25">
        <v>45806</v>
      </c>
      <c r="B1149" s="11">
        <v>590.04999999999995</v>
      </c>
      <c r="C1149" s="11">
        <v>558.33159999999998</v>
      </c>
      <c r="D1149" s="11">
        <v>576.68939999999998</v>
      </c>
      <c r="E1149" s="10">
        <f t="shared" si="17"/>
        <v>0</v>
      </c>
      <c r="G1149" s="29">
        <v>45804</v>
      </c>
      <c r="H1149">
        <v>591.15</v>
      </c>
      <c r="I1149">
        <v>557.33939999999996</v>
      </c>
      <c r="J1149">
        <v>576.11879999999996</v>
      </c>
      <c r="K1149" s="10">
        <v>0</v>
      </c>
    </row>
    <row r="1150" spans="1:11" x14ac:dyDescent="0.4">
      <c r="A1150" s="25">
        <v>45807</v>
      </c>
      <c r="B1150" s="11">
        <v>589.39</v>
      </c>
      <c r="C1150" s="11">
        <v>558.77679999999998</v>
      </c>
      <c r="D1150" s="11">
        <v>576.97</v>
      </c>
      <c r="E1150" s="10">
        <f t="shared" si="17"/>
        <v>0</v>
      </c>
      <c r="G1150" s="29">
        <v>45805</v>
      </c>
      <c r="H1150">
        <v>587.73</v>
      </c>
      <c r="I1150">
        <v>557.75099999999998</v>
      </c>
      <c r="J1150">
        <v>576.40419999999995</v>
      </c>
      <c r="K1150" s="10">
        <v>0</v>
      </c>
    </row>
    <row r="1151" spans="1:11" x14ac:dyDescent="0.4">
      <c r="A1151" s="25">
        <v>45810</v>
      </c>
      <c r="B1151" s="11">
        <v>592.71</v>
      </c>
      <c r="C1151" s="11">
        <v>559.32119999999998</v>
      </c>
      <c r="D1151" s="11">
        <v>577.22339999999997</v>
      </c>
      <c r="E1151" s="10">
        <f t="shared" si="17"/>
        <v>0</v>
      </c>
      <c r="G1151" s="29">
        <v>45806</v>
      </c>
      <c r="H1151">
        <v>590.04999999999995</v>
      </c>
      <c r="I1151">
        <v>558.33159999999998</v>
      </c>
      <c r="J1151">
        <v>576.68939999999998</v>
      </c>
      <c r="K1151" s="10">
        <v>0</v>
      </c>
    </row>
    <row r="1152" spans="1:11" x14ac:dyDescent="0.4">
      <c r="A1152" s="25">
        <v>45811</v>
      </c>
      <c r="B1152" s="11">
        <v>596.09</v>
      </c>
      <c r="C1152" s="11">
        <v>559.96339999999998</v>
      </c>
      <c r="D1152" s="11">
        <v>577.48509999999999</v>
      </c>
      <c r="E1152" s="10">
        <f t="shared" si="17"/>
        <v>0</v>
      </c>
      <c r="G1152" s="29">
        <v>45807</v>
      </c>
      <c r="H1152">
        <v>589.39</v>
      </c>
      <c r="I1152">
        <v>558.77679999999998</v>
      </c>
      <c r="J1152">
        <v>576.97</v>
      </c>
      <c r="K1152" s="10">
        <v>0</v>
      </c>
    </row>
    <row r="1153" spans="1:11" x14ac:dyDescent="0.4">
      <c r="A1153" s="25">
        <v>45812</v>
      </c>
      <c r="B1153" s="11">
        <v>595.92999999999995</v>
      </c>
      <c r="C1153" s="11">
        <v>560.40039999999999</v>
      </c>
      <c r="D1153" s="11">
        <v>577.69939999999997</v>
      </c>
      <c r="E1153" s="10">
        <f t="shared" si="17"/>
        <v>0</v>
      </c>
      <c r="G1153" s="29">
        <v>45810</v>
      </c>
      <c r="H1153">
        <v>592.71</v>
      </c>
      <c r="I1153">
        <v>559.32119999999998</v>
      </c>
      <c r="J1153">
        <v>577.22339999999997</v>
      </c>
      <c r="K1153" s="10">
        <v>0</v>
      </c>
    </row>
    <row r="1154" spans="1:11" x14ac:dyDescent="0.4">
      <c r="A1154" s="25">
        <v>45813</v>
      </c>
      <c r="B1154" s="11">
        <v>593.04999999999995</v>
      </c>
      <c r="C1154" s="11">
        <v>560.75220000000002</v>
      </c>
      <c r="D1154" s="11">
        <v>577.8931</v>
      </c>
      <c r="E1154" s="10">
        <f t="shared" si="17"/>
        <v>0</v>
      </c>
      <c r="G1154" s="29">
        <v>45811</v>
      </c>
      <c r="H1154">
        <v>596.09</v>
      </c>
      <c r="I1154">
        <v>559.96339999999998</v>
      </c>
      <c r="J1154">
        <v>577.48509999999999</v>
      </c>
      <c r="K1154" s="10">
        <v>0</v>
      </c>
    </row>
    <row r="1155" spans="1:11" x14ac:dyDescent="0.4">
      <c r="A1155" s="25">
        <v>45814</v>
      </c>
      <c r="B1155" s="11">
        <v>599.14</v>
      </c>
      <c r="C1155" s="11">
        <v>561.36320000000001</v>
      </c>
      <c r="D1155" s="11">
        <v>578.09079999999994</v>
      </c>
      <c r="E1155" s="10">
        <f t="shared" ref="E1155:E1218" si="18">IF(AND(C1155&gt;D1155, C1154&lt;D1154), 1, 0)</f>
        <v>0</v>
      </c>
      <c r="G1155" s="29">
        <v>45812</v>
      </c>
      <c r="H1155">
        <v>595.92999999999995</v>
      </c>
      <c r="I1155">
        <v>560.40039999999999</v>
      </c>
      <c r="J1155">
        <v>577.69939999999997</v>
      </c>
      <c r="K1155" s="10">
        <v>0</v>
      </c>
    </row>
    <row r="1156" spans="1:11" x14ac:dyDescent="0.4">
      <c r="A1156" s="25">
        <v>45817</v>
      </c>
      <c r="B1156" s="11">
        <v>599.67999999999995</v>
      </c>
      <c r="C1156" s="11">
        <v>562.01520000000005</v>
      </c>
      <c r="D1156" s="11">
        <v>578.29560000000004</v>
      </c>
      <c r="E1156" s="10">
        <f t="shared" si="18"/>
        <v>0</v>
      </c>
      <c r="G1156" s="29">
        <v>45813</v>
      </c>
      <c r="H1156">
        <v>593.04999999999995</v>
      </c>
      <c r="I1156">
        <v>560.75220000000002</v>
      </c>
      <c r="J1156">
        <v>577.8931</v>
      </c>
      <c r="K1156" s="10">
        <v>0</v>
      </c>
    </row>
    <row r="1157" spans="1:11" x14ac:dyDescent="0.4">
      <c r="A1157" s="25">
        <v>45818</v>
      </c>
      <c r="B1157" s="11">
        <v>603.08000000000004</v>
      </c>
      <c r="C1157" s="11">
        <v>562.96360000000004</v>
      </c>
      <c r="D1157" s="11">
        <v>578.50800000000004</v>
      </c>
      <c r="E1157" s="10">
        <f t="shared" si="18"/>
        <v>0</v>
      </c>
      <c r="G1157" s="29">
        <v>45814</v>
      </c>
      <c r="H1157">
        <v>599.14</v>
      </c>
      <c r="I1157">
        <v>561.36320000000001</v>
      </c>
      <c r="J1157">
        <v>578.09079999999994</v>
      </c>
      <c r="K1157" s="10">
        <v>0</v>
      </c>
    </row>
    <row r="1158" spans="1:11" x14ac:dyDescent="0.4">
      <c r="A1158" s="25">
        <v>45819</v>
      </c>
      <c r="B1158" s="11">
        <v>601.36</v>
      </c>
      <c r="C1158" s="11">
        <v>563.803</v>
      </c>
      <c r="D1158" s="11">
        <v>578.73360000000002</v>
      </c>
      <c r="E1158" s="10">
        <f t="shared" si="18"/>
        <v>0</v>
      </c>
      <c r="G1158" s="29">
        <v>45817</v>
      </c>
      <c r="H1158">
        <v>599.67999999999995</v>
      </c>
      <c r="I1158">
        <v>562.01520000000005</v>
      </c>
      <c r="J1158">
        <v>578.29560000000004</v>
      </c>
      <c r="K1158" s="10">
        <v>0</v>
      </c>
    </row>
    <row r="1159" spans="1:11" x14ac:dyDescent="0.4">
      <c r="A1159" s="25">
        <v>45820</v>
      </c>
      <c r="B1159" s="11">
        <v>603.75</v>
      </c>
      <c r="C1159" s="11">
        <v>564.65859999999998</v>
      </c>
      <c r="D1159" s="11">
        <v>578.94179999999994</v>
      </c>
      <c r="E1159" s="10">
        <f t="shared" si="18"/>
        <v>0</v>
      </c>
      <c r="G1159" s="29">
        <v>45818</v>
      </c>
      <c r="H1159">
        <v>603.08000000000004</v>
      </c>
      <c r="I1159">
        <v>562.96360000000004</v>
      </c>
      <c r="J1159">
        <v>578.50800000000004</v>
      </c>
      <c r="K1159" s="10">
        <v>0</v>
      </c>
    </row>
    <row r="1160" spans="1:11" x14ac:dyDescent="0.4">
      <c r="A1160" s="25">
        <v>45821</v>
      </c>
      <c r="B1160" s="11">
        <v>597</v>
      </c>
      <c r="C1160" s="11">
        <v>565.30820000000006</v>
      </c>
      <c r="D1160" s="11">
        <v>579.12279999999998</v>
      </c>
      <c r="E1160" s="10">
        <f t="shared" si="18"/>
        <v>0</v>
      </c>
      <c r="G1160" s="29">
        <v>45819</v>
      </c>
      <c r="H1160">
        <v>601.36</v>
      </c>
      <c r="I1160">
        <v>563.803</v>
      </c>
      <c r="J1160">
        <v>578.73360000000002</v>
      </c>
      <c r="K1160" s="10">
        <v>0</v>
      </c>
    </row>
    <row r="1161" spans="1:11" x14ac:dyDescent="0.4">
      <c r="A1161" s="25">
        <v>45824</v>
      </c>
      <c r="B1161" s="11">
        <v>602.67999999999995</v>
      </c>
      <c r="C1161" s="11">
        <v>566.62779999999998</v>
      </c>
      <c r="D1161" s="11">
        <v>579.32839999999999</v>
      </c>
      <c r="E1161" s="10">
        <f t="shared" si="18"/>
        <v>0</v>
      </c>
      <c r="G1161" s="29">
        <v>45820</v>
      </c>
      <c r="H1161">
        <v>603.75</v>
      </c>
      <c r="I1161">
        <v>564.65859999999998</v>
      </c>
      <c r="J1161">
        <v>578.94179999999994</v>
      </c>
      <c r="K1161" s="10">
        <v>0</v>
      </c>
    </row>
    <row r="1162" spans="1:11" x14ac:dyDescent="0.4">
      <c r="A1162" s="25">
        <v>45825</v>
      </c>
      <c r="B1162" s="11">
        <v>597.53</v>
      </c>
      <c r="C1162" s="11">
        <v>568.47280000000001</v>
      </c>
      <c r="D1162" s="11">
        <v>579.52459999999996</v>
      </c>
      <c r="E1162" s="10">
        <f t="shared" si="18"/>
        <v>0</v>
      </c>
      <c r="G1162" s="29">
        <v>45821</v>
      </c>
      <c r="H1162">
        <v>597</v>
      </c>
      <c r="I1162">
        <v>565.30820000000006</v>
      </c>
      <c r="J1162">
        <v>579.12279999999998</v>
      </c>
      <c r="K1162" s="10">
        <v>0</v>
      </c>
    </row>
    <row r="1163" spans="1:11" x14ac:dyDescent="0.4">
      <c r="A1163" s="25">
        <v>45826</v>
      </c>
      <c r="B1163" s="11">
        <v>597.44000000000005</v>
      </c>
      <c r="C1163" s="11">
        <v>570.33399999999995</v>
      </c>
      <c r="D1163" s="11">
        <v>579.72</v>
      </c>
      <c r="E1163" s="10">
        <f t="shared" si="18"/>
        <v>0</v>
      </c>
      <c r="G1163" s="29">
        <v>45824</v>
      </c>
      <c r="H1163">
        <v>602.67999999999995</v>
      </c>
      <c r="I1163">
        <v>566.62779999999998</v>
      </c>
      <c r="J1163">
        <v>579.32839999999999</v>
      </c>
      <c r="K1163" s="10">
        <v>0</v>
      </c>
    </row>
    <row r="1164" spans="1:11" x14ac:dyDescent="0.4">
      <c r="A1164" s="25">
        <v>45828</v>
      </c>
      <c r="B1164" s="11">
        <v>594.28</v>
      </c>
      <c r="C1164" s="11">
        <v>572.29</v>
      </c>
      <c r="D1164" s="11">
        <v>579.87300000000005</v>
      </c>
      <c r="E1164" s="10">
        <f t="shared" si="18"/>
        <v>0</v>
      </c>
      <c r="G1164" s="29">
        <v>45825</v>
      </c>
      <c r="H1164">
        <v>597.53</v>
      </c>
      <c r="I1164">
        <v>568.47280000000001</v>
      </c>
      <c r="J1164">
        <v>579.52459999999996</v>
      </c>
      <c r="K1164" s="10">
        <v>0</v>
      </c>
    </row>
    <row r="1165" spans="1:11" x14ac:dyDescent="0.4">
      <c r="A1165" s="25">
        <v>45831</v>
      </c>
      <c r="B1165" s="11">
        <v>600.15</v>
      </c>
      <c r="C1165" s="11">
        <v>573.32060000000001</v>
      </c>
      <c r="D1165" s="11">
        <v>580.11339999999996</v>
      </c>
      <c r="E1165" s="10">
        <f t="shared" si="18"/>
        <v>0</v>
      </c>
      <c r="G1165" s="29">
        <v>45826</v>
      </c>
      <c r="H1165">
        <v>597.44000000000005</v>
      </c>
      <c r="I1165">
        <v>570.33399999999995</v>
      </c>
      <c r="J1165">
        <v>579.72</v>
      </c>
      <c r="K1165" s="10">
        <v>0</v>
      </c>
    </row>
    <row r="1166" spans="1:11" x14ac:dyDescent="0.4">
      <c r="A1166" s="25">
        <v>45832</v>
      </c>
      <c r="B1166" s="11">
        <v>606.78</v>
      </c>
      <c r="C1166" s="11">
        <v>574.96460000000002</v>
      </c>
      <c r="D1166" s="11">
        <v>580.39250000000004</v>
      </c>
      <c r="E1166" s="10">
        <f t="shared" si="18"/>
        <v>0</v>
      </c>
      <c r="G1166" s="29">
        <v>45828</v>
      </c>
      <c r="H1166">
        <v>594.28</v>
      </c>
      <c r="I1166">
        <v>572.29</v>
      </c>
      <c r="J1166">
        <v>579.87300000000005</v>
      </c>
      <c r="K1166" s="10">
        <v>0</v>
      </c>
    </row>
    <row r="1167" spans="1:11" x14ac:dyDescent="0.4">
      <c r="A1167" s="25">
        <v>45833</v>
      </c>
      <c r="B1167" s="11">
        <v>607.12</v>
      </c>
      <c r="C1167" s="11">
        <v>576.42819999999995</v>
      </c>
      <c r="D1167" s="11">
        <v>580.67999999999995</v>
      </c>
      <c r="E1167" s="10">
        <f t="shared" si="18"/>
        <v>0</v>
      </c>
      <c r="G1167" s="29">
        <v>45831</v>
      </c>
      <c r="H1167">
        <v>600.15</v>
      </c>
      <c r="I1167">
        <v>573.32060000000001</v>
      </c>
      <c r="J1167">
        <v>580.11339999999996</v>
      </c>
      <c r="K1167" s="10">
        <v>0</v>
      </c>
    </row>
    <row r="1168" spans="1:11" x14ac:dyDescent="0.4">
      <c r="A1168" s="25">
        <v>45834</v>
      </c>
      <c r="B1168" s="11">
        <v>611.87</v>
      </c>
      <c r="C1168" s="11">
        <v>577.88319999999999</v>
      </c>
      <c r="D1168" s="11">
        <v>581.0376</v>
      </c>
      <c r="E1168" s="10">
        <f t="shared" si="18"/>
        <v>0</v>
      </c>
      <c r="G1168" s="29">
        <v>45832</v>
      </c>
      <c r="H1168">
        <v>606.78</v>
      </c>
      <c r="I1168">
        <v>574.96460000000002</v>
      </c>
      <c r="J1168">
        <v>580.39250000000004</v>
      </c>
      <c r="K1168" s="10">
        <v>0</v>
      </c>
    </row>
    <row r="1169" spans="1:11" x14ac:dyDescent="0.4">
      <c r="A1169" s="25">
        <v>45835</v>
      </c>
      <c r="B1169" s="11">
        <v>614.91</v>
      </c>
      <c r="C1169" s="11">
        <v>579.42920000000004</v>
      </c>
      <c r="D1169" s="11">
        <v>581.38009999999997</v>
      </c>
      <c r="E1169" s="10">
        <f t="shared" si="18"/>
        <v>0</v>
      </c>
      <c r="G1169" s="29">
        <v>45833</v>
      </c>
      <c r="H1169">
        <v>607.12</v>
      </c>
      <c r="I1169">
        <v>576.42819999999995</v>
      </c>
      <c r="J1169">
        <v>580.67999999999995</v>
      </c>
      <c r="K1169" s="10">
        <v>0</v>
      </c>
    </row>
    <row r="1170" spans="1:11" x14ac:dyDescent="0.4">
      <c r="A1170" s="25">
        <v>45838</v>
      </c>
      <c r="B1170" s="11">
        <v>617.85</v>
      </c>
      <c r="C1170" s="11">
        <v>581.27300000000002</v>
      </c>
      <c r="D1170" s="11">
        <v>581.72540000000004</v>
      </c>
      <c r="E1170" s="10">
        <f t="shared" si="18"/>
        <v>0</v>
      </c>
      <c r="G1170" s="29">
        <v>45834</v>
      </c>
      <c r="H1170">
        <v>611.87</v>
      </c>
      <c r="I1170">
        <v>577.88319999999999</v>
      </c>
      <c r="J1170">
        <v>581.0376</v>
      </c>
      <c r="K1170" s="10">
        <v>0</v>
      </c>
    </row>
    <row r="1171" spans="1:11" x14ac:dyDescent="0.4">
      <c r="A1171" s="25">
        <v>45839</v>
      </c>
      <c r="B1171" s="11">
        <v>617.65</v>
      </c>
      <c r="C1171" s="11">
        <v>583.09780000000001</v>
      </c>
      <c r="D1171" s="11">
        <v>582.04160000000002</v>
      </c>
      <c r="E1171" s="10">
        <f t="shared" si="18"/>
        <v>1</v>
      </c>
      <c r="G1171" s="29">
        <v>45835</v>
      </c>
      <c r="H1171">
        <v>614.91</v>
      </c>
      <c r="I1171">
        <v>579.42920000000004</v>
      </c>
      <c r="J1171">
        <v>581.38009999999997</v>
      </c>
      <c r="K1171" s="10">
        <v>0</v>
      </c>
    </row>
    <row r="1172" spans="1:11" x14ac:dyDescent="0.4">
      <c r="A1172" s="25">
        <v>45840</v>
      </c>
      <c r="B1172" s="11">
        <v>620.45000000000005</v>
      </c>
      <c r="C1172" s="11">
        <v>585.22919999999999</v>
      </c>
      <c r="D1172" s="11">
        <v>582.34839999999997</v>
      </c>
      <c r="E1172" s="10">
        <f t="shared" si="18"/>
        <v>0</v>
      </c>
      <c r="G1172" s="29">
        <v>45838</v>
      </c>
      <c r="H1172">
        <v>617.85</v>
      </c>
      <c r="I1172">
        <v>581.27300000000002</v>
      </c>
      <c r="J1172">
        <v>581.72540000000004</v>
      </c>
      <c r="K1172" s="10">
        <v>0</v>
      </c>
    </row>
    <row r="1173" spans="1:11" x14ac:dyDescent="0.4">
      <c r="A1173" s="25">
        <v>45841</v>
      </c>
      <c r="B1173" s="11">
        <v>625.34</v>
      </c>
      <c r="C1173" s="11">
        <v>587.19100000000003</v>
      </c>
      <c r="D1173" s="11">
        <v>582.66499999999996</v>
      </c>
      <c r="E1173" s="10">
        <f t="shared" si="18"/>
        <v>0</v>
      </c>
      <c r="G1173" s="29">
        <v>45839</v>
      </c>
      <c r="H1173">
        <v>617.65</v>
      </c>
      <c r="I1173">
        <v>583.09780000000001</v>
      </c>
      <c r="J1173">
        <v>582.04160000000002</v>
      </c>
      <c r="K1173" s="10">
        <v>1</v>
      </c>
    </row>
    <row r="1174" spans="1:11" x14ac:dyDescent="0.4">
      <c r="A1174" s="25">
        <v>45845</v>
      </c>
      <c r="B1174" s="11">
        <v>620.67999999999995</v>
      </c>
      <c r="C1174" s="11">
        <v>588.89620000000002</v>
      </c>
      <c r="D1174" s="11">
        <v>582.95420000000001</v>
      </c>
      <c r="E1174" s="10">
        <f t="shared" si="18"/>
        <v>0</v>
      </c>
      <c r="G1174" s="29">
        <v>45840</v>
      </c>
      <c r="H1174">
        <v>620.45000000000005</v>
      </c>
      <c r="I1174">
        <v>585.22919999999999</v>
      </c>
      <c r="J1174">
        <v>582.34839999999997</v>
      </c>
      <c r="K1174" s="10">
        <v>0</v>
      </c>
    </row>
    <row r="1175" spans="1:11" x14ac:dyDescent="0.4">
      <c r="A1175" s="25">
        <v>45846</v>
      </c>
      <c r="B1175" s="11">
        <v>620.34</v>
      </c>
      <c r="C1175" s="11">
        <v>590.36919999999998</v>
      </c>
      <c r="D1175" s="11">
        <v>583.24059999999997</v>
      </c>
      <c r="E1175" s="10">
        <f t="shared" si="18"/>
        <v>0</v>
      </c>
      <c r="G1175" s="29">
        <v>45841</v>
      </c>
      <c r="H1175">
        <v>625.34</v>
      </c>
      <c r="I1175">
        <v>587.19100000000003</v>
      </c>
      <c r="J1175">
        <v>582.66499999999996</v>
      </c>
      <c r="K1175" s="10">
        <v>0</v>
      </c>
    </row>
    <row r="1176" spans="1:11" x14ac:dyDescent="0.4">
      <c r="A1176" s="25">
        <v>45847</v>
      </c>
      <c r="B1176" s="11">
        <v>624.05999999999995</v>
      </c>
      <c r="C1176" s="11">
        <v>591.83759999999995</v>
      </c>
      <c r="D1176" s="11">
        <v>583.55380000000002</v>
      </c>
      <c r="E1176" s="10">
        <f t="shared" si="18"/>
        <v>0</v>
      </c>
      <c r="G1176" s="29">
        <v>45845</v>
      </c>
      <c r="H1176">
        <v>620.67999999999995</v>
      </c>
      <c r="I1176">
        <v>588.89620000000002</v>
      </c>
      <c r="J1176">
        <v>582.95420000000001</v>
      </c>
      <c r="K1176" s="10">
        <v>0</v>
      </c>
    </row>
    <row r="1177" spans="1:11" x14ac:dyDescent="0.4">
      <c r="A1177" s="25">
        <v>45848</v>
      </c>
      <c r="B1177" s="11">
        <v>625.82000000000005</v>
      </c>
      <c r="C1177" s="11">
        <v>593.33699999999999</v>
      </c>
      <c r="D1177" s="11">
        <v>583.82799999999997</v>
      </c>
      <c r="E1177" s="10">
        <f t="shared" si="18"/>
        <v>0</v>
      </c>
      <c r="G1177" s="29">
        <v>45846</v>
      </c>
      <c r="H1177">
        <v>620.34</v>
      </c>
      <c r="I1177">
        <v>590.36919999999998</v>
      </c>
      <c r="J1177">
        <v>583.24059999999997</v>
      </c>
      <c r="K1177" s="10">
        <v>0</v>
      </c>
    </row>
    <row r="1178" spans="1:11" x14ac:dyDescent="0.4">
      <c r="A1178" s="25">
        <v>45849</v>
      </c>
      <c r="B1178" s="11">
        <v>623.62</v>
      </c>
      <c r="C1178" s="11">
        <v>594.72299999999996</v>
      </c>
      <c r="D1178" s="11">
        <v>584.10490000000004</v>
      </c>
      <c r="E1178" s="10">
        <f t="shared" si="18"/>
        <v>0</v>
      </c>
      <c r="G1178" s="29">
        <v>45847</v>
      </c>
      <c r="H1178">
        <v>624.05999999999995</v>
      </c>
      <c r="I1178">
        <v>591.83759999999995</v>
      </c>
      <c r="J1178">
        <v>583.55380000000002</v>
      </c>
      <c r="K1178" s="10">
        <v>0</v>
      </c>
    </row>
    <row r="1179" spans="1:11" x14ac:dyDescent="0.4">
      <c r="A1179" s="25">
        <v>45852</v>
      </c>
      <c r="B1179" s="11">
        <v>624.80999999999995</v>
      </c>
      <c r="C1179" s="11">
        <v>596.12840000000006</v>
      </c>
      <c r="D1179" s="11">
        <v>584.38059999999996</v>
      </c>
      <c r="E1179" s="10">
        <f t="shared" si="18"/>
        <v>0</v>
      </c>
      <c r="G1179" s="29">
        <v>45848</v>
      </c>
      <c r="H1179">
        <v>625.82000000000005</v>
      </c>
      <c r="I1179">
        <v>593.33699999999999</v>
      </c>
      <c r="J1179">
        <v>583.82799999999997</v>
      </c>
      <c r="K1179" s="10">
        <v>0</v>
      </c>
    </row>
    <row r="1180" spans="1:11" x14ac:dyDescent="0.4">
      <c r="A1180" s="25">
        <v>45853</v>
      </c>
      <c r="B1180" s="11">
        <v>622.14</v>
      </c>
      <c r="C1180" s="11">
        <v>597.40179999999998</v>
      </c>
      <c r="D1180" s="11">
        <v>584.63480000000004</v>
      </c>
      <c r="E1180" s="10">
        <f t="shared" si="18"/>
        <v>0</v>
      </c>
      <c r="G1180" s="29">
        <v>45849</v>
      </c>
      <c r="H1180">
        <v>623.62</v>
      </c>
      <c r="I1180">
        <v>594.72299999999996</v>
      </c>
      <c r="J1180">
        <v>584.10490000000004</v>
      </c>
      <c r="K1180" s="10">
        <v>0</v>
      </c>
    </row>
    <row r="1181" spans="1:11" x14ac:dyDescent="0.4">
      <c r="A1181" s="25">
        <v>45854</v>
      </c>
      <c r="B1181" s="11">
        <v>624.22</v>
      </c>
      <c r="C1181" s="11">
        <v>598.55100000000004</v>
      </c>
      <c r="D1181" s="11">
        <v>584.90570000000002</v>
      </c>
      <c r="E1181" s="10">
        <f t="shared" si="18"/>
        <v>0</v>
      </c>
      <c r="G1181" s="29">
        <v>45852</v>
      </c>
      <c r="H1181">
        <v>624.80999999999995</v>
      </c>
      <c r="I1181">
        <v>596.12840000000006</v>
      </c>
      <c r="J1181">
        <v>584.38059999999996</v>
      </c>
      <c r="K1181" s="10">
        <v>0</v>
      </c>
    </row>
    <row r="1182" spans="1:11" x14ac:dyDescent="0.4">
      <c r="A1182" s="25">
        <v>45855</v>
      </c>
      <c r="B1182" s="11">
        <v>628.04</v>
      </c>
      <c r="C1182" s="11">
        <v>599.84159999999997</v>
      </c>
      <c r="D1182" s="11">
        <v>585.18439999999998</v>
      </c>
      <c r="E1182" s="10">
        <f t="shared" si="18"/>
        <v>0</v>
      </c>
      <c r="G1182" s="29">
        <v>45853</v>
      </c>
      <c r="H1182">
        <v>622.14</v>
      </c>
      <c r="I1182">
        <v>597.40179999999998</v>
      </c>
      <c r="J1182">
        <v>584.63480000000004</v>
      </c>
      <c r="K1182" s="10">
        <v>0</v>
      </c>
    </row>
    <row r="1183" spans="1:11" x14ac:dyDescent="0.4">
      <c r="A1183" s="25">
        <v>45856</v>
      </c>
      <c r="B1183" s="11">
        <v>627.58000000000004</v>
      </c>
      <c r="C1183" s="11">
        <v>601.21720000000005</v>
      </c>
      <c r="D1183" s="11">
        <v>585.46500000000003</v>
      </c>
      <c r="E1183" s="10">
        <f t="shared" si="18"/>
        <v>0</v>
      </c>
      <c r="G1183" s="29">
        <v>45854</v>
      </c>
      <c r="H1183">
        <v>624.22</v>
      </c>
      <c r="I1183">
        <v>598.55100000000004</v>
      </c>
      <c r="J1183">
        <v>584.90570000000002</v>
      </c>
      <c r="K1183" s="10">
        <v>0</v>
      </c>
    </row>
    <row r="1184" spans="1:11" x14ac:dyDescent="0.4">
      <c r="A1184" s="25">
        <v>45859</v>
      </c>
      <c r="B1184" s="11">
        <v>628.77</v>
      </c>
      <c r="C1184" s="11">
        <v>602.56960000000004</v>
      </c>
      <c r="D1184" s="11">
        <v>585.74</v>
      </c>
      <c r="E1184" s="10">
        <f t="shared" si="18"/>
        <v>0</v>
      </c>
      <c r="G1184" s="29">
        <v>45855</v>
      </c>
      <c r="H1184">
        <v>628.04</v>
      </c>
      <c r="I1184">
        <v>599.84159999999997</v>
      </c>
      <c r="J1184">
        <v>585.18439999999998</v>
      </c>
      <c r="K1184" s="10">
        <v>0</v>
      </c>
    </row>
    <row r="1185" spans="1:11" x14ac:dyDescent="0.4">
      <c r="A1185" s="25">
        <v>45860</v>
      </c>
      <c r="B1185" s="11">
        <v>628.86</v>
      </c>
      <c r="C1185" s="11">
        <v>603.84559999999999</v>
      </c>
      <c r="D1185" s="11">
        <v>586.0412</v>
      </c>
      <c r="E1185" s="10">
        <f t="shared" si="18"/>
        <v>0</v>
      </c>
      <c r="G1185" s="29">
        <v>45856</v>
      </c>
      <c r="H1185">
        <v>627.58000000000004</v>
      </c>
      <c r="I1185">
        <v>601.21720000000005</v>
      </c>
      <c r="J1185">
        <v>585.46500000000003</v>
      </c>
      <c r="K1185" s="10">
        <v>0</v>
      </c>
    </row>
    <row r="1186" spans="1:11" x14ac:dyDescent="0.4">
      <c r="A1186" s="25">
        <v>45861</v>
      </c>
      <c r="B1186" s="11">
        <v>634.21</v>
      </c>
      <c r="C1186" s="11">
        <v>605.24300000000005</v>
      </c>
      <c r="D1186" s="11">
        <v>586.36800000000005</v>
      </c>
      <c r="E1186" s="10">
        <f t="shared" si="18"/>
        <v>0</v>
      </c>
      <c r="G1186" s="29">
        <v>45859</v>
      </c>
      <c r="H1186">
        <v>628.77</v>
      </c>
      <c r="I1186">
        <v>602.56960000000004</v>
      </c>
      <c r="J1186">
        <v>585.74</v>
      </c>
      <c r="K1186" s="10">
        <v>0</v>
      </c>
    </row>
    <row r="1187" spans="1:11" x14ac:dyDescent="0.4">
      <c r="A1187" s="25">
        <v>45862</v>
      </c>
      <c r="B1187" s="11">
        <v>634.41999999999996</v>
      </c>
      <c r="C1187" s="11">
        <v>606.27160000000003</v>
      </c>
      <c r="D1187" s="11">
        <v>586.70100000000002</v>
      </c>
      <c r="E1187" s="10">
        <f t="shared" si="18"/>
        <v>0</v>
      </c>
      <c r="G1187" s="29">
        <v>45860</v>
      </c>
      <c r="H1187">
        <v>628.86</v>
      </c>
      <c r="I1187">
        <v>603.84559999999999</v>
      </c>
      <c r="J1187">
        <v>586.0412</v>
      </c>
      <c r="K1187" s="10">
        <v>0</v>
      </c>
    </row>
    <row r="1188" spans="1:11" x14ac:dyDescent="0.4">
      <c r="A1188" s="25">
        <v>45863</v>
      </c>
      <c r="B1188" s="11">
        <v>637.1</v>
      </c>
      <c r="C1188" s="11">
        <v>607.27679999999998</v>
      </c>
      <c r="D1188" s="11">
        <v>587.02160000000003</v>
      </c>
      <c r="E1188" s="10">
        <f t="shared" si="18"/>
        <v>0</v>
      </c>
      <c r="G1188" s="29">
        <v>45861</v>
      </c>
      <c r="H1188">
        <v>634.21</v>
      </c>
      <c r="I1188">
        <v>605.24300000000005</v>
      </c>
      <c r="J1188">
        <v>586.36800000000005</v>
      </c>
      <c r="K1188" s="10">
        <v>0</v>
      </c>
    </row>
    <row r="1189" spans="1:11" x14ac:dyDescent="0.4">
      <c r="A1189" s="25">
        <v>45866</v>
      </c>
      <c r="B1189" s="11">
        <v>636.94000000000005</v>
      </c>
      <c r="C1189" s="11">
        <v>608.26379999999995</v>
      </c>
      <c r="D1189" s="11">
        <v>587.36720000000003</v>
      </c>
      <c r="E1189" s="10">
        <f t="shared" si="18"/>
        <v>0</v>
      </c>
      <c r="G1189" s="29">
        <v>45862</v>
      </c>
      <c r="H1189">
        <v>634.41999999999996</v>
      </c>
      <c r="I1189">
        <v>606.27160000000003</v>
      </c>
      <c r="J1189">
        <v>586.70100000000002</v>
      </c>
      <c r="K1189" s="10">
        <v>0</v>
      </c>
    </row>
    <row r="1190" spans="1:11" x14ac:dyDescent="0.4">
      <c r="A1190" s="25">
        <v>45867</v>
      </c>
      <c r="B1190" s="11">
        <v>635.26</v>
      </c>
      <c r="C1190" s="11">
        <v>609.15980000000002</v>
      </c>
      <c r="D1190" s="11">
        <v>587.67769999999996</v>
      </c>
      <c r="E1190" s="10">
        <f t="shared" si="18"/>
        <v>0</v>
      </c>
      <c r="G1190" s="29">
        <v>45863</v>
      </c>
      <c r="H1190">
        <v>637.1</v>
      </c>
      <c r="I1190">
        <v>607.27679999999998</v>
      </c>
      <c r="J1190">
        <v>587.02160000000003</v>
      </c>
      <c r="K1190" s="10">
        <v>0</v>
      </c>
    </row>
    <row r="1191" spans="1:11" x14ac:dyDescent="0.4">
      <c r="A1191" s="25">
        <v>45868</v>
      </c>
      <c r="B1191" s="11">
        <v>634.46</v>
      </c>
      <c r="C1191" s="11">
        <v>609.96500000000003</v>
      </c>
      <c r="D1191" s="11">
        <v>587.96429999999998</v>
      </c>
      <c r="E1191" s="10">
        <f t="shared" si="18"/>
        <v>0</v>
      </c>
      <c r="G1191" s="29">
        <v>45866</v>
      </c>
      <c r="H1191">
        <v>636.94000000000005</v>
      </c>
      <c r="I1191">
        <v>608.26379999999995</v>
      </c>
      <c r="J1191">
        <v>587.36720000000003</v>
      </c>
      <c r="K1191" s="10">
        <v>0</v>
      </c>
    </row>
    <row r="1192" spans="1:11" x14ac:dyDescent="0.4">
      <c r="A1192" s="25">
        <v>45869</v>
      </c>
      <c r="B1192" s="11">
        <v>632.08000000000004</v>
      </c>
      <c r="C1192" s="11">
        <v>610.70960000000002</v>
      </c>
      <c r="D1192" s="11">
        <v>588.24400000000003</v>
      </c>
      <c r="E1192" s="10">
        <f t="shared" si="18"/>
        <v>0</v>
      </c>
      <c r="G1192" s="29">
        <v>45867</v>
      </c>
      <c r="H1192">
        <v>635.26</v>
      </c>
      <c r="I1192">
        <v>609.15980000000002</v>
      </c>
      <c r="J1192">
        <v>587.67769999999996</v>
      </c>
      <c r="K1192" s="10">
        <v>0</v>
      </c>
    </row>
    <row r="1193" spans="1:11" x14ac:dyDescent="0.4">
      <c r="A1193" s="25">
        <v>45870</v>
      </c>
      <c r="B1193" s="11">
        <v>621.72</v>
      </c>
      <c r="C1193" s="11">
        <v>611.28700000000003</v>
      </c>
      <c r="D1193" s="11">
        <v>588.45479999999998</v>
      </c>
      <c r="E1193" s="10">
        <f t="shared" si="18"/>
        <v>0</v>
      </c>
      <c r="G1193" s="29">
        <v>45868</v>
      </c>
      <c r="H1193">
        <v>634.46</v>
      </c>
      <c r="I1193">
        <v>609.96500000000003</v>
      </c>
      <c r="J1193">
        <v>587.96429999999998</v>
      </c>
      <c r="K1193" s="10">
        <v>0</v>
      </c>
    </row>
    <row r="1194" spans="1:11" x14ac:dyDescent="0.4">
      <c r="A1194" s="25">
        <v>45873</v>
      </c>
      <c r="B1194" s="11">
        <v>631.16999999999996</v>
      </c>
      <c r="C1194" s="11">
        <v>612.25319999999999</v>
      </c>
      <c r="D1194" s="11">
        <v>588.68899999999996</v>
      </c>
      <c r="E1194" s="10">
        <f t="shared" si="18"/>
        <v>0</v>
      </c>
      <c r="G1194" s="29">
        <v>45869</v>
      </c>
      <c r="H1194">
        <v>632.08000000000004</v>
      </c>
      <c r="I1194">
        <v>610.70960000000002</v>
      </c>
      <c r="J1194">
        <v>588.24400000000003</v>
      </c>
      <c r="K1194" s="10">
        <v>0</v>
      </c>
    </row>
    <row r="1195" spans="1:11" x14ac:dyDescent="0.4">
      <c r="A1195" s="25">
        <v>45874</v>
      </c>
      <c r="B1195" s="11">
        <v>627.97</v>
      </c>
      <c r="C1195" s="11">
        <v>613.1508</v>
      </c>
      <c r="D1195" s="11">
        <v>588.92999999999995</v>
      </c>
      <c r="E1195" s="10">
        <f t="shared" si="18"/>
        <v>0</v>
      </c>
      <c r="G1195" s="29">
        <v>45870</v>
      </c>
      <c r="H1195">
        <v>621.72</v>
      </c>
      <c r="I1195">
        <v>611.28700000000003</v>
      </c>
      <c r="J1195">
        <v>588.45479999999998</v>
      </c>
      <c r="K1195" s="10">
        <v>0</v>
      </c>
    </row>
    <row r="1196" spans="1:11" x14ac:dyDescent="0.4">
      <c r="A1196" s="25">
        <v>45875</v>
      </c>
      <c r="B1196" s="11">
        <v>632.78</v>
      </c>
      <c r="C1196" s="11">
        <v>614.2242</v>
      </c>
      <c r="D1196" s="11">
        <v>589.18240000000003</v>
      </c>
      <c r="E1196" s="10">
        <f t="shared" si="18"/>
        <v>0</v>
      </c>
      <c r="G1196" s="29">
        <v>45873</v>
      </c>
      <c r="H1196">
        <v>631.16999999999996</v>
      </c>
      <c r="I1196">
        <v>612.25319999999999</v>
      </c>
      <c r="J1196">
        <v>588.68899999999996</v>
      </c>
      <c r="K1196" s="10">
        <v>0</v>
      </c>
    </row>
    <row r="1197" spans="1:11" x14ac:dyDescent="0.4">
      <c r="A1197" s="25">
        <v>45876</v>
      </c>
      <c r="B1197" s="11">
        <v>632.25</v>
      </c>
      <c r="C1197" s="11">
        <v>615.0462</v>
      </c>
      <c r="D1197" s="11">
        <v>589.43179999999995</v>
      </c>
      <c r="E1197" s="10">
        <f t="shared" si="18"/>
        <v>0</v>
      </c>
      <c r="G1197" s="29">
        <v>45874</v>
      </c>
      <c r="H1197">
        <v>627.97</v>
      </c>
      <c r="I1197">
        <v>613.1508</v>
      </c>
      <c r="J1197">
        <v>588.92999999999995</v>
      </c>
      <c r="K1197" s="10">
        <v>0</v>
      </c>
    </row>
    <row r="1198" spans="1:11" x14ac:dyDescent="0.4">
      <c r="A1198" s="25">
        <v>45877</v>
      </c>
      <c r="B1198" s="11">
        <v>637.17999999999995</v>
      </c>
      <c r="C1198" s="11">
        <v>616.03520000000003</v>
      </c>
      <c r="D1198" s="11">
        <v>589.69479999999999</v>
      </c>
      <c r="E1198" s="10">
        <f t="shared" si="18"/>
        <v>0</v>
      </c>
      <c r="G1198" s="29">
        <v>45875</v>
      </c>
      <c r="H1198">
        <v>632.78</v>
      </c>
      <c r="I1198">
        <v>614.2242</v>
      </c>
      <c r="J1198">
        <v>589.18240000000003</v>
      </c>
      <c r="K1198" s="10">
        <v>0</v>
      </c>
    </row>
    <row r="1199" spans="1:11" x14ac:dyDescent="0.4">
      <c r="A1199" s="25">
        <v>45880</v>
      </c>
      <c r="B1199" s="11">
        <v>635.91999999999996</v>
      </c>
      <c r="C1199" s="11">
        <v>616.95259999999996</v>
      </c>
      <c r="D1199" s="11">
        <v>589.95619999999997</v>
      </c>
      <c r="E1199" s="10">
        <f t="shared" si="18"/>
        <v>0</v>
      </c>
      <c r="G1199" s="29">
        <v>45876</v>
      </c>
      <c r="H1199">
        <v>632.25</v>
      </c>
      <c r="I1199">
        <v>615.0462</v>
      </c>
      <c r="J1199">
        <v>589.43179999999995</v>
      </c>
      <c r="K1199" s="10">
        <v>0</v>
      </c>
    </row>
    <row r="1200" spans="1:11" x14ac:dyDescent="0.4">
      <c r="A1200" s="25">
        <v>45881</v>
      </c>
      <c r="B1200" s="11">
        <v>642.69000000000005</v>
      </c>
      <c r="C1200" s="11">
        <v>618.01859999999999</v>
      </c>
      <c r="D1200" s="11">
        <v>590.25310000000002</v>
      </c>
      <c r="E1200" s="10">
        <f t="shared" si="18"/>
        <v>0</v>
      </c>
      <c r="G1200" s="29">
        <v>45877</v>
      </c>
      <c r="H1200">
        <v>637.17999999999995</v>
      </c>
      <c r="I1200">
        <v>616.03520000000003</v>
      </c>
      <c r="J1200">
        <v>589.69479999999999</v>
      </c>
      <c r="K1200" s="10">
        <v>0</v>
      </c>
    </row>
    <row r="1201" spans="1:11" x14ac:dyDescent="0.4">
      <c r="A1201" s="25">
        <v>45882</v>
      </c>
      <c r="B1201" s="11">
        <v>644.89</v>
      </c>
      <c r="C1201" s="11">
        <v>619.06219999999996</v>
      </c>
      <c r="D1201" s="11">
        <v>590.58759999999995</v>
      </c>
      <c r="E1201" s="10">
        <f t="shared" si="18"/>
        <v>0</v>
      </c>
      <c r="G1201" s="29">
        <v>45880</v>
      </c>
      <c r="H1201">
        <v>635.91999999999996</v>
      </c>
      <c r="I1201">
        <v>616.95259999999996</v>
      </c>
      <c r="J1201">
        <v>589.95619999999997</v>
      </c>
      <c r="K1201" s="10">
        <v>0</v>
      </c>
    </row>
    <row r="1202" spans="1:11" x14ac:dyDescent="0.4">
      <c r="A1202" s="25">
        <v>45883</v>
      </c>
      <c r="B1202" s="11">
        <v>644.95000000000005</v>
      </c>
      <c r="C1202" s="11">
        <v>620.0394</v>
      </c>
      <c r="D1202" s="11">
        <v>590.9162</v>
      </c>
      <c r="E1202" s="10">
        <f t="shared" si="18"/>
        <v>0</v>
      </c>
      <c r="G1202" s="29">
        <v>45881</v>
      </c>
      <c r="H1202">
        <v>642.69000000000005</v>
      </c>
      <c r="I1202">
        <v>618.01859999999999</v>
      </c>
      <c r="J1202">
        <v>590.25310000000002</v>
      </c>
      <c r="K1202" s="10">
        <v>0</v>
      </c>
    </row>
    <row r="1203" spans="1:11" x14ac:dyDescent="0.4">
      <c r="A1203" s="25">
        <v>45884</v>
      </c>
      <c r="B1203" s="11">
        <v>643.44000000000005</v>
      </c>
      <c r="C1203" s="11">
        <v>620.9896</v>
      </c>
      <c r="D1203" s="11">
        <v>591.23820000000001</v>
      </c>
      <c r="E1203" s="10">
        <f t="shared" si="18"/>
        <v>0</v>
      </c>
      <c r="G1203" s="29">
        <v>45882</v>
      </c>
      <c r="H1203">
        <v>644.89</v>
      </c>
      <c r="I1203">
        <v>619.06219999999996</v>
      </c>
      <c r="J1203">
        <v>590.58759999999995</v>
      </c>
      <c r="K1203" s="10">
        <v>0</v>
      </c>
    </row>
    <row r="1204" spans="1:11" x14ac:dyDescent="0.4">
      <c r="A1204" s="25">
        <v>45887</v>
      </c>
      <c r="B1204" s="11">
        <v>643.29999999999995</v>
      </c>
      <c r="C1204" s="11">
        <v>621.99459999999999</v>
      </c>
      <c r="D1204" s="11">
        <v>591.55050000000006</v>
      </c>
      <c r="E1204" s="10">
        <f t="shared" si="18"/>
        <v>0</v>
      </c>
      <c r="G1204" s="29">
        <v>45883</v>
      </c>
      <c r="H1204">
        <v>644.95000000000005</v>
      </c>
      <c r="I1204">
        <v>620.0394</v>
      </c>
      <c r="J1204">
        <v>590.9162</v>
      </c>
      <c r="K1204" s="10">
        <v>0</v>
      </c>
    </row>
    <row r="1205" spans="1:11" x14ac:dyDescent="0.4">
      <c r="A1205" s="25">
        <v>45888</v>
      </c>
      <c r="B1205" s="11">
        <v>639.80999999999995</v>
      </c>
      <c r="C1205" s="11">
        <v>622.80799999999999</v>
      </c>
      <c r="D1205" s="11">
        <v>591.84069999999997</v>
      </c>
      <c r="E1205" s="10">
        <f t="shared" si="18"/>
        <v>0</v>
      </c>
      <c r="G1205" s="29">
        <v>45884</v>
      </c>
      <c r="H1205">
        <v>643.44000000000005</v>
      </c>
      <c r="I1205">
        <v>620.9896</v>
      </c>
      <c r="J1205">
        <v>591.23820000000001</v>
      </c>
      <c r="K1205" s="10">
        <v>0</v>
      </c>
    </row>
    <row r="1206" spans="1:11" x14ac:dyDescent="0.4">
      <c r="A1206" s="25">
        <v>45889</v>
      </c>
      <c r="B1206" s="11">
        <v>638.11</v>
      </c>
      <c r="C1206" s="11">
        <v>623.57659999999998</v>
      </c>
      <c r="D1206" s="11">
        <v>592.13120000000004</v>
      </c>
      <c r="E1206" s="10">
        <f t="shared" si="18"/>
        <v>0</v>
      </c>
      <c r="G1206" s="29">
        <v>45887</v>
      </c>
      <c r="H1206">
        <v>643.29999999999995</v>
      </c>
      <c r="I1206">
        <v>621.99459999999999</v>
      </c>
      <c r="J1206">
        <v>591.55050000000006</v>
      </c>
      <c r="K1206" s="10">
        <v>0</v>
      </c>
    </row>
    <row r="1207" spans="1:11" x14ac:dyDescent="0.4">
      <c r="A1207" s="25">
        <v>45890</v>
      </c>
      <c r="B1207" s="11">
        <v>635.54999999999995</v>
      </c>
      <c r="C1207" s="11">
        <v>624.226</v>
      </c>
      <c r="D1207" s="11">
        <v>592.46579999999994</v>
      </c>
      <c r="E1207" s="10">
        <f t="shared" si="18"/>
        <v>0</v>
      </c>
      <c r="G1207" s="29">
        <v>45888</v>
      </c>
      <c r="H1207">
        <v>639.80999999999995</v>
      </c>
      <c r="I1207">
        <v>622.80799999999999</v>
      </c>
      <c r="J1207">
        <v>591.84069999999997</v>
      </c>
      <c r="K1207" s="10">
        <v>0</v>
      </c>
    </row>
    <row r="1208" spans="1:11" x14ac:dyDescent="0.4">
      <c r="A1208" s="25">
        <v>45891</v>
      </c>
      <c r="B1208" s="11">
        <v>645.30999999999995</v>
      </c>
      <c r="C1208" s="11">
        <v>625.10500000000002</v>
      </c>
      <c r="D1208" s="11">
        <v>592.83709999999996</v>
      </c>
      <c r="E1208" s="10">
        <f t="shared" si="18"/>
        <v>0</v>
      </c>
      <c r="G1208" s="29">
        <v>45889</v>
      </c>
      <c r="H1208">
        <v>638.11</v>
      </c>
      <c r="I1208">
        <v>623.57659999999998</v>
      </c>
      <c r="J1208">
        <v>592.13120000000004</v>
      </c>
      <c r="K1208" s="10">
        <v>0</v>
      </c>
    </row>
    <row r="1209" spans="1:11" x14ac:dyDescent="0.4">
      <c r="A1209" s="25">
        <v>45894</v>
      </c>
      <c r="B1209" s="11">
        <v>642.47</v>
      </c>
      <c r="C1209" s="11">
        <v>625.87940000000003</v>
      </c>
      <c r="D1209" s="11">
        <v>593.20039999999995</v>
      </c>
      <c r="E1209" s="10">
        <f t="shared" si="18"/>
        <v>0</v>
      </c>
      <c r="G1209" s="29">
        <v>45890</v>
      </c>
      <c r="H1209">
        <v>635.54999999999995</v>
      </c>
      <c r="I1209">
        <v>624.226</v>
      </c>
      <c r="J1209">
        <v>592.46579999999994</v>
      </c>
      <c r="K1209" s="10">
        <v>0</v>
      </c>
    </row>
    <row r="1210" spans="1:11" x14ac:dyDescent="0.4">
      <c r="A1210" s="25">
        <v>45895</v>
      </c>
      <c r="B1210" s="11">
        <v>645.16</v>
      </c>
      <c r="C1210" s="11">
        <v>626.84259999999995</v>
      </c>
      <c r="D1210" s="11">
        <v>593.54269999999997</v>
      </c>
      <c r="E1210" s="10">
        <f t="shared" si="18"/>
        <v>0</v>
      </c>
      <c r="G1210" s="29">
        <v>45891</v>
      </c>
      <c r="H1210">
        <v>645.30999999999995</v>
      </c>
      <c r="I1210">
        <v>625.10500000000002</v>
      </c>
      <c r="J1210">
        <v>592.83709999999996</v>
      </c>
      <c r="K1210" s="10">
        <v>0</v>
      </c>
    </row>
    <row r="1211" spans="1:11" x14ac:dyDescent="0.4">
      <c r="A1211" s="25">
        <v>45896</v>
      </c>
      <c r="B1211" s="11">
        <v>646.63</v>
      </c>
      <c r="C1211" s="11">
        <v>627.72159999999997</v>
      </c>
      <c r="D1211" s="11">
        <v>593.82060000000001</v>
      </c>
      <c r="E1211" s="10">
        <f t="shared" si="18"/>
        <v>0</v>
      </c>
      <c r="G1211" s="29">
        <v>45894</v>
      </c>
      <c r="H1211">
        <v>642.47</v>
      </c>
      <c r="I1211">
        <v>625.87940000000003</v>
      </c>
      <c r="J1211">
        <v>593.20039999999995</v>
      </c>
      <c r="K1211" s="10">
        <v>0</v>
      </c>
    </row>
    <row r="1212" spans="1:11" x14ac:dyDescent="0.4">
      <c r="A1212" s="25">
        <v>45897</v>
      </c>
      <c r="B1212" s="11">
        <v>648.91999999999996</v>
      </c>
      <c r="C1212" s="11">
        <v>628.74940000000004</v>
      </c>
      <c r="D1212" s="11">
        <v>594.08720000000005</v>
      </c>
      <c r="E1212" s="10">
        <f t="shared" si="18"/>
        <v>0</v>
      </c>
      <c r="G1212" s="29">
        <v>45895</v>
      </c>
      <c r="H1212">
        <v>645.16</v>
      </c>
      <c r="I1212">
        <v>626.84259999999995</v>
      </c>
      <c r="J1212">
        <v>593.54269999999997</v>
      </c>
      <c r="K1212" s="10">
        <v>0</v>
      </c>
    </row>
    <row r="1213" spans="1:11" x14ac:dyDescent="0.4">
      <c r="A1213" s="25">
        <v>45898</v>
      </c>
      <c r="B1213" s="11">
        <v>645.04999999999995</v>
      </c>
      <c r="C1213" s="11">
        <v>629.70159999999998</v>
      </c>
      <c r="D1213" s="11">
        <v>594.32150000000001</v>
      </c>
      <c r="E1213" s="10">
        <f t="shared" si="18"/>
        <v>0</v>
      </c>
      <c r="G1213" s="29">
        <v>45896</v>
      </c>
      <c r="H1213">
        <v>646.63</v>
      </c>
      <c r="I1213">
        <v>627.72159999999997</v>
      </c>
      <c r="J1213">
        <v>593.82060000000001</v>
      </c>
      <c r="K1213" s="10">
        <v>0</v>
      </c>
    </row>
    <row r="1214" spans="1:11" x14ac:dyDescent="0.4">
      <c r="A1214" s="25">
        <v>45902</v>
      </c>
      <c r="B1214" s="11">
        <v>640.27</v>
      </c>
      <c r="C1214" s="11">
        <v>630.62139999999999</v>
      </c>
      <c r="D1214" s="11">
        <v>594.529</v>
      </c>
      <c r="E1214" s="10">
        <f t="shared" si="18"/>
        <v>0</v>
      </c>
      <c r="G1214" s="29">
        <v>45897</v>
      </c>
      <c r="H1214">
        <v>648.91999999999996</v>
      </c>
      <c r="I1214">
        <v>628.74940000000004</v>
      </c>
      <c r="J1214">
        <v>594.08720000000005</v>
      </c>
      <c r="K1214" s="10">
        <v>0</v>
      </c>
    </row>
    <row r="1215" spans="1:11" x14ac:dyDescent="0.4">
      <c r="A1215" s="25">
        <v>45903</v>
      </c>
      <c r="B1215" s="11">
        <v>643.74</v>
      </c>
      <c r="C1215" s="11">
        <v>631.4932</v>
      </c>
      <c r="D1215" s="11">
        <v>594.76319999999998</v>
      </c>
      <c r="E1215" s="10">
        <f t="shared" si="18"/>
        <v>0</v>
      </c>
      <c r="G1215" s="29">
        <v>45898</v>
      </c>
      <c r="H1215">
        <v>645.04999999999995</v>
      </c>
      <c r="I1215">
        <v>629.70159999999998</v>
      </c>
      <c r="J1215">
        <v>594.32150000000001</v>
      </c>
      <c r="K1215" s="10">
        <v>0</v>
      </c>
    </row>
    <row r="1216" spans="1:11" x14ac:dyDescent="0.4">
      <c r="A1216" s="25">
        <v>45904</v>
      </c>
      <c r="B1216" s="11">
        <v>649.12</v>
      </c>
      <c r="C1216" s="11">
        <v>632.34</v>
      </c>
      <c r="D1216" s="11">
        <v>595.02290000000005</v>
      </c>
      <c r="E1216" s="10">
        <f t="shared" si="18"/>
        <v>0</v>
      </c>
      <c r="G1216" s="29">
        <v>45902</v>
      </c>
      <c r="H1216">
        <v>640.27</v>
      </c>
      <c r="I1216">
        <v>630.62139999999999</v>
      </c>
      <c r="J1216">
        <v>594.529</v>
      </c>
      <c r="K1216" s="10">
        <v>0</v>
      </c>
    </row>
    <row r="1217" spans="1:11" x14ac:dyDescent="0.4">
      <c r="A1217" s="25">
        <v>45905</v>
      </c>
      <c r="B1217" s="11">
        <v>647.24</v>
      </c>
      <c r="C1217" s="11">
        <v>633.14239999999995</v>
      </c>
      <c r="D1217" s="11">
        <v>595.29240000000004</v>
      </c>
      <c r="E1217" s="10">
        <f t="shared" si="18"/>
        <v>0</v>
      </c>
      <c r="G1217" s="29">
        <v>45903</v>
      </c>
      <c r="H1217">
        <v>643.74</v>
      </c>
      <c r="I1217">
        <v>631.4932</v>
      </c>
      <c r="J1217">
        <v>594.76319999999998</v>
      </c>
      <c r="K1217" s="10">
        <v>0</v>
      </c>
    </row>
    <row r="1218" spans="1:11" x14ac:dyDescent="0.4">
      <c r="A1218" s="25">
        <v>45908</v>
      </c>
      <c r="B1218" s="11">
        <v>648.83000000000004</v>
      </c>
      <c r="C1218" s="11">
        <v>633.88160000000005</v>
      </c>
      <c r="D1218" s="11">
        <v>595.6078</v>
      </c>
      <c r="E1218" s="10">
        <f t="shared" si="18"/>
        <v>0</v>
      </c>
      <c r="G1218" s="29">
        <v>45904</v>
      </c>
      <c r="H1218">
        <v>649.12</v>
      </c>
      <c r="I1218">
        <v>632.34</v>
      </c>
      <c r="J1218">
        <v>595.02290000000005</v>
      </c>
      <c r="K1218" s="10">
        <v>0</v>
      </c>
    </row>
    <row r="1219" spans="1:11" x14ac:dyDescent="0.4">
      <c r="A1219" s="25">
        <v>45909</v>
      </c>
      <c r="B1219" s="11">
        <v>650.33000000000004</v>
      </c>
      <c r="C1219" s="11">
        <v>634.59</v>
      </c>
      <c r="D1219" s="11">
        <v>595.91859999999997</v>
      </c>
      <c r="E1219" s="10">
        <f t="shared" ref="E1219:E1257" si="19">IF(AND(C1219&gt;D1219, C1218&lt;D1218), 1, 0)</f>
        <v>0</v>
      </c>
      <c r="G1219" s="29">
        <v>45905</v>
      </c>
      <c r="H1219">
        <v>647.24</v>
      </c>
      <c r="I1219">
        <v>633.14239999999995</v>
      </c>
      <c r="J1219">
        <v>595.29240000000004</v>
      </c>
      <c r="K1219" s="10">
        <v>0</v>
      </c>
    </row>
    <row r="1220" spans="1:11" x14ac:dyDescent="0.4">
      <c r="A1220" s="25">
        <v>45910</v>
      </c>
      <c r="B1220" s="11">
        <v>652.21</v>
      </c>
      <c r="C1220" s="11">
        <v>635.27719999999999</v>
      </c>
      <c r="D1220" s="11">
        <v>596.22820000000002</v>
      </c>
      <c r="E1220" s="10">
        <f t="shared" si="19"/>
        <v>0</v>
      </c>
      <c r="G1220" s="29">
        <v>45908</v>
      </c>
      <c r="H1220">
        <v>648.83000000000004</v>
      </c>
      <c r="I1220">
        <v>633.88160000000005</v>
      </c>
      <c r="J1220">
        <v>595.6078</v>
      </c>
      <c r="K1220" s="10">
        <v>0</v>
      </c>
    </row>
    <row r="1221" spans="1:11" x14ac:dyDescent="0.4">
      <c r="A1221" s="25">
        <v>45911</v>
      </c>
      <c r="B1221" s="11">
        <v>657.63</v>
      </c>
      <c r="C1221" s="11">
        <v>636.07680000000005</v>
      </c>
      <c r="D1221" s="11">
        <v>596.56380000000001</v>
      </c>
      <c r="E1221" s="10">
        <f t="shared" si="19"/>
        <v>0</v>
      </c>
      <c r="G1221" s="29">
        <v>45909</v>
      </c>
      <c r="H1221">
        <v>650.33000000000004</v>
      </c>
      <c r="I1221">
        <v>634.59</v>
      </c>
      <c r="J1221">
        <v>595.91859999999997</v>
      </c>
      <c r="K1221" s="10">
        <v>0</v>
      </c>
    </row>
    <row r="1222" spans="1:11" x14ac:dyDescent="0.4">
      <c r="A1222" s="25">
        <v>45912</v>
      </c>
      <c r="B1222" s="11">
        <v>657.41</v>
      </c>
      <c r="C1222" s="11">
        <v>636.81600000000003</v>
      </c>
      <c r="D1222" s="11">
        <v>596.88260000000002</v>
      </c>
      <c r="E1222" s="10">
        <f t="shared" si="19"/>
        <v>0</v>
      </c>
      <c r="G1222" s="29">
        <v>45910</v>
      </c>
      <c r="H1222">
        <v>652.21</v>
      </c>
      <c r="I1222">
        <v>635.27719999999999</v>
      </c>
      <c r="J1222">
        <v>596.22820000000002</v>
      </c>
      <c r="K1222" s="10">
        <v>0</v>
      </c>
    </row>
    <row r="1223" spans="1:11" x14ac:dyDescent="0.4">
      <c r="A1223" s="25">
        <v>45915</v>
      </c>
      <c r="B1223" s="11">
        <v>660.91</v>
      </c>
      <c r="C1223" s="11">
        <v>637.52739999999994</v>
      </c>
      <c r="D1223" s="11">
        <v>597.20960000000002</v>
      </c>
      <c r="E1223" s="10">
        <f t="shared" si="19"/>
        <v>0</v>
      </c>
      <c r="G1223" s="29">
        <v>45911</v>
      </c>
      <c r="H1223">
        <v>657.63</v>
      </c>
      <c r="I1223">
        <v>636.07680000000005</v>
      </c>
      <c r="J1223">
        <v>596.56380000000001</v>
      </c>
      <c r="K1223" s="10">
        <v>0</v>
      </c>
    </row>
    <row r="1224" spans="1:11" x14ac:dyDescent="0.4">
      <c r="A1224" s="25">
        <v>45916</v>
      </c>
      <c r="B1224" s="11">
        <v>660</v>
      </c>
      <c r="C1224" s="11">
        <v>638.31380000000001</v>
      </c>
      <c r="D1224" s="11">
        <v>597.52189999999996</v>
      </c>
      <c r="E1224" s="10">
        <f t="shared" si="19"/>
        <v>0</v>
      </c>
      <c r="G1224" s="29">
        <v>45912</v>
      </c>
      <c r="H1224">
        <v>657.41</v>
      </c>
      <c r="I1224">
        <v>636.81600000000003</v>
      </c>
      <c r="J1224">
        <v>596.88260000000002</v>
      </c>
      <c r="K1224" s="10">
        <v>0</v>
      </c>
    </row>
    <row r="1225" spans="1:11" x14ac:dyDescent="0.4">
      <c r="A1225" s="25">
        <v>45917</v>
      </c>
      <c r="B1225" s="11">
        <v>659.18</v>
      </c>
      <c r="C1225" s="11">
        <v>639.09059999999999</v>
      </c>
      <c r="D1225" s="11">
        <v>597.81460000000004</v>
      </c>
      <c r="E1225" s="10">
        <f t="shared" si="19"/>
        <v>0</v>
      </c>
      <c r="G1225" s="29">
        <v>45915</v>
      </c>
      <c r="H1225">
        <v>660.91</v>
      </c>
      <c r="I1225">
        <v>637.52739999999994</v>
      </c>
      <c r="J1225">
        <v>597.20960000000002</v>
      </c>
      <c r="K1225" s="10">
        <v>0</v>
      </c>
    </row>
    <row r="1226" spans="1:11" x14ac:dyDescent="0.4">
      <c r="A1226" s="25">
        <v>45918</v>
      </c>
      <c r="B1226" s="11">
        <v>662.26</v>
      </c>
      <c r="C1226" s="11">
        <v>639.8546</v>
      </c>
      <c r="D1226" s="11">
        <v>598.13170000000002</v>
      </c>
      <c r="E1226" s="10">
        <f t="shared" si="19"/>
        <v>0</v>
      </c>
      <c r="G1226" s="29">
        <v>45916</v>
      </c>
      <c r="H1226">
        <v>660</v>
      </c>
      <c r="I1226">
        <v>638.31380000000001</v>
      </c>
      <c r="J1226">
        <v>597.52189999999996</v>
      </c>
      <c r="K1226" s="10">
        <v>0</v>
      </c>
    </row>
    <row r="1227" spans="1:11" x14ac:dyDescent="0.4">
      <c r="A1227" s="25">
        <v>45919</v>
      </c>
      <c r="B1227" s="11">
        <v>663.7</v>
      </c>
      <c r="C1227" s="11">
        <v>640.61220000000003</v>
      </c>
      <c r="D1227" s="11">
        <v>598.43740000000003</v>
      </c>
      <c r="E1227" s="10">
        <f t="shared" si="19"/>
        <v>0</v>
      </c>
      <c r="G1227" s="29">
        <v>45917</v>
      </c>
      <c r="H1227">
        <v>659.18</v>
      </c>
      <c r="I1227">
        <v>639.09059999999999</v>
      </c>
      <c r="J1227">
        <v>597.81460000000004</v>
      </c>
      <c r="K1227" s="10">
        <v>0</v>
      </c>
    </row>
    <row r="1228" spans="1:11" x14ac:dyDescent="0.4">
      <c r="A1228" s="25">
        <v>45922</v>
      </c>
      <c r="B1228" s="11">
        <v>666.84</v>
      </c>
      <c r="C1228" s="11">
        <v>641.47659999999996</v>
      </c>
      <c r="D1228" s="11">
        <v>598.75350000000003</v>
      </c>
      <c r="E1228" s="10">
        <f t="shared" si="19"/>
        <v>0</v>
      </c>
      <c r="G1228" s="29">
        <v>45918</v>
      </c>
      <c r="H1228">
        <v>662.26</v>
      </c>
      <c r="I1228">
        <v>639.8546</v>
      </c>
      <c r="J1228">
        <v>598.13170000000002</v>
      </c>
      <c r="K1228" s="10">
        <v>0</v>
      </c>
    </row>
    <row r="1229" spans="1:11" x14ac:dyDescent="0.4">
      <c r="A1229" s="25">
        <v>45923</v>
      </c>
      <c r="B1229" s="11">
        <v>663.21</v>
      </c>
      <c r="C1229" s="11">
        <v>642.24459999999999</v>
      </c>
      <c r="D1229" s="11">
        <v>599.04999999999995</v>
      </c>
      <c r="E1229" s="10">
        <f t="shared" si="19"/>
        <v>0</v>
      </c>
      <c r="G1229" s="29">
        <v>45919</v>
      </c>
      <c r="H1229">
        <v>663.7</v>
      </c>
      <c r="I1229">
        <v>640.61220000000003</v>
      </c>
      <c r="J1229">
        <v>598.43740000000003</v>
      </c>
      <c r="K1229" s="10">
        <v>0</v>
      </c>
    </row>
    <row r="1230" spans="1:11" x14ac:dyDescent="0.4">
      <c r="A1230" s="25">
        <v>45924</v>
      </c>
      <c r="B1230" s="11">
        <v>661.1</v>
      </c>
      <c r="C1230" s="11">
        <v>643.02380000000005</v>
      </c>
      <c r="D1230" s="11">
        <v>599.31719999999996</v>
      </c>
      <c r="E1230" s="10">
        <f t="shared" si="19"/>
        <v>0</v>
      </c>
      <c r="G1230" s="29">
        <v>45922</v>
      </c>
      <c r="H1230">
        <v>666.84</v>
      </c>
      <c r="I1230">
        <v>641.47659999999996</v>
      </c>
      <c r="J1230">
        <v>598.75350000000003</v>
      </c>
      <c r="K1230" s="10">
        <v>0</v>
      </c>
    </row>
    <row r="1231" spans="1:11" x14ac:dyDescent="0.4">
      <c r="A1231" s="25">
        <v>45925</v>
      </c>
      <c r="B1231" s="11">
        <v>658.05</v>
      </c>
      <c r="C1231" s="11">
        <v>643.70039999999995</v>
      </c>
      <c r="D1231" s="11">
        <v>599.57420000000002</v>
      </c>
      <c r="E1231" s="10">
        <f t="shared" si="19"/>
        <v>0</v>
      </c>
      <c r="G1231" s="29">
        <v>45923</v>
      </c>
      <c r="H1231">
        <v>663.21</v>
      </c>
      <c r="I1231">
        <v>642.24459999999999</v>
      </c>
      <c r="J1231">
        <v>599.04999999999995</v>
      </c>
      <c r="K1231" s="10">
        <v>0</v>
      </c>
    </row>
    <row r="1232" spans="1:11" x14ac:dyDescent="0.4">
      <c r="A1232" s="25">
        <v>45926</v>
      </c>
      <c r="B1232" s="11">
        <v>661.82</v>
      </c>
      <c r="C1232" s="11">
        <v>644.37599999999998</v>
      </c>
      <c r="D1232" s="11">
        <v>599.8442</v>
      </c>
      <c r="E1232" s="10">
        <f t="shared" si="19"/>
        <v>0</v>
      </c>
      <c r="G1232" s="29">
        <v>45924</v>
      </c>
      <c r="H1232">
        <v>661.1</v>
      </c>
      <c r="I1232">
        <v>643.02380000000005</v>
      </c>
      <c r="J1232">
        <v>599.31719999999996</v>
      </c>
      <c r="K1232" s="10">
        <v>0</v>
      </c>
    </row>
    <row r="1233" spans="1:11" x14ac:dyDescent="0.4">
      <c r="A1233" s="25">
        <v>45929</v>
      </c>
      <c r="B1233" s="11">
        <v>663.68</v>
      </c>
      <c r="C1233" s="11">
        <v>645.09799999999996</v>
      </c>
      <c r="D1233" s="11">
        <v>600.13919999999996</v>
      </c>
      <c r="E1233" s="10">
        <f t="shared" si="19"/>
        <v>0</v>
      </c>
      <c r="G1233" s="29">
        <v>45925</v>
      </c>
      <c r="H1233">
        <v>658.05</v>
      </c>
      <c r="I1233">
        <v>643.70039999999995</v>
      </c>
      <c r="J1233">
        <v>599.57420000000002</v>
      </c>
      <c r="K1233" s="10">
        <v>0</v>
      </c>
    </row>
    <row r="1234" spans="1:11" x14ac:dyDescent="0.4">
      <c r="A1234" s="25">
        <v>45930</v>
      </c>
      <c r="B1234" s="11">
        <v>666.18</v>
      </c>
      <c r="C1234" s="11">
        <v>645.84619999999995</v>
      </c>
      <c r="D1234" s="11">
        <v>600.45609999999999</v>
      </c>
      <c r="E1234" s="10">
        <f t="shared" si="19"/>
        <v>0</v>
      </c>
      <c r="G1234" s="29">
        <v>45926</v>
      </c>
      <c r="H1234">
        <v>661.82</v>
      </c>
      <c r="I1234">
        <v>644.37599999999998</v>
      </c>
      <c r="J1234">
        <v>599.8442</v>
      </c>
      <c r="K1234" s="10">
        <v>0</v>
      </c>
    </row>
    <row r="1235" spans="1:11" x14ac:dyDescent="0.4">
      <c r="A1235" s="25">
        <v>45931</v>
      </c>
      <c r="B1235" s="11">
        <v>668.45</v>
      </c>
      <c r="C1235" s="11">
        <v>646.63800000000003</v>
      </c>
      <c r="D1235" s="11">
        <v>600.76099999999997</v>
      </c>
      <c r="E1235" s="10">
        <f t="shared" si="19"/>
        <v>0</v>
      </c>
      <c r="G1235" s="29">
        <v>45929</v>
      </c>
      <c r="H1235">
        <v>663.68</v>
      </c>
      <c r="I1235">
        <v>645.09799999999996</v>
      </c>
      <c r="J1235">
        <v>600.13919999999996</v>
      </c>
      <c r="K1235" s="10">
        <v>0</v>
      </c>
    </row>
    <row r="1236" spans="1:11" x14ac:dyDescent="0.4">
      <c r="A1236" s="25">
        <v>45932</v>
      </c>
      <c r="B1236" s="11">
        <v>669.22</v>
      </c>
      <c r="C1236" s="11">
        <v>647.33820000000003</v>
      </c>
      <c r="D1236" s="11">
        <v>601.08550000000002</v>
      </c>
      <c r="E1236" s="10">
        <f t="shared" si="19"/>
        <v>0</v>
      </c>
      <c r="G1236" s="29">
        <v>45930</v>
      </c>
      <c r="H1236">
        <v>666.18</v>
      </c>
      <c r="I1236">
        <v>645.84619999999995</v>
      </c>
      <c r="J1236">
        <v>600.45609999999999</v>
      </c>
      <c r="K1236" s="10">
        <v>0</v>
      </c>
    </row>
    <row r="1237" spans="1:11" x14ac:dyDescent="0.4">
      <c r="A1237" s="25">
        <v>45933</v>
      </c>
      <c r="B1237" s="11">
        <v>669.21</v>
      </c>
      <c r="C1237" s="11">
        <v>648.03399999999999</v>
      </c>
      <c r="D1237" s="11">
        <v>601.41049999999996</v>
      </c>
      <c r="E1237" s="10">
        <f t="shared" si="19"/>
        <v>0</v>
      </c>
      <c r="G1237" s="29">
        <v>45931</v>
      </c>
      <c r="H1237">
        <v>668.45</v>
      </c>
      <c r="I1237">
        <v>646.63800000000003</v>
      </c>
      <c r="J1237">
        <v>600.76099999999997</v>
      </c>
      <c r="K1237" s="10">
        <v>0</v>
      </c>
    </row>
    <row r="1238" spans="1:11" x14ac:dyDescent="0.4">
      <c r="A1238" s="25">
        <v>45936</v>
      </c>
      <c r="B1238" s="11">
        <v>671.61</v>
      </c>
      <c r="C1238" s="11">
        <v>648.7242</v>
      </c>
      <c r="D1238" s="11">
        <v>601.7346</v>
      </c>
      <c r="E1238" s="10">
        <f t="shared" si="19"/>
        <v>0</v>
      </c>
      <c r="G1238" s="29">
        <v>45932</v>
      </c>
      <c r="H1238">
        <v>669.22</v>
      </c>
      <c r="I1238">
        <v>647.33820000000003</v>
      </c>
      <c r="J1238">
        <v>601.08550000000002</v>
      </c>
      <c r="K1238" s="10">
        <v>0</v>
      </c>
    </row>
    <row r="1239" spans="1:11" x14ac:dyDescent="0.4">
      <c r="A1239" s="25">
        <v>45937</v>
      </c>
      <c r="B1239" s="11">
        <v>669.12</v>
      </c>
      <c r="C1239" s="11">
        <v>649.36779999999999</v>
      </c>
      <c r="D1239" s="11">
        <v>602.05880000000002</v>
      </c>
      <c r="E1239" s="10">
        <f t="shared" si="19"/>
        <v>0</v>
      </c>
      <c r="G1239" s="29">
        <v>45933</v>
      </c>
      <c r="H1239">
        <v>669.21</v>
      </c>
      <c r="I1239">
        <v>648.03399999999999</v>
      </c>
      <c r="J1239">
        <v>601.41049999999996</v>
      </c>
      <c r="K1239" s="10">
        <v>0</v>
      </c>
    </row>
    <row r="1240" spans="1:11" x14ac:dyDescent="0.4">
      <c r="A1240" s="25">
        <v>45938</v>
      </c>
      <c r="B1240" s="11">
        <v>673.11</v>
      </c>
      <c r="C1240" s="11">
        <v>650.12480000000005</v>
      </c>
      <c r="D1240" s="11">
        <v>602.49289999999996</v>
      </c>
      <c r="E1240" s="10">
        <f t="shared" si="19"/>
        <v>0</v>
      </c>
      <c r="G1240" s="29">
        <v>45936</v>
      </c>
      <c r="H1240">
        <v>671.61</v>
      </c>
      <c r="I1240">
        <v>648.7242</v>
      </c>
      <c r="J1240">
        <v>601.7346</v>
      </c>
      <c r="K1240" s="10">
        <v>0</v>
      </c>
    </row>
    <row r="1241" spans="1:11" x14ac:dyDescent="0.4">
      <c r="A1241" s="25">
        <v>45939</v>
      </c>
      <c r="B1241" s="11">
        <v>671.16</v>
      </c>
      <c r="C1241" s="11">
        <v>650.85879999999997</v>
      </c>
      <c r="D1241" s="11">
        <v>602.91819999999996</v>
      </c>
      <c r="E1241" s="10">
        <f t="shared" si="19"/>
        <v>0</v>
      </c>
      <c r="G1241" s="29">
        <v>45937</v>
      </c>
      <c r="H1241">
        <v>669.12</v>
      </c>
      <c r="I1241">
        <v>649.36779999999999</v>
      </c>
      <c r="J1241">
        <v>602.05880000000002</v>
      </c>
      <c r="K1241" s="10">
        <v>0</v>
      </c>
    </row>
    <row r="1242" spans="1:11" x14ac:dyDescent="0.4">
      <c r="A1242" s="25">
        <v>45940</v>
      </c>
      <c r="B1242" s="11">
        <v>653.02</v>
      </c>
      <c r="C1242" s="11">
        <v>651.27760000000001</v>
      </c>
      <c r="D1242" s="11">
        <v>603.22760000000005</v>
      </c>
      <c r="E1242" s="10">
        <f t="shared" si="19"/>
        <v>0</v>
      </c>
      <c r="G1242" s="29">
        <v>45938</v>
      </c>
      <c r="H1242">
        <v>673.11</v>
      </c>
      <c r="I1242">
        <v>650.12480000000005</v>
      </c>
      <c r="J1242">
        <v>602.49289999999996</v>
      </c>
      <c r="K1242" s="10">
        <v>0</v>
      </c>
    </row>
    <row r="1243" spans="1:11" x14ac:dyDescent="0.4">
      <c r="A1243" s="25">
        <v>45943</v>
      </c>
      <c r="B1243" s="11">
        <v>663.04</v>
      </c>
      <c r="C1243" s="11">
        <v>652.10400000000004</v>
      </c>
      <c r="D1243" s="11">
        <v>603.5693</v>
      </c>
      <c r="E1243" s="10">
        <f t="shared" si="19"/>
        <v>0</v>
      </c>
      <c r="G1243" s="29">
        <v>45939</v>
      </c>
      <c r="H1243">
        <v>671.16</v>
      </c>
      <c r="I1243">
        <v>650.85879999999997</v>
      </c>
      <c r="J1243">
        <v>602.91819999999996</v>
      </c>
      <c r="K1243" s="10">
        <v>0</v>
      </c>
    </row>
    <row r="1244" spans="1:11" x14ac:dyDescent="0.4">
      <c r="A1244" s="25">
        <v>45944</v>
      </c>
      <c r="B1244" s="11">
        <v>662.23</v>
      </c>
      <c r="C1244" s="11">
        <v>652.72519999999997</v>
      </c>
      <c r="D1244" s="11">
        <v>603.87400000000002</v>
      </c>
      <c r="E1244" s="10">
        <f t="shared" si="19"/>
        <v>0</v>
      </c>
      <c r="G1244" s="29">
        <v>45940</v>
      </c>
      <c r="H1244">
        <v>653.02</v>
      </c>
      <c r="I1244">
        <v>651.27760000000001</v>
      </c>
      <c r="J1244">
        <v>603.22760000000005</v>
      </c>
      <c r="K1244" s="10">
        <v>0</v>
      </c>
    </row>
    <row r="1245" spans="1:11" x14ac:dyDescent="0.4">
      <c r="A1245" s="25">
        <v>45945</v>
      </c>
      <c r="B1245" s="11">
        <v>665.17</v>
      </c>
      <c r="C1245" s="11">
        <v>653.4692</v>
      </c>
      <c r="D1245" s="11">
        <v>604.19309999999996</v>
      </c>
      <c r="E1245" s="10">
        <f t="shared" si="19"/>
        <v>0</v>
      </c>
      <c r="G1245" s="29">
        <v>45943</v>
      </c>
      <c r="H1245">
        <v>663.04</v>
      </c>
      <c r="I1245">
        <v>652.10400000000004</v>
      </c>
      <c r="J1245">
        <v>603.5693</v>
      </c>
      <c r="K1245" s="10">
        <v>0</v>
      </c>
    </row>
    <row r="1246" spans="1:11" x14ac:dyDescent="0.4">
      <c r="A1246" s="25">
        <v>45946</v>
      </c>
      <c r="B1246" s="11">
        <v>660.64</v>
      </c>
      <c r="C1246" s="11">
        <v>654.02639999999997</v>
      </c>
      <c r="D1246" s="11">
        <v>604.52120000000002</v>
      </c>
      <c r="E1246" s="10">
        <f t="shared" si="19"/>
        <v>0</v>
      </c>
      <c r="G1246" s="29">
        <v>45944</v>
      </c>
      <c r="H1246">
        <v>662.23</v>
      </c>
      <c r="I1246">
        <v>652.72519999999997</v>
      </c>
      <c r="J1246">
        <v>603.87400000000002</v>
      </c>
      <c r="K1246" s="10">
        <v>0</v>
      </c>
    </row>
    <row r="1247" spans="1:11" x14ac:dyDescent="0.4">
      <c r="A1247" s="25">
        <v>45947</v>
      </c>
      <c r="B1247" s="11">
        <v>664.39</v>
      </c>
      <c r="C1247" s="11">
        <v>654.66920000000005</v>
      </c>
      <c r="D1247" s="11">
        <v>604.90210000000002</v>
      </c>
      <c r="E1247" s="10">
        <f t="shared" si="19"/>
        <v>0</v>
      </c>
      <c r="G1247" s="29">
        <v>45945</v>
      </c>
      <c r="H1247">
        <v>665.17</v>
      </c>
      <c r="I1247">
        <v>653.4692</v>
      </c>
      <c r="J1247">
        <v>604.19309999999996</v>
      </c>
      <c r="K1247" s="10">
        <v>0</v>
      </c>
    </row>
    <row r="1248" spans="1:11" x14ac:dyDescent="0.4">
      <c r="A1248" s="25">
        <v>45950</v>
      </c>
      <c r="B1248" s="11">
        <v>671.3</v>
      </c>
      <c r="C1248" s="11">
        <v>655.35159999999996</v>
      </c>
      <c r="D1248" s="11">
        <v>605.32820000000004</v>
      </c>
      <c r="E1248" s="10">
        <f t="shared" si="19"/>
        <v>0</v>
      </c>
      <c r="G1248" s="29">
        <v>45946</v>
      </c>
      <c r="H1248">
        <v>660.64</v>
      </c>
      <c r="I1248">
        <v>654.02639999999997</v>
      </c>
      <c r="J1248">
        <v>604.52120000000002</v>
      </c>
      <c r="K1248" s="10">
        <v>0</v>
      </c>
    </row>
    <row r="1249" spans="1:11" x14ac:dyDescent="0.4">
      <c r="A1249" s="25">
        <v>45951</v>
      </c>
      <c r="B1249" s="11">
        <v>671.29</v>
      </c>
      <c r="C1249" s="11">
        <v>656.05899999999997</v>
      </c>
      <c r="D1249" s="11">
        <v>605.76139999999998</v>
      </c>
      <c r="E1249" s="10">
        <f t="shared" si="19"/>
        <v>0</v>
      </c>
      <c r="G1249" s="29">
        <v>45947</v>
      </c>
      <c r="H1249">
        <v>664.39</v>
      </c>
      <c r="I1249">
        <v>654.66920000000005</v>
      </c>
      <c r="J1249">
        <v>604.90210000000002</v>
      </c>
      <c r="K1249" s="10">
        <v>0</v>
      </c>
    </row>
    <row r="1250" spans="1:11" x14ac:dyDescent="0.4">
      <c r="A1250" s="25">
        <v>45952</v>
      </c>
      <c r="B1250" s="11">
        <v>667.8</v>
      </c>
      <c r="C1250" s="11">
        <v>656.56119999999999</v>
      </c>
      <c r="D1250" s="11">
        <v>606.14070000000004</v>
      </c>
      <c r="E1250" s="10">
        <f t="shared" si="19"/>
        <v>0</v>
      </c>
      <c r="G1250" s="29">
        <v>45950</v>
      </c>
      <c r="H1250">
        <v>671.3</v>
      </c>
      <c r="I1250">
        <v>655.35159999999996</v>
      </c>
      <c r="J1250">
        <v>605.32820000000004</v>
      </c>
      <c r="K1250" s="10">
        <v>0</v>
      </c>
    </row>
    <row r="1251" spans="1:11" x14ac:dyDescent="0.4">
      <c r="A1251" s="25">
        <v>45953</v>
      </c>
      <c r="B1251" s="11">
        <v>671.76</v>
      </c>
      <c r="C1251" s="11">
        <v>657.09860000000003</v>
      </c>
      <c r="D1251" s="11">
        <v>606.52269999999999</v>
      </c>
      <c r="E1251" s="10">
        <f t="shared" si="19"/>
        <v>0</v>
      </c>
      <c r="G1251" s="29">
        <v>45951</v>
      </c>
      <c r="H1251">
        <v>671.29</v>
      </c>
      <c r="I1251">
        <v>656.05899999999997</v>
      </c>
      <c r="J1251">
        <v>605.76139999999998</v>
      </c>
      <c r="K1251" s="10">
        <v>0</v>
      </c>
    </row>
    <row r="1252" spans="1:11" x14ac:dyDescent="0.4">
      <c r="A1252" s="25">
        <v>45954</v>
      </c>
      <c r="B1252" s="11">
        <v>677.25</v>
      </c>
      <c r="C1252" s="11">
        <v>657.74459999999999</v>
      </c>
      <c r="D1252" s="11">
        <v>606.96579999999994</v>
      </c>
      <c r="E1252" s="10">
        <f t="shared" si="19"/>
        <v>0</v>
      </c>
      <c r="G1252" s="29">
        <v>45952</v>
      </c>
      <c r="H1252">
        <v>667.8</v>
      </c>
      <c r="I1252">
        <v>656.56119999999999</v>
      </c>
      <c r="J1252">
        <v>606.14070000000004</v>
      </c>
      <c r="K1252" s="10">
        <v>0</v>
      </c>
    </row>
    <row r="1253" spans="1:11" x14ac:dyDescent="0.4">
      <c r="A1253" s="25">
        <v>45957</v>
      </c>
      <c r="B1253" s="11">
        <v>685.24</v>
      </c>
      <c r="C1253" s="11">
        <v>658.5806</v>
      </c>
      <c r="D1253" s="11">
        <v>607.44460000000004</v>
      </c>
      <c r="E1253" s="10">
        <f t="shared" si="19"/>
        <v>0</v>
      </c>
      <c r="G1253" s="29">
        <v>45953</v>
      </c>
      <c r="H1253">
        <v>671.76</v>
      </c>
      <c r="I1253">
        <v>657.09860000000003</v>
      </c>
      <c r="J1253">
        <v>606.52269999999999</v>
      </c>
      <c r="K1253" s="10">
        <v>0</v>
      </c>
    </row>
    <row r="1254" spans="1:11" x14ac:dyDescent="0.4">
      <c r="A1254" s="25">
        <v>45958</v>
      </c>
      <c r="B1254" s="11">
        <v>687.06</v>
      </c>
      <c r="C1254" s="11">
        <v>659.45579999999995</v>
      </c>
      <c r="D1254" s="11">
        <v>607.97739999999999</v>
      </c>
      <c r="E1254" s="10">
        <f t="shared" si="19"/>
        <v>0</v>
      </c>
      <c r="G1254" s="29">
        <v>45954</v>
      </c>
      <c r="H1254">
        <v>677.25</v>
      </c>
      <c r="I1254">
        <v>657.74459999999999</v>
      </c>
      <c r="J1254">
        <v>606.96579999999994</v>
      </c>
      <c r="K1254" s="10">
        <v>0</v>
      </c>
    </row>
    <row r="1255" spans="1:11" x14ac:dyDescent="0.4">
      <c r="A1255" s="25">
        <v>45959</v>
      </c>
      <c r="B1255" s="11">
        <v>687.39</v>
      </c>
      <c r="C1255" s="11">
        <v>660.40740000000005</v>
      </c>
      <c r="D1255" s="11">
        <v>608.50739999999996</v>
      </c>
      <c r="E1255" s="10">
        <f t="shared" si="19"/>
        <v>0</v>
      </c>
      <c r="G1255" s="29">
        <v>45957</v>
      </c>
      <c r="H1255">
        <v>685.24</v>
      </c>
      <c r="I1255">
        <v>658.5806</v>
      </c>
      <c r="J1255">
        <v>607.44460000000004</v>
      </c>
      <c r="K1255" s="10">
        <v>0</v>
      </c>
    </row>
    <row r="1256" spans="1:11" x14ac:dyDescent="0.4">
      <c r="A1256" s="25">
        <v>45960</v>
      </c>
      <c r="B1256" s="11">
        <v>679.83</v>
      </c>
      <c r="C1256" s="11">
        <v>661.24180000000001</v>
      </c>
      <c r="D1256" s="11">
        <v>608.99559999999997</v>
      </c>
      <c r="E1256" s="10">
        <f t="shared" si="19"/>
        <v>0</v>
      </c>
      <c r="G1256" s="29">
        <v>45958</v>
      </c>
      <c r="H1256">
        <v>687.06</v>
      </c>
      <c r="I1256">
        <v>659.45579999999995</v>
      </c>
      <c r="J1256">
        <v>607.97739999999999</v>
      </c>
      <c r="K1256" s="10">
        <v>0</v>
      </c>
    </row>
    <row r="1257" spans="1:11" x14ac:dyDescent="0.4">
      <c r="A1257" s="25">
        <v>45961</v>
      </c>
      <c r="B1257" s="11">
        <v>682.06</v>
      </c>
      <c r="C1257" s="11">
        <v>662.17200000000003</v>
      </c>
      <c r="D1257" s="11">
        <v>609.44200000000001</v>
      </c>
      <c r="E1257" s="10">
        <f t="shared" si="19"/>
        <v>0</v>
      </c>
      <c r="G1257" s="29">
        <v>45959</v>
      </c>
      <c r="H1257">
        <v>687.39</v>
      </c>
      <c r="I1257">
        <v>660.40740000000005</v>
      </c>
      <c r="J1257">
        <v>608.50739999999996</v>
      </c>
      <c r="K1257" s="10">
        <v>0</v>
      </c>
    </row>
    <row r="1258" spans="1:11" x14ac:dyDescent="0.4">
      <c r="G1258" s="29">
        <v>45960</v>
      </c>
      <c r="H1258">
        <v>679.83</v>
      </c>
      <c r="I1258">
        <v>661.24180000000001</v>
      </c>
      <c r="J1258">
        <v>608.99559999999997</v>
      </c>
      <c r="K1258" s="10">
        <v>0</v>
      </c>
    </row>
    <row r="1259" spans="1:11" x14ac:dyDescent="0.4">
      <c r="G1259" s="29">
        <v>45961</v>
      </c>
      <c r="H1259">
        <v>682.06</v>
      </c>
      <c r="I1259">
        <v>662.17200000000003</v>
      </c>
      <c r="J1259">
        <v>609.44200000000001</v>
      </c>
      <c r="K1259" s="10">
        <v>0</v>
      </c>
    </row>
    <row r="1260" spans="1:11" x14ac:dyDescent="0.4">
      <c r="G1260" s="29" t="s">
        <v>7</v>
      </c>
      <c r="H1260">
        <v>595722.08000000054</v>
      </c>
      <c r="I1260">
        <v>570554.96239999984</v>
      </c>
      <c r="J1260">
        <v>495000.90539999935</v>
      </c>
      <c r="K1260" s="10">
        <v>2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9BB0-AE8F-4675-BEB2-9871E5CF6BE4}">
  <sheetPr>
    <pageSetUpPr autoPageBreaks="0"/>
  </sheetPr>
  <dimension ref="A1"/>
  <sheetViews>
    <sheetView showGridLines="0" tabSelected="1" topLeftCell="D1" zoomScale="70" zoomScaleNormal="70" workbookViewId="0">
      <selection sqref="A1:C1048576"/>
    </sheetView>
  </sheetViews>
  <sheetFormatPr defaultRowHeight="21" x14ac:dyDescent="0.4"/>
  <cols>
    <col min="1" max="3" width="0" hidden="1" customWidth="1"/>
  </cols>
  <sheetData/>
  <pageMargins left="0.7" right="0.7" top="0.75" bottom="0.75" header="0.3" footer="0.3"/>
  <pageSetup paperSize="9" scale="47"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B142-D35B-455B-89AB-0855C4391E3B}">
  <sheetPr>
    <pageSetUpPr autoPageBreaks="0"/>
  </sheetPr>
  <dimension ref="A1:A31"/>
  <sheetViews>
    <sheetView zoomScaleNormal="100" workbookViewId="0">
      <selection sqref="A1:XFD1048576"/>
    </sheetView>
  </sheetViews>
  <sheetFormatPr defaultRowHeight="13.8" x14ac:dyDescent="0.3"/>
  <cols>
    <col min="1" max="16384" width="9.140625" style="30"/>
  </cols>
  <sheetData>
    <row r="1" spans="1:1" x14ac:dyDescent="0.3">
      <c r="A1" s="30" t="s">
        <v>22</v>
      </c>
    </row>
    <row r="3" spans="1:1" x14ac:dyDescent="0.3">
      <c r="A3" s="30" t="s">
        <v>23</v>
      </c>
    </row>
    <row r="4" spans="1:1" x14ac:dyDescent="0.3">
      <c r="A4" s="30" t="s">
        <v>24</v>
      </c>
    </row>
    <row r="5" spans="1:1" x14ac:dyDescent="0.3">
      <c r="A5" s="30" t="s">
        <v>25</v>
      </c>
    </row>
    <row r="6" spans="1:1" x14ac:dyDescent="0.3">
      <c r="A6" s="30" t="s">
        <v>26</v>
      </c>
    </row>
    <row r="7" spans="1:1" x14ac:dyDescent="0.3">
      <c r="A7" s="30" t="s">
        <v>27</v>
      </c>
    </row>
    <row r="8" spans="1:1" x14ac:dyDescent="0.3">
      <c r="A8" s="30" t="s">
        <v>28</v>
      </c>
    </row>
    <row r="9" spans="1:1" x14ac:dyDescent="0.3">
      <c r="A9" s="30" t="s">
        <v>29</v>
      </c>
    </row>
    <row r="10" spans="1:1" x14ac:dyDescent="0.3">
      <c r="A10" s="30" t="s">
        <v>30</v>
      </c>
    </row>
    <row r="11" spans="1:1" x14ac:dyDescent="0.3">
      <c r="A11" s="30" t="s">
        <v>31</v>
      </c>
    </row>
    <row r="12" spans="1:1" x14ac:dyDescent="0.3">
      <c r="A12" s="30" t="s">
        <v>32</v>
      </c>
    </row>
    <row r="13" spans="1:1" x14ac:dyDescent="0.3">
      <c r="A13" s="30" t="s">
        <v>33</v>
      </c>
    </row>
    <row r="14" spans="1:1" x14ac:dyDescent="0.3">
      <c r="A14" s="30" t="s">
        <v>34</v>
      </c>
    </row>
    <row r="16" spans="1:1" x14ac:dyDescent="0.3">
      <c r="A16" s="30" t="s">
        <v>35</v>
      </c>
    </row>
    <row r="18" spans="1:1" x14ac:dyDescent="0.3">
      <c r="A18" s="30" t="s">
        <v>36</v>
      </c>
    </row>
    <row r="20" spans="1:1" x14ac:dyDescent="0.3">
      <c r="A20" s="30" t="s">
        <v>23</v>
      </c>
    </row>
    <row r="21" spans="1:1" x14ac:dyDescent="0.3">
      <c r="A21" s="30" t="s">
        <v>24</v>
      </c>
    </row>
    <row r="22" spans="1:1" x14ac:dyDescent="0.3">
      <c r="A22" s="30" t="s">
        <v>25</v>
      </c>
    </row>
    <row r="23" spans="1:1" x14ac:dyDescent="0.3">
      <c r="A23" s="30" t="s">
        <v>26</v>
      </c>
    </row>
    <row r="24" spans="1:1" x14ac:dyDescent="0.3">
      <c r="A24" s="30" t="s">
        <v>27</v>
      </c>
    </row>
    <row r="25" spans="1:1" x14ac:dyDescent="0.3">
      <c r="A25" s="30" t="s">
        <v>28</v>
      </c>
    </row>
    <row r="26" spans="1:1" x14ac:dyDescent="0.3">
      <c r="A26" s="30" t="s">
        <v>37</v>
      </c>
    </row>
    <row r="27" spans="1:1" x14ac:dyDescent="0.3">
      <c r="A27" s="30" t="s">
        <v>38</v>
      </c>
    </row>
    <row r="28" spans="1:1" x14ac:dyDescent="0.3">
      <c r="A28" s="30" t="s">
        <v>39</v>
      </c>
    </row>
    <row r="29" spans="1:1" x14ac:dyDescent="0.3">
      <c r="A29" s="30" t="s">
        <v>40</v>
      </c>
    </row>
    <row r="30" spans="1:1" x14ac:dyDescent="0.3">
      <c r="A30" s="30" t="s">
        <v>33</v>
      </c>
    </row>
    <row r="31" spans="1:1" x14ac:dyDescent="0.3">
      <c r="A31" s="30" t="s">
        <v>34</v>
      </c>
    </row>
  </sheetData>
  <pageMargins left="0.7" right="0.7" top="0.75" bottom="0.75" header="0.3" footer="0.3"/>
  <pageSetup paperSize="9" scale="6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AE17D8-9B49-4314-8085-5205689AEC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SPY_close_price_PQ</vt:lpstr>
      <vt:lpstr>SPY_close_price</vt:lpstr>
      <vt:lpstr>Data Analysis Addin</vt:lpstr>
      <vt:lpstr>Close_Moving_Averages</vt:lpstr>
      <vt:lpstr>Golden Cross</vt:lpstr>
      <vt:lpstr>M Language code</vt:lpstr>
      <vt:lpstr>'Data Analysis Addin'!n_200</vt:lpstr>
      <vt:lpstr>'Data Analysis Addin'!n_50</vt:lpstr>
      <vt:lpstr>'Golden Cross'!Print_Area</vt:lpstr>
      <vt:lpstr>'M Language code'!Print_Area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Mythili</dc:creator>
  <cp:lastModifiedBy>Mythili Subramanian</cp:lastModifiedBy>
  <cp:lastPrinted>2025-12-31T05:34:54Z</cp:lastPrinted>
  <dcterms:created xsi:type="dcterms:W3CDTF">2025-11-14T06:10:26Z</dcterms:created>
  <dcterms:modified xsi:type="dcterms:W3CDTF">2025-12-31T05:35:33Z</dcterms:modified>
</cp:coreProperties>
</file>